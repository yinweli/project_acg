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19200" windowHeight="12135" firstSheet="1" activeTab="9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選項清單" sheetId="5" r:id="rId6"/>
    <sheet name="Language" sheetId="7" r:id="rId7"/>
    <sheet name="Equip" sheetId="8" r:id="rId8"/>
    <sheet name="Feature" sheetId="9" r:id="rId9"/>
    <sheet name="Monster" sheetId="10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0" l="1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E8" i="10"/>
  <c r="E12" i="10"/>
  <c r="E14" i="10"/>
  <c r="E17" i="10"/>
  <c r="E19" i="10"/>
  <c r="E22" i="10"/>
  <c r="E25" i="10"/>
  <c r="E28" i="10"/>
  <c r="F3" i="10"/>
  <c r="F6" i="10"/>
  <c r="F9" i="10"/>
  <c r="F11" i="10"/>
  <c r="F15" i="10"/>
  <c r="F18" i="10"/>
  <c r="F21" i="10"/>
  <c r="F24" i="10"/>
  <c r="F27" i="10"/>
  <c r="F30" i="10"/>
  <c r="E3" i="10"/>
  <c r="E4" i="10"/>
  <c r="E5" i="10"/>
  <c r="E6" i="10"/>
  <c r="E7" i="10"/>
  <c r="E10" i="10"/>
  <c r="E11" i="10"/>
  <c r="E13" i="10"/>
  <c r="E16" i="10"/>
  <c r="E20" i="10"/>
  <c r="E23" i="10"/>
  <c r="E26" i="10"/>
  <c r="E29" i="10"/>
  <c r="F5" i="10"/>
  <c r="F8" i="10"/>
  <c r="F12" i="10"/>
  <c r="F14" i="10"/>
  <c r="F17" i="10"/>
  <c r="F20" i="10"/>
  <c r="F23" i="10"/>
  <c r="F26" i="10"/>
  <c r="F28" i="10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E9" i="10"/>
  <c r="E15" i="10"/>
  <c r="E18" i="10"/>
  <c r="E21" i="10"/>
  <c r="E24" i="10"/>
  <c r="E27" i="10"/>
  <c r="E30" i="10"/>
  <c r="F4" i="10"/>
  <c r="F7" i="10"/>
  <c r="F10" i="10"/>
  <c r="F13" i="10"/>
  <c r="F16" i="10"/>
  <c r="F19" i="10"/>
  <c r="F22" i="10"/>
  <c r="F25" i="10"/>
  <c r="F29" i="10"/>
  <c r="G2" i="10"/>
  <c r="E2" i="10"/>
  <c r="F2" i="10"/>
  <c r="D2" i="10"/>
  <c r="C8" i="10"/>
  <c r="C6" i="10"/>
  <c r="C10" i="10"/>
  <c r="C14" i="10"/>
  <c r="C18" i="10"/>
  <c r="C22" i="10"/>
  <c r="C26" i="10"/>
  <c r="C30" i="10"/>
  <c r="C3" i="10"/>
  <c r="C7" i="10"/>
  <c r="C11" i="10"/>
  <c r="C15" i="10"/>
  <c r="C19" i="10"/>
  <c r="C23" i="10"/>
  <c r="C27" i="10"/>
  <c r="C4" i="10"/>
  <c r="C12" i="10"/>
  <c r="C16" i="10"/>
  <c r="C20" i="10"/>
  <c r="C24" i="10"/>
  <c r="C28" i="10"/>
  <c r="C5" i="10"/>
  <c r="C9" i="10"/>
  <c r="C13" i="10"/>
  <c r="C17" i="10"/>
  <c r="C21" i="10"/>
  <c r="C25" i="10"/>
  <c r="C29" i="10"/>
  <c r="C2" i="10"/>
  <c r="A4" i="10"/>
  <c r="B27" i="10"/>
  <c r="B4" i="10"/>
  <c r="B6" i="10"/>
  <c r="B8" i="10"/>
  <c r="B10" i="10"/>
  <c r="B12" i="10"/>
  <c r="B14" i="10"/>
  <c r="B16" i="10"/>
  <c r="B18" i="10"/>
  <c r="B20" i="10"/>
  <c r="B22" i="10"/>
  <c r="B24" i="10"/>
  <c r="B26" i="10"/>
  <c r="B28" i="10"/>
  <c r="B30" i="10"/>
  <c r="A3" i="10"/>
  <c r="A5" i="10"/>
  <c r="A7" i="10"/>
  <c r="A9" i="10"/>
  <c r="A11" i="10"/>
  <c r="A13" i="10"/>
  <c r="A15" i="10"/>
  <c r="A17" i="10"/>
  <c r="A19" i="10"/>
  <c r="A21" i="10"/>
  <c r="A23" i="10"/>
  <c r="A25" i="10"/>
  <c r="A27" i="10"/>
  <c r="A29" i="10"/>
  <c r="B3" i="10"/>
  <c r="B5" i="10"/>
  <c r="B7" i="10"/>
  <c r="B9" i="10"/>
  <c r="B11" i="10"/>
  <c r="B13" i="10"/>
  <c r="B15" i="10"/>
  <c r="B17" i="10"/>
  <c r="B19" i="10"/>
  <c r="B21" i="10"/>
  <c r="B23" i="10"/>
  <c r="B25" i="10"/>
  <c r="B29" i="10"/>
  <c r="A6" i="10"/>
  <c r="A8" i="10"/>
  <c r="A10" i="10"/>
  <c r="A12" i="10"/>
  <c r="A14" i="10"/>
  <c r="A16" i="10"/>
  <c r="A18" i="10"/>
  <c r="A20" i="10"/>
  <c r="A22" i="10"/>
  <c r="A24" i="10"/>
  <c r="A26" i="10"/>
  <c r="A28" i="10"/>
  <c r="A30" i="10"/>
  <c r="B2" i="10"/>
  <c r="A2" i="10"/>
  <c r="H23" i="9"/>
  <c r="H4" i="9"/>
  <c r="H6" i="9"/>
  <c r="H10" i="9"/>
  <c r="H14" i="9"/>
  <c r="H18" i="9"/>
  <c r="H22" i="9"/>
  <c r="H26" i="9"/>
  <c r="H30" i="9"/>
  <c r="H3" i="9"/>
  <c r="H7" i="9"/>
  <c r="H11" i="9"/>
  <c r="H15" i="9"/>
  <c r="H19" i="9"/>
  <c r="H27" i="9"/>
  <c r="H8" i="9"/>
  <c r="H12" i="9"/>
  <c r="H16" i="9"/>
  <c r="H20" i="9"/>
  <c r="H24" i="9"/>
  <c r="H28" i="9"/>
  <c r="H5" i="9"/>
  <c r="H9" i="9"/>
  <c r="H13" i="9"/>
  <c r="H17" i="9"/>
  <c r="H21" i="9"/>
  <c r="H25" i="9"/>
  <c r="H29" i="9"/>
  <c r="H2" i="9"/>
  <c r="G27" i="9"/>
  <c r="G4" i="9"/>
  <c r="G6" i="9"/>
  <c r="G10" i="9"/>
  <c r="G14" i="9"/>
  <c r="G18" i="9"/>
  <c r="G22" i="9"/>
  <c r="G26" i="9"/>
  <c r="G30" i="9"/>
  <c r="G3" i="9"/>
  <c r="G7" i="9"/>
  <c r="G11" i="9"/>
  <c r="G15" i="9"/>
  <c r="G19" i="9"/>
  <c r="G23" i="9"/>
  <c r="G8" i="9"/>
  <c r="G12" i="9"/>
  <c r="G16" i="9"/>
  <c r="G20" i="9"/>
  <c r="G24" i="9"/>
  <c r="G28" i="9"/>
  <c r="G5" i="9"/>
  <c r="G9" i="9"/>
  <c r="G13" i="9"/>
  <c r="G17" i="9"/>
  <c r="G21" i="9"/>
  <c r="G25" i="9"/>
  <c r="G29" i="9"/>
  <c r="G2" i="9"/>
  <c r="D3" i="9"/>
  <c r="D19" i="9"/>
  <c r="D27" i="9"/>
  <c r="F29" i="9"/>
  <c r="D6" i="9"/>
  <c r="D10" i="9"/>
  <c r="D14" i="9"/>
  <c r="F16" i="9"/>
  <c r="E19" i="9"/>
  <c r="D22" i="9"/>
  <c r="F24" i="9"/>
  <c r="E27" i="9"/>
  <c r="D30" i="9"/>
  <c r="D5" i="9"/>
  <c r="D9" i="9"/>
  <c r="F11" i="9"/>
  <c r="E14" i="9"/>
  <c r="E18" i="9"/>
  <c r="E22" i="9"/>
  <c r="E26" i="9"/>
  <c r="E30" i="9"/>
  <c r="E3" i="9"/>
  <c r="F7" i="9"/>
  <c r="F15" i="9"/>
  <c r="F19" i="9"/>
  <c r="F23" i="9"/>
  <c r="D29" i="9"/>
  <c r="D4" i="9"/>
  <c r="E5" i="9"/>
  <c r="F6" i="9"/>
  <c r="D8" i="9"/>
  <c r="E9" i="9"/>
  <c r="F10" i="9"/>
  <c r="D12" i="9"/>
  <c r="E13" i="9"/>
  <c r="F14" i="9"/>
  <c r="D16" i="9"/>
  <c r="E17" i="9"/>
  <c r="F18" i="9"/>
  <c r="D20" i="9"/>
  <c r="E21" i="9"/>
  <c r="F22" i="9"/>
  <c r="D24" i="9"/>
  <c r="E25" i="9"/>
  <c r="F26" i="9"/>
  <c r="D28" i="9"/>
  <c r="E29" i="9"/>
  <c r="F30" i="9"/>
  <c r="E4" i="9"/>
  <c r="F5" i="9"/>
  <c r="D7" i="9"/>
  <c r="E8" i="9"/>
  <c r="F9" i="9"/>
  <c r="D11" i="9"/>
  <c r="E12" i="9"/>
  <c r="F13" i="9"/>
  <c r="D15" i="9"/>
  <c r="E16" i="9"/>
  <c r="F17" i="9"/>
  <c r="E20" i="9"/>
  <c r="F21" i="9"/>
  <c r="D23" i="9"/>
  <c r="E24" i="9"/>
  <c r="F25" i="9"/>
  <c r="E28" i="9"/>
  <c r="F4" i="9"/>
  <c r="E7" i="9"/>
  <c r="F8" i="9"/>
  <c r="E11" i="9"/>
  <c r="F12" i="9"/>
  <c r="E15" i="9"/>
  <c r="D18" i="9"/>
  <c r="F20" i="9"/>
  <c r="E23" i="9"/>
  <c r="D26" i="9"/>
  <c r="F28" i="9"/>
  <c r="F3" i="9"/>
  <c r="E6" i="9"/>
  <c r="E10" i="9"/>
  <c r="D13" i="9"/>
  <c r="D17" i="9"/>
  <c r="D21" i="9"/>
  <c r="D25" i="9"/>
  <c r="F27" i="9"/>
  <c r="E2" i="9"/>
  <c r="F2" i="9"/>
  <c r="D2" i="9"/>
  <c r="C19" i="9"/>
  <c r="C4" i="9"/>
  <c r="C6" i="9"/>
  <c r="C10" i="9"/>
  <c r="C14" i="9"/>
  <c r="C18" i="9"/>
  <c r="C22" i="9"/>
  <c r="C26" i="9"/>
  <c r="C30" i="9"/>
  <c r="C3" i="9"/>
  <c r="C7" i="9"/>
  <c r="C11" i="9"/>
  <c r="C15" i="9"/>
  <c r="C23" i="9"/>
  <c r="C27" i="9"/>
  <c r="C8" i="9"/>
  <c r="C12" i="9"/>
  <c r="C16" i="9"/>
  <c r="C20" i="9"/>
  <c r="C24" i="9"/>
  <c r="C28" i="9"/>
  <c r="C5" i="9"/>
  <c r="C9" i="9"/>
  <c r="C13" i="9"/>
  <c r="C17" i="9"/>
  <c r="C21" i="9"/>
  <c r="C25" i="9"/>
  <c r="C29" i="9"/>
  <c r="C2" i="9"/>
  <c r="A13" i="9"/>
  <c r="B25" i="9"/>
  <c r="A6" i="9"/>
  <c r="A12" i="9"/>
  <c r="A18" i="9"/>
  <c r="A24" i="9"/>
  <c r="A30" i="9"/>
  <c r="B3" i="9"/>
  <c r="B21" i="9"/>
  <c r="A8" i="9"/>
  <c r="A14" i="9"/>
  <c r="A20" i="9"/>
  <c r="A26" i="9"/>
  <c r="B4" i="9"/>
  <c r="B6" i="9"/>
  <c r="B8" i="9"/>
  <c r="B10" i="9"/>
  <c r="B12" i="9"/>
  <c r="B14" i="9"/>
  <c r="B16" i="9"/>
  <c r="B18" i="9"/>
  <c r="B20" i="9"/>
  <c r="B22" i="9"/>
  <c r="B24" i="9"/>
  <c r="B26" i="9"/>
  <c r="B28" i="9"/>
  <c r="B30" i="9"/>
  <c r="A3" i="9"/>
  <c r="A5" i="9"/>
  <c r="A7" i="9"/>
  <c r="A9" i="9"/>
  <c r="A11" i="9"/>
  <c r="A15" i="9"/>
  <c r="A17" i="9"/>
  <c r="A19" i="9"/>
  <c r="A21" i="9"/>
  <c r="A23" i="9"/>
  <c r="A25" i="9"/>
  <c r="A27" i="9"/>
  <c r="A29" i="9"/>
  <c r="B5" i="9"/>
  <c r="B7" i="9"/>
  <c r="B9" i="9"/>
  <c r="B11" i="9"/>
  <c r="B13" i="9"/>
  <c r="B15" i="9"/>
  <c r="B17" i="9"/>
  <c r="B19" i="9"/>
  <c r="B23" i="9"/>
  <c r="B27" i="9"/>
  <c r="B29" i="9"/>
  <c r="A4" i="9"/>
  <c r="A10" i="9"/>
  <c r="A16" i="9"/>
  <c r="A22" i="9"/>
  <c r="A28" i="9"/>
  <c r="B2" i="9"/>
  <c r="A2" i="9"/>
  <c r="H16" i="8"/>
  <c r="H6" i="8"/>
  <c r="H10" i="8"/>
  <c r="H14" i="8"/>
  <c r="H18" i="8"/>
  <c r="H22" i="8"/>
  <c r="H26" i="8"/>
  <c r="H30" i="8"/>
  <c r="H3" i="8"/>
  <c r="H7" i="8"/>
  <c r="H11" i="8"/>
  <c r="H15" i="8"/>
  <c r="H19" i="8"/>
  <c r="H23" i="8"/>
  <c r="H27" i="8"/>
  <c r="H4" i="8"/>
  <c r="H8" i="8"/>
  <c r="H12" i="8"/>
  <c r="H20" i="8"/>
  <c r="H24" i="8"/>
  <c r="H28" i="8"/>
  <c r="H5" i="8"/>
  <c r="H9" i="8"/>
  <c r="H13" i="8"/>
  <c r="H17" i="8"/>
  <c r="H21" i="8"/>
  <c r="H25" i="8"/>
  <c r="H29" i="8"/>
  <c r="H2" i="8"/>
  <c r="G24" i="8"/>
  <c r="G6" i="8"/>
  <c r="G10" i="8"/>
  <c r="G14" i="8"/>
  <c r="G18" i="8"/>
  <c r="G22" i="8"/>
  <c r="G26" i="8"/>
  <c r="G30" i="8"/>
  <c r="G3" i="8"/>
  <c r="G7" i="8"/>
  <c r="G11" i="8"/>
  <c r="G15" i="8"/>
  <c r="G19" i="8"/>
  <c r="G23" i="8"/>
  <c r="G27" i="8"/>
  <c r="G4" i="8"/>
  <c r="G8" i="8"/>
  <c r="G12" i="8"/>
  <c r="G16" i="8"/>
  <c r="G20" i="8"/>
  <c r="G28" i="8"/>
  <c r="G5" i="8"/>
  <c r="G9" i="8"/>
  <c r="G13" i="8"/>
  <c r="G17" i="8"/>
  <c r="G21" i="8"/>
  <c r="G25" i="8"/>
  <c r="G29" i="8"/>
  <c r="G2" i="8"/>
  <c r="D3" i="8"/>
  <c r="E4" i="8"/>
  <c r="F5" i="8"/>
  <c r="D7" i="8"/>
  <c r="E8" i="8"/>
  <c r="F9" i="8"/>
  <c r="D11" i="8"/>
  <c r="E12" i="8"/>
  <c r="F13" i="8"/>
  <c r="D15" i="8"/>
  <c r="E16" i="8"/>
  <c r="F17" i="8"/>
  <c r="E20" i="8"/>
  <c r="F21" i="8"/>
  <c r="F25" i="8"/>
  <c r="E28" i="8"/>
  <c r="D30" i="8"/>
  <c r="E3" i="8"/>
  <c r="F4" i="8"/>
  <c r="D6" i="8"/>
  <c r="E7" i="8"/>
  <c r="F8" i="8"/>
  <c r="D10" i="8"/>
  <c r="E11" i="8"/>
  <c r="F12" i="8"/>
  <c r="D14" i="8"/>
  <c r="E15" i="8"/>
  <c r="F16" i="8"/>
  <c r="D18" i="8"/>
  <c r="E19" i="8"/>
  <c r="F20" i="8"/>
  <c r="D22" i="8"/>
  <c r="E23" i="8"/>
  <c r="F24" i="8"/>
  <c r="D26" i="8"/>
  <c r="E27" i="8"/>
  <c r="F3" i="8"/>
  <c r="D5" i="8"/>
  <c r="E6" i="8"/>
  <c r="F7" i="8"/>
  <c r="D9" i="8"/>
  <c r="E10" i="8"/>
  <c r="F11" i="8"/>
  <c r="D13" i="8"/>
  <c r="E14" i="8"/>
  <c r="F15" i="8"/>
  <c r="D17" i="8"/>
  <c r="E18" i="8"/>
  <c r="F19" i="8"/>
  <c r="D21" i="8"/>
  <c r="E22" i="8"/>
  <c r="F23" i="8"/>
  <c r="D25" i="8"/>
  <c r="E26" i="8"/>
  <c r="F27" i="8"/>
  <c r="D29" i="8"/>
  <c r="E30" i="8"/>
  <c r="D4" i="8"/>
  <c r="E5" i="8"/>
  <c r="F6" i="8"/>
  <c r="D8" i="8"/>
  <c r="E9" i="8"/>
  <c r="F10" i="8"/>
  <c r="D12" i="8"/>
  <c r="E13" i="8"/>
  <c r="F14" i="8"/>
  <c r="D16" i="8"/>
  <c r="E17" i="8"/>
  <c r="F18" i="8"/>
  <c r="D20" i="8"/>
  <c r="E21" i="8"/>
  <c r="F22" i="8"/>
  <c r="D24" i="8"/>
  <c r="E25" i="8"/>
  <c r="F26" i="8"/>
  <c r="D28" i="8"/>
  <c r="E29" i="8"/>
  <c r="F30" i="8"/>
  <c r="D19" i="8"/>
  <c r="D23" i="8"/>
  <c r="E24" i="8"/>
  <c r="D27" i="8"/>
  <c r="F29" i="8"/>
  <c r="F28" i="8"/>
  <c r="F2" i="8"/>
  <c r="E2" i="8"/>
  <c r="D2" i="8"/>
  <c r="C2" i="8"/>
  <c r="C5" i="8"/>
  <c r="C9" i="8"/>
  <c r="C13" i="8"/>
  <c r="C17" i="8"/>
  <c r="C21" i="8"/>
  <c r="C25" i="8"/>
  <c r="C29" i="8"/>
  <c r="C6" i="8"/>
  <c r="C10" i="8"/>
  <c r="C14" i="8"/>
  <c r="C18" i="8"/>
  <c r="C22" i="8"/>
  <c r="C26" i="8"/>
  <c r="C30" i="8"/>
  <c r="C3" i="8"/>
  <c r="C7" i="8"/>
  <c r="C11" i="8"/>
  <c r="C15" i="8"/>
  <c r="C19" i="8"/>
  <c r="C23" i="8"/>
  <c r="C27" i="8"/>
  <c r="C4" i="8"/>
  <c r="C8" i="8"/>
  <c r="C12" i="8"/>
  <c r="C16" i="8"/>
  <c r="C20" i="8"/>
  <c r="C24" i="8"/>
  <c r="C28" i="8"/>
  <c r="A3" i="8"/>
  <c r="A29" i="8"/>
  <c r="B17" i="8"/>
  <c r="B25" i="8"/>
  <c r="A4" i="8"/>
  <c r="A12" i="8"/>
  <c r="A18" i="8"/>
  <c r="A22" i="8"/>
  <c r="A28" i="8"/>
  <c r="B3" i="8"/>
  <c r="B5" i="8"/>
  <c r="B13" i="8"/>
  <c r="B19" i="8"/>
  <c r="B23" i="8"/>
  <c r="B29" i="8"/>
  <c r="A8" i="8"/>
  <c r="A14" i="8"/>
  <c r="A20" i="8"/>
  <c r="A26" i="8"/>
  <c r="B4" i="8"/>
  <c r="B6" i="8"/>
  <c r="B8" i="8"/>
  <c r="B10" i="8"/>
  <c r="B12" i="8"/>
  <c r="B14" i="8"/>
  <c r="B16" i="8"/>
  <c r="B18" i="8"/>
  <c r="B20" i="8"/>
  <c r="B22" i="8"/>
  <c r="B24" i="8"/>
  <c r="B26" i="8"/>
  <c r="B28" i="8"/>
  <c r="B30" i="8"/>
  <c r="A5" i="8"/>
  <c r="A7" i="8"/>
  <c r="A9" i="8"/>
  <c r="A11" i="8"/>
  <c r="A13" i="8"/>
  <c r="A15" i="8"/>
  <c r="A17" i="8"/>
  <c r="A19" i="8"/>
  <c r="A21" i="8"/>
  <c r="A23" i="8"/>
  <c r="A25" i="8"/>
  <c r="A27" i="8"/>
  <c r="B7" i="8"/>
  <c r="B9" i="8"/>
  <c r="B11" i="8"/>
  <c r="B15" i="8"/>
  <c r="B21" i="8"/>
  <c r="B27" i="8"/>
  <c r="A6" i="8"/>
  <c r="A10" i="8"/>
  <c r="A16" i="8"/>
  <c r="A24" i="8"/>
  <c r="A30" i="8"/>
  <c r="B2" i="8"/>
  <c r="A2" i="8"/>
  <c r="C3" i="7"/>
  <c r="C13" i="7"/>
  <c r="C23" i="7"/>
  <c r="C27" i="7"/>
  <c r="B4" i="7"/>
  <c r="B6" i="7"/>
  <c r="B8" i="7"/>
  <c r="B10" i="7"/>
  <c r="B12" i="7"/>
  <c r="B14" i="7"/>
  <c r="B16" i="7"/>
  <c r="B18" i="7"/>
  <c r="B20" i="7"/>
  <c r="B22" i="7"/>
  <c r="B24" i="7"/>
  <c r="B26" i="7"/>
  <c r="B28" i="7"/>
  <c r="B30" i="7"/>
  <c r="C4" i="7"/>
  <c r="C6" i="7"/>
  <c r="C8" i="7"/>
  <c r="C10" i="7"/>
  <c r="C12" i="7"/>
  <c r="C14" i="7"/>
  <c r="C16" i="7"/>
  <c r="C18" i="7"/>
  <c r="C20" i="7"/>
  <c r="C22" i="7"/>
  <c r="C24" i="7"/>
  <c r="C26" i="7"/>
  <c r="C28" i="7"/>
  <c r="C30" i="7"/>
  <c r="B3" i="7"/>
  <c r="B5" i="7"/>
  <c r="B7" i="7"/>
  <c r="B9" i="7"/>
  <c r="B11" i="7"/>
  <c r="B13" i="7"/>
  <c r="B15" i="7"/>
  <c r="B17" i="7"/>
  <c r="B19" i="7"/>
  <c r="B21" i="7"/>
  <c r="B23" i="7"/>
  <c r="B25" i="7"/>
  <c r="B27" i="7"/>
  <c r="B29" i="7"/>
  <c r="C5" i="7"/>
  <c r="C7" i="7"/>
  <c r="C9" i="7"/>
  <c r="C11" i="7"/>
  <c r="C15" i="7"/>
  <c r="C17" i="7"/>
  <c r="C19" i="7"/>
  <c r="C21" i="7"/>
  <c r="C25" i="7"/>
  <c r="C29" i="7"/>
  <c r="B2" i="7"/>
  <c r="C2" i="7"/>
  <c r="A2" i="7"/>
  <c r="B1" i="8"/>
  <c r="C1" i="8"/>
  <c r="D1" i="8"/>
  <c r="E1" i="8"/>
  <c r="F1" i="8"/>
  <c r="G1" i="8"/>
  <c r="H1" i="8"/>
  <c r="A3" i="7"/>
  <c r="A5" i="7"/>
  <c r="A9" i="7"/>
  <c r="A13" i="7"/>
  <c r="A17" i="7"/>
  <c r="A21" i="7"/>
  <c r="A25" i="7"/>
  <c r="A29" i="7"/>
  <c r="A6" i="7"/>
  <c r="A10" i="7"/>
  <c r="A14" i="7"/>
  <c r="A18" i="7"/>
  <c r="A22" i="7"/>
  <c r="A26" i="7"/>
  <c r="A30" i="7"/>
  <c r="A7" i="7"/>
  <c r="A11" i="7"/>
  <c r="A15" i="7"/>
  <c r="A19" i="7"/>
  <c r="A23" i="7"/>
  <c r="A27" i="7"/>
  <c r="A4" i="7"/>
  <c r="A8" i="7"/>
  <c r="A12" i="7"/>
  <c r="A16" i="7"/>
  <c r="A20" i="7"/>
  <c r="A24" i="7"/>
  <c r="A28" i="7"/>
  <c r="B1" i="10" l="1"/>
  <c r="C1" i="10"/>
  <c r="D1" i="10"/>
  <c r="E1" i="10"/>
  <c r="F1" i="10"/>
  <c r="G1" i="10"/>
  <c r="A1" i="10"/>
  <c r="B1" i="9" l="1"/>
  <c r="C1" i="9"/>
  <c r="D1" i="9"/>
  <c r="E1" i="9"/>
  <c r="F1" i="9"/>
  <c r="G1" i="9"/>
  <c r="H1" i="9"/>
  <c r="A1" i="9"/>
  <c r="A1" i="8"/>
  <c r="C1" i="7"/>
  <c r="B1" i="7"/>
  <c r="A1" i="7"/>
</calcChain>
</file>

<file path=xl/sharedStrings.xml><?xml version="1.0" encoding="utf-8"?>
<sst xmlns="http://schemas.openxmlformats.org/spreadsheetml/2006/main" count="115" uniqueCount="92">
  <si>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</si>
  <si>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</si>
  <si>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</si>
  <si>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</si>
  <si>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</si>
  <si>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</si>
  <si>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</si>
  <si>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</si>
  <si>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</si>
  <si>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</si>
  <si>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</si>
  <si>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</si>
  <si>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</si>
  <si>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</si>
  <si>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</si>
  <si>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</si>
  <si>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</si>
  <si>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</si>
  <si>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</si>
  <si>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</si>
  <si>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</si>
  <si>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</si>
  <si>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</si>
  <si>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</si>
  <si>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</si>
  <si>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</si>
  <si>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</si>
  <si>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Knife</t>
    <phoneticPr fontId="1" type="noConversion"/>
  </si>
  <si>
    <t>Pistol</t>
    <phoneticPr fontId="1" type="noConversion"/>
  </si>
  <si>
    <t>Machine gun</t>
    <phoneticPr fontId="1" type="noConversion"/>
  </si>
  <si>
    <t>手電筒</t>
  </si>
  <si>
    <t>小刀</t>
  </si>
  <si>
    <t>手槍</t>
  </si>
  <si>
    <t>機槍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</si>
  <si>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</si>
  <si>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</si>
  <si>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</si>
  <si>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</si>
  <si>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</si>
  <si>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</si>
  <si>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</si>
  <si>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</si>
  <si>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</si>
  <si>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Effect</t>
    <phoneticPr fontId="1" type="noConversion"/>
  </si>
  <si>
    <t>緊張不安</t>
  </si>
  <si>
    <t>隨機</t>
  </si>
  <si>
    <t>壓力</t>
  </si>
  <si>
    <t>善於安撫</t>
  </si>
  <si>
    <t>拾荒者</t>
  </si>
  <si>
    <t>笨拙的槍手</t>
  </si>
  <si>
    <t>被動</t>
  </si>
  <si>
    <t>老練的槍手</t>
  </si>
  <si>
    <t>天才的槍手</t>
  </si>
  <si>
    <t>Nervous</t>
  </si>
  <si>
    <t>Good appease</t>
  </si>
  <si>
    <t>The scavengers</t>
  </si>
  <si>
    <t>Clumsy shooter</t>
  </si>
  <si>
    <t>Veteran shooter</t>
  </si>
  <si>
    <t>Gifted shooter</t>
  </si>
  <si>
    <t>特性(Mode)</t>
    <phoneticPr fontId="1" type="noConversion"/>
  </si>
  <si>
    <t>隨機</t>
    <phoneticPr fontId="1" type="noConversion"/>
  </si>
  <si>
    <t>被動</t>
    <phoneticPr fontId="1" type="noConversion"/>
  </si>
  <si>
    <t>裝備(Resource)</t>
    <phoneticPr fontId="1" type="noConversion"/>
  </si>
  <si>
    <t>特性(Effect)</t>
    <phoneticPr fontId="1" type="noConversion"/>
  </si>
  <si>
    <t>通貨</t>
  </si>
  <si>
    <t>耐力</t>
  </si>
  <si>
    <t>回復</t>
  </si>
  <si>
    <t>致命</t>
    <phoneticPr fontId="1" type="noConversion"/>
  </si>
  <si>
    <t>增傷</t>
  </si>
  <si>
    <t>增傷</t>
    <phoneticPr fontId="1" type="noConversion"/>
  </si>
  <si>
    <t>Group</t>
    <phoneticPr fontId="1" type="noConversion"/>
  </si>
  <si>
    <t>GUID</t>
    <phoneticPr fontId="1" type="noConversion"/>
  </si>
  <si>
    <t>StrID</t>
    <phoneticPr fontId="1" type="noConversion"/>
  </si>
  <si>
    <t>Mode</t>
    <phoneticPr fontId="1" type="noConversion"/>
  </si>
  <si>
    <t>HP</t>
    <phoneticPr fontId="1" type="noConversion"/>
  </si>
  <si>
    <t>Speed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</si>
  <si>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</si>
  <si>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</si>
  <si>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</si>
  <si>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</si>
  <si>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</si>
  <si>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</si>
  <si>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</si>
  <si>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殭屍</t>
    <phoneticPr fontId="1" type="noConversion"/>
  </si>
  <si>
    <t>怪物2</t>
    <phoneticPr fontId="1" type="noConversion"/>
  </si>
  <si>
    <t>怪物3</t>
    <phoneticPr fontId="1" type="noConversion"/>
  </si>
  <si>
    <t>Zombie</t>
  </si>
  <si>
    <t>Monster2</t>
    <phoneticPr fontId="1" type="noConversion"/>
  </si>
  <si>
    <t>Monster3</t>
    <phoneticPr fontId="1" type="noConversion"/>
  </si>
  <si>
    <t>輸出路徑：</t>
    <phoneticPr fontId="1" type="noConversion"/>
  </si>
  <si>
    <t>F:\Project\project_acg\Client\Assets\Resources\DBF\</t>
    <phoneticPr fontId="1" type="noConversion"/>
  </si>
  <si>
    <t>CriticalStrike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</si>
</sst>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34"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30" totalsRowShown="0" headerRowDxfId="33">
  <autoFilter ref="A1:C30"/>
  <tableColumns count="3">
    <tableColumn id="1" name="GUID" dataDxfId="32"/>
    <tableColumn id="2" name="enUS" dataDxfId="31"/>
    <tableColumn id="3" name="zhTW" dataDxfId="3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H30" totalsRowShown="0" headerRowDxfId="29" headerRowBorderDxfId="28" tableBorderDxfId="27" totalsRowBorderDxfId="26">
  <autoFilter ref="A1:H30"/>
  <tableColumns count="8">
    <tableColumn id="1" name="GUID" dataDxfId="25"/>
    <tableColumn id="2" name="StrID" dataDxfId="24"/>
    <tableColumn id="3" name="Mode" dataDxfId="23"/>
    <tableColumn id="4" name="Damage" dataDxfId="22"/>
    <tableColumn id="8" name="CriticalStrike" dataDxfId="21"/>
    <tableColumn id="5" name="FireRate" dataDxfId="20"/>
    <tableColumn id="6" name="Range" dataDxfId="19"/>
    <tableColumn id="7" name="Resource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31" totalsRowShown="0" headerRowDxfId="17">
  <autoFilter ref="A1:H31"/>
  <tableColumns count="8">
    <tableColumn id="1" name="GUID" dataDxfId="16"/>
    <tableColumn id="2" name="StrID" dataDxfId="15"/>
    <tableColumn id="3" name="Mode" dataDxfId="14"/>
    <tableColumn id="4" name="Group" dataDxfId="13"/>
    <tableColumn id="5" name="Chances" dataDxfId="12"/>
    <tableColumn id="6" name="Cooldown" dataDxfId="11"/>
    <tableColumn id="7" name="Effect" dataDxfId="10"/>
    <tableColumn id="8" name="Value" dataDxf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31" totalsRowShown="0" headerRowDxfId="8" dataDxfId="7">
  <autoFilter ref="A1:G31"/>
  <tableColumns count="7">
    <tableColumn id="1" name="GUID" dataDxfId="6"/>
    <tableColumn id="2" name="StrID" dataDxfId="5"/>
    <tableColumn id="3" name="Mode" dataDxfId="4"/>
    <tableColumn id="4" name="HP" dataDxfId="3"/>
    <tableColumn id="5" name="Speed" dataDxfId="2"/>
    <tableColumn id="6" name="Threat" dataDxfId="1"/>
    <tableColumn id="7" name="StageI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7" sqref="B7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4" t="s">
        <v>89</v>
      </c>
      <c r="B1" s="3" t="s">
        <v>90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4"/>
  <sheetViews>
    <sheetView workbookViewId="0">
      <pane ySplit="1" topLeftCell="A2" activePane="bottomLeft" state="frozen"/>
      <selection pane="bottomLeft" activeCell="B15" sqref="B15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26</v>
      </c>
      <c r="C2" s="3" t="s">
        <v>30</v>
      </c>
    </row>
    <row r="3" spans="1:3" x14ac:dyDescent="0.25">
      <c r="A3" s="3">
        <v>1002</v>
      </c>
      <c r="B3" s="3" t="s">
        <v>27</v>
      </c>
      <c r="C3" s="3" t="s">
        <v>31</v>
      </c>
    </row>
    <row r="4" spans="1:3" x14ac:dyDescent="0.25">
      <c r="A4" s="3">
        <v>1003</v>
      </c>
      <c r="B4" s="3" t="s">
        <v>28</v>
      </c>
      <c r="C4" s="3" t="s">
        <v>32</v>
      </c>
    </row>
    <row r="5" spans="1:3" x14ac:dyDescent="0.25">
      <c r="A5" s="3">
        <v>1004</v>
      </c>
      <c r="B5" s="3" t="s">
        <v>29</v>
      </c>
      <c r="C5" s="3" t="s">
        <v>33</v>
      </c>
    </row>
    <row r="6" spans="1:3" x14ac:dyDescent="0.25">
      <c r="A6" s="3">
        <v>2001</v>
      </c>
      <c r="B6" s="3" t="s">
        <v>53</v>
      </c>
      <c r="C6" s="3" t="s">
        <v>44</v>
      </c>
    </row>
    <row r="7" spans="1:3" x14ac:dyDescent="0.25">
      <c r="A7" s="3">
        <v>2002</v>
      </c>
      <c r="B7" s="3" t="s">
        <v>54</v>
      </c>
      <c r="C7" s="3" t="s">
        <v>47</v>
      </c>
    </row>
    <row r="8" spans="1:3" x14ac:dyDescent="0.25">
      <c r="A8" s="3">
        <v>2003</v>
      </c>
      <c r="B8" s="3" t="s">
        <v>55</v>
      </c>
      <c r="C8" s="3" t="s">
        <v>48</v>
      </c>
    </row>
    <row r="9" spans="1:3" x14ac:dyDescent="0.25">
      <c r="A9" s="3">
        <v>2004</v>
      </c>
      <c r="B9" s="3" t="s">
        <v>56</v>
      </c>
      <c r="C9" s="3" t="s">
        <v>49</v>
      </c>
    </row>
    <row r="10" spans="1:3" x14ac:dyDescent="0.25">
      <c r="A10" s="3">
        <v>2005</v>
      </c>
      <c r="B10" s="3" t="s">
        <v>57</v>
      </c>
      <c r="C10" s="3" t="s">
        <v>51</v>
      </c>
    </row>
    <row r="11" spans="1:3" x14ac:dyDescent="0.25">
      <c r="A11" s="3">
        <v>2006</v>
      </c>
      <c r="B11" s="3" t="s">
        <v>58</v>
      </c>
      <c r="C11" s="3" t="s">
        <v>52</v>
      </c>
    </row>
    <row r="12" spans="1:3" x14ac:dyDescent="0.25">
      <c r="A12" s="3">
        <v>3001</v>
      </c>
      <c r="B12" s="3" t="s">
        <v>86</v>
      </c>
      <c r="C12" s="3" t="s">
        <v>83</v>
      </c>
    </row>
    <row r="13" spans="1:3" x14ac:dyDescent="0.25">
      <c r="A13" s="3">
        <v>3002</v>
      </c>
      <c r="B13" s="3" t="s">
        <v>87</v>
      </c>
      <c r="C13" s="3" t="s">
        <v>84</v>
      </c>
    </row>
    <row r="14" spans="1:3" x14ac:dyDescent="0.25">
      <c r="A14" s="3">
        <v>3003</v>
      </c>
      <c r="B14" s="3" t="s">
        <v>88</v>
      </c>
      <c r="C14" s="3" t="s">
        <v>85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J5"/>
  <sheetViews>
    <sheetView workbookViewId="0">
      <pane ySplit="1" topLeftCell="A2" activePane="bottomLeft" state="frozen"/>
      <selection pane="bottomLeft" activeCell="C2" sqref="C2"/>
    </sheetView>
  </sheetViews>
  <sheetFormatPr defaultRowHeight="16.5" x14ac:dyDescent="0.25"/>
  <cols>
    <col min="1" max="8" width="15.625" style="3" customWidth="1"/>
    <col min="9" max="9" width="3.125" style="3" customWidth="1"/>
    <col min="10" max="10" width="40.625" style="3" customWidth="1"/>
    <col min="11" max="16384" width="9" style="3"/>
  </cols>
  <sheetData>
    <row r="1" spans="1:10" s="2" customFormat="1" x14ac:dyDescent="0.25">
      <c r="A1" s="2" t="s">
        <v>0</v>
      </c>
      <c r="B1" s="2" t="s">
        <v>3</v>
      </c>
      <c r="C1" s="2" t="s">
        <v>4</v>
      </c>
      <c r="D1" s="2" t="s">
        <v>5</v>
      </c>
      <c r="E1" s="2" t="s">
        <v>91</v>
      </c>
      <c r="F1" s="2" t="s">
        <v>6</v>
      </c>
      <c r="G1" s="2" t="s">
        <v>7</v>
      </c>
      <c r="H1" s="2" t="s">
        <v>8</v>
      </c>
      <c r="J1" s="2" t="s">
        <v>9</v>
      </c>
    </row>
    <row r="2" spans="1:10" x14ac:dyDescent="0.25">
      <c r="A2" s="3">
        <v>1</v>
      </c>
      <c r="B2" s="3">
        <v>1001</v>
      </c>
      <c r="C2" s="3" t="s">
        <v>34</v>
      </c>
      <c r="D2" s="3">
        <v>0</v>
      </c>
      <c r="E2" s="3">
        <v>0</v>
      </c>
      <c r="F2" s="3">
        <v>0</v>
      </c>
      <c r="G2" s="3" t="s">
        <v>15</v>
      </c>
      <c r="H2" s="3" t="s">
        <v>24</v>
      </c>
    </row>
    <row r="3" spans="1:10" x14ac:dyDescent="0.25">
      <c r="A3" s="3">
        <v>2</v>
      </c>
      <c r="B3" s="3">
        <v>1002</v>
      </c>
      <c r="C3" s="3" t="s">
        <v>35</v>
      </c>
      <c r="D3" s="3">
        <v>1</v>
      </c>
      <c r="E3" s="3">
        <v>25</v>
      </c>
      <c r="F3" s="3">
        <v>0.5</v>
      </c>
      <c r="G3" s="3" t="s">
        <v>13</v>
      </c>
      <c r="H3" s="3" t="s">
        <v>18</v>
      </c>
    </row>
    <row r="4" spans="1:10" x14ac:dyDescent="0.25">
      <c r="A4" s="3">
        <v>3</v>
      </c>
      <c r="B4" s="3">
        <v>1003</v>
      </c>
      <c r="C4" s="3" t="s">
        <v>35</v>
      </c>
      <c r="D4" s="3">
        <v>6</v>
      </c>
      <c r="E4" s="3">
        <v>20</v>
      </c>
      <c r="F4" s="3">
        <v>1.5</v>
      </c>
      <c r="G4" s="3" t="s">
        <v>15</v>
      </c>
      <c r="H4" s="3" t="s">
        <v>20</v>
      </c>
    </row>
    <row r="5" spans="1:10" x14ac:dyDescent="0.25">
      <c r="A5" s="3">
        <v>4</v>
      </c>
      <c r="B5" s="3">
        <v>1004</v>
      </c>
      <c r="C5" s="3" t="s">
        <v>35</v>
      </c>
      <c r="D5" s="3">
        <v>2</v>
      </c>
      <c r="E5" s="3">
        <v>10</v>
      </c>
      <c r="F5" s="3">
        <v>0.25</v>
      </c>
      <c r="G5" s="3" t="s">
        <v>15</v>
      </c>
      <c r="H5" s="6" t="s">
        <v>22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H1:H1048576</xm:sqref>
        </x14:dataValidation>
        <x14:dataValidation type="list" allowBlank="1" showInputMessage="1" showErrorMessage="1">
          <x14:formula1>
            <xm:f>選項清單!$C$3:$C$4</xm:f>
          </x14:formula1>
          <xm:sqref>G1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G1:G1048576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7"/>
  <sheetViews>
    <sheetView workbookViewId="0">
      <pane ySplit="1" topLeftCell="A2" activePane="bottomLeft" state="frozen"/>
      <selection pane="bottomLeft" activeCell="D2" sqref="D2"/>
    </sheetView>
  </sheetViews>
  <sheetFormatPr defaultRowHeight="16.5" x14ac:dyDescent="0.25"/>
  <cols>
    <col min="1" max="8" width="15.625" style="3" customWidth="1"/>
    <col min="9" max="9" width="3.125" style="3" customWidth="1"/>
    <col min="10" max="10" width="40.625" style="3" customWidth="1"/>
    <col min="11" max="16384" width="9" style="3"/>
  </cols>
  <sheetData>
    <row r="1" spans="1:10" s="2" customFormat="1" x14ac:dyDescent="0.25">
      <c r="A1" s="2" t="s">
        <v>36</v>
      </c>
      <c r="B1" s="2" t="s">
        <v>37</v>
      </c>
      <c r="C1" s="2" t="s">
        <v>38</v>
      </c>
      <c r="D1" s="2" t="s">
        <v>70</v>
      </c>
      <c r="E1" s="2" t="s">
        <v>42</v>
      </c>
      <c r="F1" s="2" t="s">
        <v>39</v>
      </c>
      <c r="G1" s="2" t="s">
        <v>43</v>
      </c>
      <c r="H1" s="2" t="s">
        <v>40</v>
      </c>
      <c r="J1" s="2" t="s">
        <v>41</v>
      </c>
    </row>
    <row r="2" spans="1:10" x14ac:dyDescent="0.25">
      <c r="A2" s="3">
        <v>1</v>
      </c>
      <c r="B2" s="3">
        <v>2001</v>
      </c>
      <c r="C2" s="3" t="s">
        <v>45</v>
      </c>
      <c r="D2" s="3">
        <v>0</v>
      </c>
      <c r="E2" s="3">
        <v>30</v>
      </c>
      <c r="F2" s="3">
        <v>5</v>
      </c>
      <c r="G2" s="3" t="s">
        <v>46</v>
      </c>
      <c r="H2" s="3">
        <v>1</v>
      </c>
    </row>
    <row r="3" spans="1:10" x14ac:dyDescent="0.25">
      <c r="A3" s="3">
        <v>2</v>
      </c>
      <c r="B3" s="3">
        <v>2002</v>
      </c>
      <c r="C3" s="3" t="s">
        <v>45</v>
      </c>
      <c r="D3" s="3">
        <v>0</v>
      </c>
      <c r="E3" s="3">
        <v>10</v>
      </c>
      <c r="F3" s="3">
        <v>20</v>
      </c>
      <c r="G3" s="3" t="s">
        <v>46</v>
      </c>
      <c r="H3" s="3">
        <v>-10</v>
      </c>
    </row>
    <row r="4" spans="1:10" x14ac:dyDescent="0.25">
      <c r="A4" s="3">
        <v>3</v>
      </c>
      <c r="B4" s="3">
        <v>2003</v>
      </c>
      <c r="C4" s="3" t="s">
        <v>45</v>
      </c>
      <c r="D4" s="3">
        <v>0</v>
      </c>
      <c r="E4" s="3">
        <v>5</v>
      </c>
      <c r="F4" s="3">
        <v>30</v>
      </c>
      <c r="G4" s="3" t="s">
        <v>24</v>
      </c>
      <c r="H4" s="3">
        <v>5</v>
      </c>
    </row>
    <row r="5" spans="1:10" x14ac:dyDescent="0.25">
      <c r="A5" s="3">
        <v>4</v>
      </c>
      <c r="B5" s="3">
        <v>2004</v>
      </c>
      <c r="C5" s="3" t="s">
        <v>50</v>
      </c>
      <c r="D5" s="3">
        <v>1</v>
      </c>
      <c r="E5" s="3">
        <v>0</v>
      </c>
      <c r="F5" s="3">
        <v>0</v>
      </c>
      <c r="G5" s="3" t="s">
        <v>68</v>
      </c>
      <c r="H5" s="3">
        <v>-1</v>
      </c>
    </row>
    <row r="6" spans="1:10" x14ac:dyDescent="0.25">
      <c r="A6" s="3">
        <v>5</v>
      </c>
      <c r="B6" s="3">
        <v>2005</v>
      </c>
      <c r="C6" s="3" t="s">
        <v>50</v>
      </c>
      <c r="D6" s="3">
        <v>1</v>
      </c>
      <c r="E6" s="3">
        <v>0</v>
      </c>
      <c r="F6" s="3">
        <v>0</v>
      </c>
      <c r="G6" s="3" t="s">
        <v>68</v>
      </c>
      <c r="H6" s="3">
        <v>1</v>
      </c>
    </row>
    <row r="7" spans="1:10" x14ac:dyDescent="0.25">
      <c r="A7" s="3">
        <v>6</v>
      </c>
      <c r="B7" s="3">
        <v>2006</v>
      </c>
      <c r="C7" s="3" t="s">
        <v>50</v>
      </c>
      <c r="D7" s="3">
        <v>1</v>
      </c>
      <c r="E7" s="3">
        <v>0</v>
      </c>
      <c r="F7" s="3">
        <v>0</v>
      </c>
      <c r="G7" s="3" t="s">
        <v>68</v>
      </c>
      <c r="H7" s="3">
        <v>2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選項清單!$G$2:$G$4</xm:f>
          </x14:formula1>
          <xm:sqref>C1:C1048576 C1</xm:sqref>
        </x14:dataValidation>
        <x14:dataValidation type="list" allowBlank="1" showInputMessage="1" showErrorMessage="1">
          <x14:formula1>
            <xm:f>選項清單!$I$2:$I$11</xm:f>
          </x14:formula1>
          <xm:sqref>G1:G1048576 G1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I4"/>
  <sheetViews>
    <sheetView workbookViewId="0">
      <pane ySplit="1" topLeftCell="A2" activePane="bottomLeft" state="frozen"/>
      <selection pane="bottomLeft" activeCell="G5" sqref="G5"/>
    </sheetView>
  </sheetViews>
  <sheetFormatPr defaultRowHeight="16.5" x14ac:dyDescent="0.25"/>
  <cols>
    <col min="1" max="1" width="15.625" style="11" customWidth="1"/>
    <col min="2" max="2" width="15.625" style="13" customWidth="1"/>
    <col min="3" max="3" width="15.625" style="10" customWidth="1"/>
    <col min="4" max="7" width="15.625" style="13" customWidth="1"/>
    <col min="8" max="8" width="3.125" style="10" customWidth="1"/>
    <col min="9" max="9" width="40.625" style="10" customWidth="1"/>
    <col min="10" max="16384" width="9" style="10"/>
  </cols>
  <sheetData>
    <row r="1" spans="1:9" s="2" customFormat="1" x14ac:dyDescent="0.25">
      <c r="A1" s="12" t="s">
        <v>71</v>
      </c>
      <c r="B1" s="2" t="s">
        <v>72</v>
      </c>
      <c r="C1" s="2" t="s">
        <v>73</v>
      </c>
      <c r="D1" s="2" t="s">
        <v>74</v>
      </c>
      <c r="E1" s="2" t="s">
        <v>75</v>
      </c>
      <c r="F1" s="2" t="s">
        <v>76</v>
      </c>
      <c r="G1" s="2" t="s">
        <v>77</v>
      </c>
      <c r="I1" s="2" t="s">
        <v>78</v>
      </c>
    </row>
    <row r="2" spans="1:9" x14ac:dyDescent="0.25">
      <c r="A2" s="11">
        <v>1</v>
      </c>
      <c r="B2" s="13">
        <v>3001</v>
      </c>
      <c r="C2" s="10" t="s">
        <v>81</v>
      </c>
      <c r="D2" s="13">
        <v>6</v>
      </c>
      <c r="E2" s="13">
        <v>1</v>
      </c>
      <c r="F2" s="13">
        <v>1</v>
      </c>
      <c r="G2" s="13">
        <v>1</v>
      </c>
    </row>
    <row r="3" spans="1:9" x14ac:dyDescent="0.25">
      <c r="A3" s="11">
        <v>2</v>
      </c>
      <c r="B3" s="13">
        <v>3002</v>
      </c>
      <c r="C3" s="10" t="s">
        <v>81</v>
      </c>
      <c r="D3" s="13">
        <v>10</v>
      </c>
      <c r="E3" s="13">
        <v>2</v>
      </c>
      <c r="F3" s="13">
        <v>2</v>
      </c>
      <c r="G3" s="13">
        <v>1</v>
      </c>
    </row>
    <row r="4" spans="1:9" x14ac:dyDescent="0.25">
      <c r="A4" s="11">
        <v>3</v>
      </c>
      <c r="B4" s="13">
        <v>3003</v>
      </c>
      <c r="C4" s="10" t="s">
        <v>81</v>
      </c>
      <c r="D4" s="13">
        <v>14</v>
      </c>
      <c r="E4" s="13">
        <v>3</v>
      </c>
      <c r="F4" s="13">
        <v>3</v>
      </c>
      <c r="G4" s="13">
        <v>1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選項清單!$K$2:$K$3</xm:f>
          </x14:formula1>
          <xm:sqref>C1:C1048576 C1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L11"/>
  <sheetViews>
    <sheetView workbookViewId="0">
      <selection activeCell="I3" sqref="I3:I11"/>
    </sheetView>
  </sheetViews>
  <sheetFormatPr defaultRowHeight="16.5" x14ac:dyDescent="0.25"/>
  <cols>
    <col min="1" max="1" width="9" style="4" customWidth="1"/>
    <col min="2" max="16384" width="9" style="4"/>
  </cols>
  <sheetData>
    <row r="1" spans="1:12" x14ac:dyDescent="0.25">
      <c r="A1" s="15" t="s">
        <v>10</v>
      </c>
      <c r="B1" s="15"/>
      <c r="C1" s="15" t="s">
        <v>17</v>
      </c>
      <c r="D1" s="15"/>
      <c r="E1" s="15" t="s">
        <v>62</v>
      </c>
      <c r="F1" s="16"/>
      <c r="G1" s="15" t="s">
        <v>59</v>
      </c>
      <c r="H1" s="16"/>
      <c r="I1" s="15" t="s">
        <v>63</v>
      </c>
      <c r="J1" s="16"/>
      <c r="K1" s="15" t="s">
        <v>79</v>
      </c>
      <c r="L1" s="16"/>
    </row>
    <row r="2" spans="1:12" x14ac:dyDescent="0.25">
      <c r="A2" s="4" t="s">
        <v>19</v>
      </c>
      <c r="B2" s="4">
        <v>0</v>
      </c>
      <c r="C2" s="4" t="s">
        <v>19</v>
      </c>
      <c r="D2" s="4">
        <v>0</v>
      </c>
      <c r="E2" s="7" t="s">
        <v>19</v>
      </c>
      <c r="F2" s="4">
        <v>0</v>
      </c>
      <c r="G2" s="4" t="s">
        <v>19</v>
      </c>
      <c r="H2" s="4">
        <v>0</v>
      </c>
      <c r="I2" s="4" t="s">
        <v>19</v>
      </c>
      <c r="J2" s="4">
        <v>0</v>
      </c>
      <c r="K2" s="4" t="s">
        <v>80</v>
      </c>
      <c r="L2" s="4">
        <v>0</v>
      </c>
    </row>
    <row r="3" spans="1:12" x14ac:dyDescent="0.25">
      <c r="A3" s="4" t="s">
        <v>11</v>
      </c>
      <c r="B3" s="4">
        <v>1</v>
      </c>
      <c r="C3" s="4" t="s">
        <v>14</v>
      </c>
      <c r="D3" s="4">
        <v>1</v>
      </c>
      <c r="E3" s="7" t="s">
        <v>25</v>
      </c>
      <c r="F3" s="4">
        <v>1</v>
      </c>
      <c r="G3" s="4" t="s">
        <v>60</v>
      </c>
      <c r="H3" s="4">
        <v>1</v>
      </c>
      <c r="I3" s="8" t="s">
        <v>64</v>
      </c>
      <c r="J3" s="4">
        <v>1</v>
      </c>
      <c r="K3" s="4" t="s">
        <v>82</v>
      </c>
      <c r="L3" s="4">
        <v>1</v>
      </c>
    </row>
    <row r="4" spans="1:12" x14ac:dyDescent="0.25">
      <c r="A4" s="4" t="s">
        <v>12</v>
      </c>
      <c r="B4" s="4">
        <v>2</v>
      </c>
      <c r="C4" s="4" t="s">
        <v>16</v>
      </c>
      <c r="D4" s="4">
        <v>2</v>
      </c>
      <c r="E4" s="7" t="s">
        <v>21</v>
      </c>
      <c r="F4" s="4">
        <v>2</v>
      </c>
      <c r="G4" s="4" t="s">
        <v>61</v>
      </c>
      <c r="H4" s="4">
        <v>2</v>
      </c>
      <c r="I4" s="8" t="s">
        <v>46</v>
      </c>
      <c r="J4" s="4">
        <v>2</v>
      </c>
    </row>
    <row r="5" spans="1:12" x14ac:dyDescent="0.25">
      <c r="E5" s="7" t="s">
        <v>23</v>
      </c>
      <c r="F5" s="4">
        <v>3</v>
      </c>
      <c r="I5" s="8" t="s">
        <v>65</v>
      </c>
      <c r="J5" s="4">
        <v>3</v>
      </c>
    </row>
    <row r="6" spans="1:12" x14ac:dyDescent="0.25">
      <c r="I6" s="8" t="s">
        <v>24</v>
      </c>
      <c r="J6" s="4">
        <v>4</v>
      </c>
    </row>
    <row r="7" spans="1:12" x14ac:dyDescent="0.25">
      <c r="I7" s="8" t="s">
        <v>20</v>
      </c>
      <c r="J7" s="4">
        <v>5</v>
      </c>
    </row>
    <row r="8" spans="1:12" x14ac:dyDescent="0.25">
      <c r="I8" s="8" t="s">
        <v>22</v>
      </c>
      <c r="J8" s="4">
        <v>6</v>
      </c>
    </row>
    <row r="9" spans="1:12" x14ac:dyDescent="0.25">
      <c r="I9" s="8" t="s">
        <v>66</v>
      </c>
      <c r="J9" s="4">
        <v>7</v>
      </c>
    </row>
    <row r="10" spans="1:12" x14ac:dyDescent="0.25">
      <c r="I10" s="4" t="s">
        <v>67</v>
      </c>
      <c r="J10" s="4">
        <v>8</v>
      </c>
    </row>
    <row r="11" spans="1:12" x14ac:dyDescent="0.25">
      <c r="I11" s="4" t="s">
        <v>69</v>
      </c>
      <c r="J11" s="4">
        <v>9</v>
      </c>
    </row>
  </sheetData>
  <sortState ref="I3:J11">
    <sortCondition ref="J2"/>
  </sortState>
  <mergeCells count="6">
    <mergeCell ref="K1:L1"/>
    <mergeCell ref="A1:B1"/>
    <mergeCell ref="C1:D1"/>
    <mergeCell ref="E1:F1"/>
    <mergeCell ref="G1:H1"/>
    <mergeCell ref="I1:J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30"/>
  <sheetViews>
    <sheetView workbookViewId="0">
      <selection activeCell="C3" sqref="C3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 x14ac:dyDescent="0.25">
      <c r="A5" t="str">
        <f>ToResult(語言列表!A5)</f>
        <v>1004</v>
      </c>
      <c r="B5" t="str">
        <f>ToResult(語言列表!B5)</f>
        <v>Machine gun</v>
      </c>
      <c r="C5" t="str">
        <f>ToResult(語言列表!C5)</f>
        <v>機槍</v>
      </c>
    </row>
    <row r="6" spans="1:3" x14ac:dyDescent="0.25">
      <c r="A6" t="str">
        <f>ToResult(語言列表!A6)</f>
        <v>2001</v>
      </c>
      <c r="B6" t="str">
        <f>ToResult(語言列表!B6)</f>
        <v>Nervous</v>
      </c>
      <c r="C6" t="str">
        <f>ToResult(語言列表!C6)</f>
        <v>緊張不安</v>
      </c>
    </row>
    <row r="7" spans="1:3" x14ac:dyDescent="0.25">
      <c r="A7" t="str">
        <f>ToResult(語言列表!A7)</f>
        <v>2002</v>
      </c>
      <c r="B7" t="str">
        <f>ToResult(語言列表!B7)</f>
        <v>Good appease</v>
      </c>
      <c r="C7" t="str">
        <f>ToResult(語言列表!C7)</f>
        <v>善於安撫</v>
      </c>
    </row>
    <row r="8" spans="1:3" x14ac:dyDescent="0.25">
      <c r="A8" t="str">
        <f>ToResult(語言列表!A8)</f>
        <v>2003</v>
      </c>
      <c r="B8" t="str">
        <f>ToResult(語言列表!B8)</f>
        <v>The scavengers</v>
      </c>
      <c r="C8" t="str">
        <f>ToResult(語言列表!C8)</f>
        <v>拾荒者</v>
      </c>
    </row>
    <row r="9" spans="1:3" x14ac:dyDescent="0.25">
      <c r="A9" t="str">
        <f>ToResult(語言列表!A9)</f>
        <v>2004</v>
      </c>
      <c r="B9" t="str">
        <f>ToResult(語言列表!B9)</f>
        <v>Clumsy shooter</v>
      </c>
      <c r="C9" t="str">
        <f>ToResult(語言列表!C9)</f>
        <v>笨拙的槍手</v>
      </c>
    </row>
    <row r="10" spans="1:3" x14ac:dyDescent="0.25">
      <c r="A10" t="str">
        <f>ToResult(語言列表!A10)</f>
        <v>2005</v>
      </c>
      <c r="B10" t="str">
        <f>ToResult(語言列表!B10)</f>
        <v>Veteran shooter</v>
      </c>
      <c r="C10" t="str">
        <f>ToResult(語言列表!C10)</f>
        <v>老練的槍手</v>
      </c>
    </row>
    <row r="11" spans="1:3" x14ac:dyDescent="0.25">
      <c r="A11" t="str">
        <f>ToResult(語言列表!A11)</f>
        <v>2006</v>
      </c>
      <c r="B11" t="str">
        <f>ToResult(語言列表!B11)</f>
        <v>Gifted shooter</v>
      </c>
      <c r="C11" t="str">
        <f>ToResult(語言列表!C11)</f>
        <v>天才的槍手</v>
      </c>
    </row>
    <row r="12" spans="1:3" x14ac:dyDescent="0.25">
      <c r="A12" t="str">
        <f>ToResult(語言列表!A12)</f>
        <v>3001</v>
      </c>
      <c r="B12" t="str">
        <f>ToResult(語言列表!B12)</f>
        <v>Zombie</v>
      </c>
      <c r="C12" t="str">
        <f>ToResult(語言列表!C12)</f>
        <v>殭屍</v>
      </c>
    </row>
    <row r="13" spans="1:3" x14ac:dyDescent="0.25">
      <c r="A13" t="str">
        <f>ToResult(語言列表!A13)</f>
        <v>3002</v>
      </c>
      <c r="B13" t="str">
        <f>ToResult(語言列表!B13)</f>
        <v>Monster2</v>
      </c>
      <c r="C13" t="str">
        <f>ToResult(語言列表!C13)</f>
        <v>怪物2</v>
      </c>
    </row>
    <row r="14" spans="1:3" x14ac:dyDescent="0.25">
      <c r="A14" t="str">
        <f>ToResult(語言列表!A14)</f>
        <v>3003</v>
      </c>
      <c r="B14" t="str">
        <f>ToResult(語言列表!B14)</f>
        <v>Monster3</v>
      </c>
      <c r="C14" t="str">
        <f>ToResult(語言列表!C14)</f>
        <v>怪物3</v>
      </c>
    </row>
    <row r="15" spans="1:3" x14ac:dyDescent="0.25">
      <c r="A15" t="str">
        <f>ToResult(語言列表!A15)</f>
        <v/>
      </c>
      <c r="B15" t="str">
        <f>ToResult(語言列表!B15)</f>
        <v/>
      </c>
      <c r="C15" t="str">
        <f>ToResult(語言列表!C15)</f>
        <v/>
      </c>
    </row>
    <row r="16" spans="1:3" x14ac:dyDescent="0.25">
      <c r="A16" t="str">
        <f>ToResult(語言列表!A16)</f>
        <v/>
      </c>
      <c r="B16" t="str">
        <f>ToResult(語言列表!B16)</f>
        <v/>
      </c>
      <c r="C16" t="str">
        <f>ToResult(語言列表!C16)</f>
        <v/>
      </c>
    </row>
    <row r="17" spans="1:3" x14ac:dyDescent="0.25">
      <c r="A17" t="str">
        <f>ToResult(語言列表!A17)</f>
        <v/>
      </c>
      <c r="B17" t="str">
        <f>ToResult(語言列表!B17)</f>
        <v/>
      </c>
      <c r="C17" t="str">
        <f>ToResult(語言列表!C17)</f>
        <v/>
      </c>
    </row>
    <row r="18" spans="1:3" x14ac:dyDescent="0.25">
      <c r="A18" t="str">
        <f>ToResult(語言列表!A18)</f>
        <v/>
      </c>
      <c r="B18" t="str">
        <f>ToResult(語言列表!B18)</f>
        <v/>
      </c>
      <c r="C18" t="str">
        <f>ToResult(語言列表!C18)</f>
        <v/>
      </c>
    </row>
    <row r="19" spans="1:3" x14ac:dyDescent="0.25">
      <c r="A19" t="str">
        <f>ToResult(語言列表!A19)</f>
        <v/>
      </c>
      <c r="B19" t="str">
        <f>ToResult(語言列表!B19)</f>
        <v/>
      </c>
      <c r="C19" t="str">
        <f>ToResult(語言列表!C19)</f>
        <v/>
      </c>
    </row>
    <row r="20" spans="1:3" x14ac:dyDescent="0.25">
      <c r="A20" t="str">
        <f>ToResult(語言列表!A20)</f>
        <v/>
      </c>
      <c r="B20" t="str">
        <f>ToResult(語言列表!B20)</f>
        <v/>
      </c>
      <c r="C20" t="str">
        <f>ToResult(語言列表!C20)</f>
        <v/>
      </c>
    </row>
    <row r="21" spans="1:3" x14ac:dyDescent="0.25">
      <c r="A21" t="str">
        <f>ToResult(語言列表!A21)</f>
        <v/>
      </c>
      <c r="B21" t="str">
        <f>ToResult(語言列表!B21)</f>
        <v/>
      </c>
      <c r="C21" t="str">
        <f>ToResult(語言列表!C21)</f>
        <v/>
      </c>
    </row>
    <row r="22" spans="1:3" x14ac:dyDescent="0.25">
      <c r="A22" t="str">
        <f>ToResult(語言列表!A22)</f>
        <v/>
      </c>
      <c r="B22" t="str">
        <f>ToResult(語言列表!B22)</f>
        <v/>
      </c>
      <c r="C22" t="str">
        <f>ToResult(語言列表!C22)</f>
        <v/>
      </c>
    </row>
    <row r="23" spans="1:3" x14ac:dyDescent="0.25">
      <c r="A23" t="str">
        <f>ToResult(語言列表!A23)</f>
        <v/>
      </c>
      <c r="B23" t="str">
        <f>ToResult(語言列表!B23)</f>
        <v/>
      </c>
      <c r="C23" t="str">
        <f>ToResult(語言列表!C23)</f>
        <v/>
      </c>
    </row>
    <row r="24" spans="1:3" x14ac:dyDescent="0.25">
      <c r="A24" t="str">
        <f>ToResult(語言列表!A24)</f>
        <v/>
      </c>
      <c r="B24" t="str">
        <f>ToResult(語言列表!B24)</f>
        <v/>
      </c>
      <c r="C24" t="str">
        <f>ToResult(語言列表!C24)</f>
        <v/>
      </c>
    </row>
    <row r="25" spans="1:3" x14ac:dyDescent="0.25">
      <c r="A25" t="str">
        <f>ToResult(語言列表!A25)</f>
        <v/>
      </c>
      <c r="B25" t="str">
        <f>ToResult(語言列表!B25)</f>
        <v/>
      </c>
      <c r="C25" t="str">
        <f>ToResult(語言列表!C25)</f>
        <v/>
      </c>
    </row>
    <row r="26" spans="1:3" x14ac:dyDescent="0.25">
      <c r="A26" t="str">
        <f>ToResult(語言列表!A26)</f>
        <v/>
      </c>
      <c r="B26" t="str">
        <f>ToResult(語言列表!B26)</f>
        <v/>
      </c>
      <c r="C26" t="str">
        <f>ToResult(語言列表!C26)</f>
        <v/>
      </c>
    </row>
    <row r="27" spans="1:3" x14ac:dyDescent="0.25">
      <c r="A27" t="str">
        <f>ToResult(語言列表!A27)</f>
        <v/>
      </c>
      <c r="B27" t="str">
        <f>ToResult(語言列表!B27)</f>
        <v/>
      </c>
      <c r="C27" t="str">
        <f>ToResult(語言列表!C27)</f>
        <v/>
      </c>
    </row>
    <row r="28" spans="1:3" x14ac:dyDescent="0.25">
      <c r="A28" t="str">
        <f>ToResult(語言列表!A28)</f>
        <v/>
      </c>
      <c r="B28" t="str">
        <f>ToResult(語言列表!B28)</f>
        <v/>
      </c>
      <c r="C28" t="str">
        <f>ToResult(語言列表!C28)</f>
        <v/>
      </c>
    </row>
    <row r="29" spans="1:3" x14ac:dyDescent="0.25">
      <c r="A29" t="str">
        <f>ToResult(語言列表!A29)</f>
        <v/>
      </c>
      <c r="B29" t="str">
        <f>ToResult(語言列表!B29)</f>
        <v/>
      </c>
      <c r="C29" t="str">
        <f>ToResult(語言列表!C29)</f>
        <v/>
      </c>
    </row>
    <row r="30" spans="1:3" x14ac:dyDescent="0.25">
      <c r="A30" t="str">
        <f>ToResult(語言列表!A30)</f>
        <v/>
      </c>
      <c r="B30" t="str">
        <f>ToResult(語言列表!B30)</f>
        <v/>
      </c>
      <c r="C30" t="str">
        <f>ToResult(語言列表!C30)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H30"/>
  <sheetViews>
    <sheetView workbookViewId="0">
      <selection activeCell="E1" sqref="E1"/>
    </sheetView>
  </sheetViews>
  <sheetFormatPr defaultRowHeight="16.5" x14ac:dyDescent="0.25"/>
  <cols>
    <col min="1" max="8" width="15.625" customWidth="1"/>
  </cols>
  <sheetData>
    <row r="1" spans="1:8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Damage</v>
      </c>
      <c r="E1" t="str">
        <f>裝備!E1</f>
        <v>CriticalStrike</v>
      </c>
      <c r="F1" t="str">
        <f>裝備!F1</f>
        <v>FireRate</v>
      </c>
      <c r="G1" t="str">
        <f>裝備!G1</f>
        <v>Range</v>
      </c>
      <c r="H1" t="str">
        <f>裝備!H1</f>
        <v>Resource</v>
      </c>
    </row>
    <row r="2" spans="1:8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0</v>
      </c>
      <c r="E2" t="str">
        <f>ToResult(裝備!E2)</f>
        <v>0</v>
      </c>
      <c r="F2" t="str">
        <f>ToResult(裝備!F2)</f>
        <v>0</v>
      </c>
      <c r="G2" t="str">
        <f>ToEquipRange(裝備!G2)</f>
        <v>2</v>
      </c>
      <c r="H2" t="str">
        <f>ToEquipResource(裝備!H2)</f>
        <v>1</v>
      </c>
    </row>
    <row r="3" spans="1:8" x14ac:dyDescent="0.25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1</v>
      </c>
      <c r="E3" t="str">
        <f>ToResult(裝備!E3)</f>
        <v>25</v>
      </c>
      <c r="F3" t="str">
        <f>ToResult(裝備!F3)</f>
        <v>0.5</v>
      </c>
      <c r="G3" t="str">
        <f>ToEquipRange(裝備!G3)</f>
        <v>1</v>
      </c>
      <c r="H3" t="str">
        <f>ToEquipResource(裝備!H3)</f>
        <v>0</v>
      </c>
    </row>
    <row r="4" spans="1:8" x14ac:dyDescent="0.25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20</v>
      </c>
      <c r="F4" t="str">
        <f>ToResult(裝備!F4)</f>
        <v>1.5</v>
      </c>
      <c r="G4" t="str">
        <f>ToEquipRange(裝備!G4)</f>
        <v>2</v>
      </c>
      <c r="H4" t="str">
        <f>ToEquipResource(裝備!H4)</f>
        <v>2</v>
      </c>
    </row>
    <row r="5" spans="1:8" x14ac:dyDescent="0.25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2</v>
      </c>
      <c r="E5" t="str">
        <f>ToResult(裝備!E5)</f>
        <v>10</v>
      </c>
      <c r="F5" t="str">
        <f>ToResult(裝備!F5)</f>
        <v>0.25</v>
      </c>
      <c r="G5" t="str">
        <f>ToEquipRange(裝備!G5)</f>
        <v>2</v>
      </c>
      <c r="H5" t="str">
        <f>ToEquipResource(裝備!H5)</f>
        <v>3</v>
      </c>
    </row>
    <row r="6" spans="1:8" x14ac:dyDescent="0.25">
      <c r="A6" t="str">
        <f>ToResult(裝備!A6)</f>
        <v/>
      </c>
      <c r="B6" t="str">
        <f>ToResult(裝備!B6)</f>
        <v/>
      </c>
      <c r="C6" t="str">
        <f>ToEquipMode(裝備!C6)</f>
        <v/>
      </c>
      <c r="D6" t="str">
        <f>ToResult(裝備!D6)</f>
        <v/>
      </c>
      <c r="E6" t="str">
        <f>ToResult(裝備!E6)</f>
        <v/>
      </c>
      <c r="F6" t="str">
        <f>ToResult(裝備!F6)</f>
        <v/>
      </c>
      <c r="G6" t="str">
        <f>ToEquipRange(裝備!G6)</f>
        <v/>
      </c>
      <c r="H6" t="str">
        <f>ToEquipResource(裝備!H6)</f>
        <v/>
      </c>
    </row>
    <row r="7" spans="1:8" x14ac:dyDescent="0.25">
      <c r="A7" t="str">
        <f>ToResult(裝備!A7)</f>
        <v/>
      </c>
      <c r="B7" t="str">
        <f>ToResult(裝備!B7)</f>
        <v/>
      </c>
      <c r="C7" t="str">
        <f>ToEquipMode(裝備!C7)</f>
        <v/>
      </c>
      <c r="D7" t="str">
        <f>ToResult(裝備!D7)</f>
        <v/>
      </c>
      <c r="E7" t="str">
        <f>ToResult(裝備!E7)</f>
        <v/>
      </c>
      <c r="F7" t="str">
        <f>ToResult(裝備!F7)</f>
        <v/>
      </c>
      <c r="G7" t="str">
        <f>ToEquipRange(裝備!G7)</f>
        <v/>
      </c>
      <c r="H7" t="str">
        <f>ToEquipResource(裝備!H7)</f>
        <v/>
      </c>
    </row>
    <row r="8" spans="1:8" x14ac:dyDescent="0.25">
      <c r="A8" t="str">
        <f>ToResult(裝備!A8)</f>
        <v/>
      </c>
      <c r="B8" t="str">
        <f>ToResult(裝備!B8)</f>
        <v/>
      </c>
      <c r="C8" t="str">
        <f>ToEquipMode(裝備!C8)</f>
        <v/>
      </c>
      <c r="D8" t="str">
        <f>ToResult(裝備!D8)</f>
        <v/>
      </c>
      <c r="E8" t="str">
        <f>ToResult(裝備!E8)</f>
        <v/>
      </c>
      <c r="F8" t="str">
        <f>ToResult(裝備!F8)</f>
        <v/>
      </c>
      <c r="G8" t="str">
        <f>ToEquipRange(裝備!G8)</f>
        <v/>
      </c>
      <c r="H8" t="str">
        <f>ToEquipResource(裝備!H8)</f>
        <v/>
      </c>
    </row>
    <row r="9" spans="1:8" x14ac:dyDescent="0.25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ToEquipRange(裝備!G9)</f>
        <v/>
      </c>
      <c r="H9" t="str">
        <f>ToEquipResource(裝備!H9)</f>
        <v/>
      </c>
    </row>
    <row r="10" spans="1:8" x14ac:dyDescent="0.25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ToEquipRange(裝備!G10)</f>
        <v/>
      </c>
      <c r="H10" t="str">
        <f>ToEquipResource(裝備!H10)</f>
        <v/>
      </c>
    </row>
    <row r="11" spans="1:8" x14ac:dyDescent="0.25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ToEquipRange(裝備!G11)</f>
        <v/>
      </c>
      <c r="H11" t="str">
        <f>ToEquipResource(裝備!H11)</f>
        <v/>
      </c>
    </row>
    <row r="12" spans="1:8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ToEquipRange(裝備!G12)</f>
        <v/>
      </c>
      <c r="H12" t="str">
        <f>ToEquipResource(裝備!H12)</f>
        <v/>
      </c>
    </row>
    <row r="13" spans="1:8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ToEquipRange(裝備!G13)</f>
        <v/>
      </c>
      <c r="H13" t="str">
        <f>ToEquipResource(裝備!H13)</f>
        <v/>
      </c>
    </row>
    <row r="14" spans="1:8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ToEquipRange(裝備!G14)</f>
        <v/>
      </c>
      <c r="H14" t="str">
        <f>ToEquipResource(裝備!H14)</f>
        <v/>
      </c>
    </row>
    <row r="15" spans="1:8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ToEquipRange(裝備!G15)</f>
        <v/>
      </c>
      <c r="H15" t="str">
        <f>ToEquipResource(裝備!H15)</f>
        <v/>
      </c>
    </row>
    <row r="16" spans="1:8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ToEquipRange(裝備!G16)</f>
        <v/>
      </c>
      <c r="H16" t="str">
        <f>ToEquipResource(裝備!H16)</f>
        <v/>
      </c>
    </row>
    <row r="17" spans="1:8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ToEquipRange(裝備!G17)</f>
        <v/>
      </c>
      <c r="H17" t="str">
        <f>ToEquipResource(裝備!H17)</f>
        <v/>
      </c>
    </row>
    <row r="18" spans="1:8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ToEquipRange(裝備!G18)</f>
        <v/>
      </c>
      <c r="H18" t="str">
        <f>ToEquipResource(裝備!H18)</f>
        <v/>
      </c>
    </row>
    <row r="19" spans="1:8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ToEquipRange(裝備!G19)</f>
        <v/>
      </c>
      <c r="H19" t="str">
        <f>ToEquipResource(裝備!H19)</f>
        <v/>
      </c>
    </row>
    <row r="20" spans="1:8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ToEquipRange(裝備!G20)</f>
        <v/>
      </c>
      <c r="H20" t="str">
        <f>ToEquipResource(裝備!H20)</f>
        <v/>
      </c>
    </row>
    <row r="21" spans="1:8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ToEquipRange(裝備!G21)</f>
        <v/>
      </c>
      <c r="H21" t="str">
        <f>ToEquipResource(裝備!H21)</f>
        <v/>
      </c>
    </row>
    <row r="22" spans="1:8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ToEquipRange(裝備!G22)</f>
        <v/>
      </c>
      <c r="H22" t="str">
        <f>ToEquipResource(裝備!H22)</f>
        <v/>
      </c>
    </row>
    <row r="23" spans="1:8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ToEquipRange(裝備!G23)</f>
        <v/>
      </c>
      <c r="H23" t="str">
        <f>ToEquipResource(裝備!H23)</f>
        <v/>
      </c>
    </row>
    <row r="24" spans="1:8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ToEquipRange(裝備!G24)</f>
        <v/>
      </c>
      <c r="H24" t="str">
        <f>ToEquipResource(裝備!H24)</f>
        <v/>
      </c>
    </row>
    <row r="25" spans="1:8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ToEquipRange(裝備!G25)</f>
        <v/>
      </c>
      <c r="H25" t="str">
        <f>ToEquipResource(裝備!H25)</f>
        <v/>
      </c>
    </row>
    <row r="26" spans="1:8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ToEquipRange(裝備!G26)</f>
        <v/>
      </c>
      <c r="H26" t="str">
        <f>ToEquipResource(裝備!H26)</f>
        <v/>
      </c>
    </row>
    <row r="27" spans="1:8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ToEquipRange(裝備!G27)</f>
        <v/>
      </c>
      <c r="H27" t="str">
        <f>ToEquipResource(裝備!H27)</f>
        <v/>
      </c>
    </row>
    <row r="28" spans="1:8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ToEquipRange(裝備!G28)</f>
        <v/>
      </c>
      <c r="H28" t="str">
        <f>ToEquipResource(裝備!H28)</f>
        <v/>
      </c>
    </row>
    <row r="29" spans="1:8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ToEquipRange(裝備!G29)</f>
        <v/>
      </c>
      <c r="H29" t="str">
        <f>ToEquipResource(裝備!H29)</f>
        <v/>
      </c>
    </row>
    <row r="30" spans="1:8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ToEquipRange(裝備!G30)</f>
        <v/>
      </c>
      <c r="H30" t="str">
        <f>ToEquipResource(裝備!H30)</f>
        <v/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30"/>
  <sheetViews>
    <sheetView workbookViewId="0">
      <selection activeCell="D1" sqref="D1"/>
    </sheetView>
  </sheetViews>
  <sheetFormatPr defaultRowHeight="16.5" x14ac:dyDescent="0.25"/>
  <cols>
    <col min="1" max="8" width="15.625" customWidth="1"/>
  </cols>
  <sheetData>
    <row r="1" spans="1:8" s="5" customFormat="1" x14ac:dyDescent="0.25">
      <c r="A1" s="5" t="str">
        <f>特性!A1</f>
        <v>GUID</v>
      </c>
      <c r="B1" s="5" t="str">
        <f>特性!B1</f>
        <v>StrID</v>
      </c>
      <c r="C1" s="5" t="str">
        <f>特性!C1</f>
        <v>Mode</v>
      </c>
      <c r="D1" s="5" t="str">
        <f>特性!D1</f>
        <v>Group</v>
      </c>
      <c r="E1" s="5" t="str">
        <f>特性!E1</f>
        <v>Chances</v>
      </c>
      <c r="F1" s="5" t="str">
        <f>特性!F1</f>
        <v>Cooldown</v>
      </c>
      <c r="G1" s="5" t="str">
        <f>特性!G1</f>
        <v>Effect</v>
      </c>
      <c r="H1" s="5" t="str">
        <f>特性!H1</f>
        <v>Value</v>
      </c>
    </row>
    <row r="2" spans="1:8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0</v>
      </c>
      <c r="E2" t="str">
        <f>ToResult(特性!E2)</f>
        <v>30</v>
      </c>
      <c r="F2" t="str">
        <f>ToResult(特性!F2)</f>
        <v>5</v>
      </c>
      <c r="G2" t="str">
        <f>ToFeatureEffect(特性!G2)</f>
        <v>2</v>
      </c>
      <c r="H2" t="str">
        <f>ToResult(特性!H2)</f>
        <v>1</v>
      </c>
    </row>
    <row r="3" spans="1:8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0</v>
      </c>
      <c r="E3" t="str">
        <f>ToResult(特性!E3)</f>
        <v>10</v>
      </c>
      <c r="F3" t="str">
        <f>ToResult(特性!F3)</f>
        <v>20</v>
      </c>
      <c r="G3" t="str">
        <f>ToFeatureEffect(特性!G3)</f>
        <v>2</v>
      </c>
      <c r="H3" t="str">
        <f>ToResult(特性!H3)</f>
        <v>-10</v>
      </c>
    </row>
    <row r="4" spans="1:8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5</v>
      </c>
      <c r="F4" t="str">
        <f>ToResult(特性!F4)</f>
        <v>30</v>
      </c>
      <c r="G4" t="str">
        <f>ToFeatureEffect(特性!G4)</f>
        <v>4</v>
      </c>
      <c r="H4" t="str">
        <f>ToResult(特性!H4)</f>
        <v>5</v>
      </c>
    </row>
    <row r="5" spans="1:8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2</v>
      </c>
      <c r="D5" t="str">
        <f>ToResult(特性!D5)</f>
        <v>1</v>
      </c>
      <c r="E5" t="str">
        <f>ToResult(特性!E5)</f>
        <v>0</v>
      </c>
      <c r="F5" t="str">
        <f>ToResult(特性!F5)</f>
        <v>0</v>
      </c>
      <c r="G5" t="str">
        <f>ToFeatureEffect(特性!G5)</f>
        <v>9</v>
      </c>
      <c r="H5" t="str">
        <f>ToResult(特性!H5)</f>
        <v>-1</v>
      </c>
    </row>
    <row r="6" spans="1:8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1</v>
      </c>
      <c r="E6" t="str">
        <f>ToResult(特性!E6)</f>
        <v>0</v>
      </c>
      <c r="F6" t="str">
        <f>ToResult(特性!F6)</f>
        <v>0</v>
      </c>
      <c r="G6" t="str">
        <f>ToFeatureEffect(特性!G6)</f>
        <v>9</v>
      </c>
      <c r="H6" t="str">
        <f>ToResult(特性!H6)</f>
        <v>1</v>
      </c>
    </row>
    <row r="7" spans="1:8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</v>
      </c>
      <c r="E7" t="str">
        <f>ToResult(特性!E7)</f>
        <v>0</v>
      </c>
      <c r="F7" t="str">
        <f>ToResult(特性!F7)</f>
        <v>0</v>
      </c>
      <c r="G7" t="str">
        <f>ToFeatureEffect(特性!G7)</f>
        <v>9</v>
      </c>
      <c r="H7" t="str">
        <f>ToResult(特性!H7)</f>
        <v>2</v>
      </c>
    </row>
    <row r="8" spans="1:8" x14ac:dyDescent="0.25">
      <c r="A8" t="str">
        <f>ToResult(特性!A8)</f>
        <v/>
      </c>
      <c r="B8" t="str">
        <f>ToResult(特性!B8)</f>
        <v/>
      </c>
      <c r="C8" t="str">
        <f>ToFeatureMode(特性!C8)</f>
        <v/>
      </c>
      <c r="D8" t="str">
        <f>ToResult(特性!D8)</f>
        <v/>
      </c>
      <c r="E8" t="str">
        <f>ToResult(特性!E8)</f>
        <v/>
      </c>
      <c r="F8" t="str">
        <f>ToResult(特性!F8)</f>
        <v/>
      </c>
      <c r="G8" t="str">
        <f>ToFeatureEffect(特性!G8)</f>
        <v/>
      </c>
      <c r="H8" t="str">
        <f>ToResult(特性!H8)</f>
        <v/>
      </c>
    </row>
    <row r="9" spans="1:8" x14ac:dyDescent="0.25">
      <c r="A9" t="str">
        <f>ToResult(特性!A9)</f>
        <v/>
      </c>
      <c r="B9" t="str">
        <f>ToResult(特性!B9)</f>
        <v/>
      </c>
      <c r="C9" t="str">
        <f>ToFeatureMode(特性!C9)</f>
        <v/>
      </c>
      <c r="D9" t="str">
        <f>ToResult(特性!D9)</f>
        <v/>
      </c>
      <c r="E9" t="str">
        <f>ToResult(特性!E9)</f>
        <v/>
      </c>
      <c r="F9" t="str">
        <f>ToResult(特性!F9)</f>
        <v/>
      </c>
      <c r="G9" t="str">
        <f>ToFeatureEffect(特性!G9)</f>
        <v/>
      </c>
      <c r="H9" t="str">
        <f>ToResult(特性!H9)</f>
        <v/>
      </c>
    </row>
    <row r="10" spans="1:8" x14ac:dyDescent="0.25">
      <c r="A10" t="str">
        <f>ToResult(特性!A10)</f>
        <v/>
      </c>
      <c r="B10" t="str">
        <f>ToResult(特性!B10)</f>
        <v/>
      </c>
      <c r="C10" t="str">
        <f>ToFeatureMode(特性!C10)</f>
        <v/>
      </c>
      <c r="D10" t="str">
        <f>ToResult(特性!D10)</f>
        <v/>
      </c>
      <c r="E10" t="str">
        <f>ToResult(特性!E10)</f>
        <v/>
      </c>
      <c r="F10" t="str">
        <f>ToResult(特性!F10)</f>
        <v/>
      </c>
      <c r="G10" t="str">
        <f>ToFeatureEffect(特性!G10)</f>
        <v/>
      </c>
      <c r="H10" t="str">
        <f>ToResult(特性!H10)</f>
        <v/>
      </c>
    </row>
    <row r="11" spans="1:8" x14ac:dyDescent="0.25">
      <c r="A11" t="str">
        <f>ToResult(特性!A11)</f>
        <v/>
      </c>
      <c r="B11" t="str">
        <f>ToResult(特性!B11)</f>
        <v/>
      </c>
      <c r="C11" t="str">
        <f>ToFeatureMode(特性!C11)</f>
        <v/>
      </c>
      <c r="D11" t="str">
        <f>ToResult(特性!D11)</f>
        <v/>
      </c>
      <c r="E11" t="str">
        <f>ToResult(特性!E11)</f>
        <v/>
      </c>
      <c r="F11" t="str">
        <f>ToResult(特性!F11)</f>
        <v/>
      </c>
      <c r="G11" t="str">
        <f>ToFeatureEffect(特性!G11)</f>
        <v/>
      </c>
      <c r="H11" t="str">
        <f>ToResult(特性!H11)</f>
        <v/>
      </c>
    </row>
    <row r="12" spans="1:8" x14ac:dyDescent="0.25">
      <c r="A12" t="str">
        <f>ToResult(特性!A12)</f>
        <v/>
      </c>
      <c r="B12" t="str">
        <f>ToResult(特性!B12)</f>
        <v/>
      </c>
      <c r="C12" t="str">
        <f>ToFeatureMode(特性!C12)</f>
        <v/>
      </c>
      <c r="D12" t="str">
        <f>ToResult(特性!D12)</f>
        <v/>
      </c>
      <c r="E12" t="str">
        <f>ToResult(特性!E12)</f>
        <v/>
      </c>
      <c r="F12" t="str">
        <f>ToResult(特性!F12)</f>
        <v/>
      </c>
      <c r="G12" t="str">
        <f>ToFeatureEffect(特性!G12)</f>
        <v/>
      </c>
      <c r="H12" t="str">
        <f>ToResult(特性!H12)</f>
        <v/>
      </c>
    </row>
    <row r="13" spans="1:8" x14ac:dyDescent="0.25">
      <c r="A13" t="str">
        <f>ToResult(特性!A13)</f>
        <v/>
      </c>
      <c r="B13" t="str">
        <f>ToResult(特性!B13)</f>
        <v/>
      </c>
      <c r="C13" t="str">
        <f>ToFeatureMode(特性!C13)</f>
        <v/>
      </c>
      <c r="D13" t="str">
        <f>ToResult(特性!D13)</f>
        <v/>
      </c>
      <c r="E13" t="str">
        <f>ToResult(特性!E13)</f>
        <v/>
      </c>
      <c r="F13" t="str">
        <f>ToResult(特性!F13)</f>
        <v/>
      </c>
      <c r="G13" t="str">
        <f>ToFeatureEffect(特性!G13)</f>
        <v/>
      </c>
      <c r="H13" t="str">
        <f>ToResult(特性!H13)</f>
        <v/>
      </c>
    </row>
    <row r="14" spans="1:8" x14ac:dyDescent="0.25">
      <c r="A14" t="str">
        <f>ToResult(特性!A14)</f>
        <v/>
      </c>
      <c r="B14" t="str">
        <f>ToResult(特性!B14)</f>
        <v/>
      </c>
      <c r="C14" t="str">
        <f>ToFeatureMode(特性!C14)</f>
        <v/>
      </c>
      <c r="D14" t="str">
        <f>ToResult(特性!D14)</f>
        <v/>
      </c>
      <c r="E14" t="str">
        <f>ToResult(特性!E14)</f>
        <v/>
      </c>
      <c r="F14" t="str">
        <f>ToResult(特性!F14)</f>
        <v/>
      </c>
      <c r="G14" t="str">
        <f>ToFeatureEffect(特性!G14)</f>
        <v/>
      </c>
      <c r="H14" t="str">
        <f>ToResult(特性!H14)</f>
        <v/>
      </c>
    </row>
    <row r="15" spans="1:8" x14ac:dyDescent="0.25">
      <c r="A15" t="str">
        <f>ToResult(特性!A15)</f>
        <v/>
      </c>
      <c r="B15" t="str">
        <f>ToResult(特性!B15)</f>
        <v/>
      </c>
      <c r="C15" t="str">
        <f>ToFeatureMode(特性!C15)</f>
        <v/>
      </c>
      <c r="D15" t="str">
        <f>ToResult(特性!D15)</f>
        <v/>
      </c>
      <c r="E15" t="str">
        <f>ToResult(特性!E15)</f>
        <v/>
      </c>
      <c r="F15" t="str">
        <f>ToResult(特性!F15)</f>
        <v/>
      </c>
      <c r="G15" t="str">
        <f>ToFeatureEffect(特性!G15)</f>
        <v/>
      </c>
      <c r="H15" t="str">
        <f>ToResult(特性!H15)</f>
        <v/>
      </c>
    </row>
    <row r="16" spans="1:8" x14ac:dyDescent="0.25">
      <c r="A16" t="str">
        <f>ToResult(特性!A16)</f>
        <v/>
      </c>
      <c r="B16" t="str">
        <f>ToResult(特性!B16)</f>
        <v/>
      </c>
      <c r="C16" t="str">
        <f>ToFeatureMode(特性!C16)</f>
        <v/>
      </c>
      <c r="D16" t="str">
        <f>ToResult(特性!D16)</f>
        <v/>
      </c>
      <c r="E16" t="str">
        <f>ToResult(特性!E16)</f>
        <v/>
      </c>
      <c r="F16" t="str">
        <f>ToResult(特性!F16)</f>
        <v/>
      </c>
      <c r="G16" t="str">
        <f>ToFeatureEffect(特性!G16)</f>
        <v/>
      </c>
      <c r="H16" t="str">
        <f>ToResult(特性!H16)</f>
        <v/>
      </c>
    </row>
    <row r="17" spans="1:8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ToFeatureEffect(特性!G17)</f>
        <v/>
      </c>
      <c r="H17" t="str">
        <f>ToResult(特性!H17)</f>
        <v/>
      </c>
    </row>
    <row r="18" spans="1:8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ToFeatureEffect(特性!G18)</f>
        <v/>
      </c>
      <c r="H18" t="str">
        <f>ToResult(特性!H18)</f>
        <v/>
      </c>
    </row>
    <row r="19" spans="1:8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ToFeatureEffect(特性!G19)</f>
        <v/>
      </c>
      <c r="H19" t="str">
        <f>ToResult(特性!H19)</f>
        <v/>
      </c>
    </row>
    <row r="20" spans="1:8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ToFeatureEffect(特性!G20)</f>
        <v/>
      </c>
      <c r="H20" t="str">
        <f>ToResult(特性!H20)</f>
        <v/>
      </c>
    </row>
    <row r="21" spans="1:8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ToFeatureEffect(特性!G21)</f>
        <v/>
      </c>
      <c r="H21" t="str">
        <f>ToResult(特性!H21)</f>
        <v/>
      </c>
    </row>
    <row r="22" spans="1:8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ToFeatureEffect(特性!G22)</f>
        <v/>
      </c>
      <c r="H22" t="str">
        <f>ToResult(特性!H22)</f>
        <v/>
      </c>
    </row>
    <row r="23" spans="1:8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ToFeatureEffect(特性!G23)</f>
        <v/>
      </c>
      <c r="H23" t="str">
        <f>ToResult(特性!H23)</f>
        <v/>
      </c>
    </row>
    <row r="24" spans="1:8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ToFeatureEffect(特性!G24)</f>
        <v/>
      </c>
      <c r="H24" t="str">
        <f>ToResult(特性!H24)</f>
        <v/>
      </c>
    </row>
    <row r="25" spans="1:8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ToFeatureEffect(特性!G25)</f>
        <v/>
      </c>
      <c r="H25" t="str">
        <f>ToResult(特性!H25)</f>
        <v/>
      </c>
    </row>
    <row r="26" spans="1:8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ToFeatureEffect(特性!G26)</f>
        <v/>
      </c>
      <c r="H26" t="str">
        <f>ToResult(特性!H26)</f>
        <v/>
      </c>
    </row>
    <row r="27" spans="1:8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ToFeatureEffect(特性!G27)</f>
        <v/>
      </c>
      <c r="H27" t="str">
        <f>ToResult(特性!H27)</f>
        <v/>
      </c>
    </row>
    <row r="28" spans="1:8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ToFeatureEffect(特性!G28)</f>
        <v/>
      </c>
      <c r="H28" t="str">
        <f>ToResult(特性!H28)</f>
        <v/>
      </c>
    </row>
    <row r="29" spans="1:8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ToFeatureEffect(特性!G29)</f>
        <v/>
      </c>
      <c r="H29" t="str">
        <f>ToResult(特性!H29)</f>
        <v/>
      </c>
    </row>
    <row r="30" spans="1:8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ToFeatureEffect(特性!G30)</f>
        <v/>
      </c>
      <c r="H30" t="str">
        <f>ToResult(特性!H30)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30"/>
  <sheetViews>
    <sheetView tabSelected="1" workbookViewId="0">
      <selection activeCell="J6" sqref="J6"/>
    </sheetView>
  </sheetViews>
  <sheetFormatPr defaultRowHeight="16.5" x14ac:dyDescent="0.25"/>
  <cols>
    <col min="1" max="7" width="15.625" customWidth="1"/>
  </cols>
  <sheetData>
    <row r="1" spans="1:7" s="9" customFormat="1" x14ac:dyDescent="0.25">
      <c r="A1" s="9" t="str">
        <f>怪物!A1</f>
        <v>GUID</v>
      </c>
      <c r="B1" s="9" t="str">
        <f>怪物!B1</f>
        <v>StrID</v>
      </c>
      <c r="C1" s="9" t="str">
        <f>怪物!C1</f>
        <v>Mode</v>
      </c>
      <c r="D1" s="9" t="str">
        <f>怪物!D1</f>
        <v>HP</v>
      </c>
      <c r="E1" s="9" t="str">
        <f>怪物!E1</f>
        <v>Speed</v>
      </c>
      <c r="F1" s="9" t="str">
        <f>怪物!F1</f>
        <v>Threat</v>
      </c>
      <c r="G1" s="9" t="str">
        <f>怪物!G1</f>
        <v>StageID</v>
      </c>
    </row>
    <row r="2" spans="1:7" x14ac:dyDescent="0.25">
      <c r="A2" t="str">
        <f>ToResult(怪物!A2)</f>
        <v>1</v>
      </c>
      <c r="B2" t="str">
        <f>ToResult(怪物!B2)</f>
        <v>3001</v>
      </c>
      <c r="C2" t="str">
        <f>ToMonsterMode(怪物!C2)</f>
        <v>1</v>
      </c>
      <c r="D2" t="str">
        <f>ToResult(怪物!D2)</f>
        <v>6</v>
      </c>
      <c r="E2" t="str">
        <f>ToResult(怪物!E2)</f>
        <v>1</v>
      </c>
      <c r="F2" t="str">
        <f>ToResult(怪物!F2)</f>
        <v>1</v>
      </c>
      <c r="G2" t="str">
        <f>ToResult(怪物!G2)</f>
        <v>1</v>
      </c>
    </row>
    <row r="3" spans="1:7" x14ac:dyDescent="0.25">
      <c r="A3" t="str">
        <f>ToResult(怪物!A3)</f>
        <v>2</v>
      </c>
      <c r="B3" t="str">
        <f>ToResult(怪物!B3)</f>
        <v>3002</v>
      </c>
      <c r="C3" t="str">
        <f>ToMonsterMode(怪物!C3)</f>
        <v>1</v>
      </c>
      <c r="D3" t="str">
        <f>ToResult(怪物!D3)</f>
        <v>10</v>
      </c>
      <c r="E3" t="str">
        <f>ToResult(怪物!E3)</f>
        <v>2</v>
      </c>
      <c r="F3" t="str">
        <f>ToResult(怪物!F3)</f>
        <v>2</v>
      </c>
      <c r="G3" t="str">
        <f>ToResult(怪物!G3)</f>
        <v>1</v>
      </c>
    </row>
    <row r="4" spans="1:7" x14ac:dyDescent="0.25">
      <c r="A4" t="str">
        <f>ToResult(怪物!A4)</f>
        <v>3</v>
      </c>
      <c r="B4" t="str">
        <f>ToResult(怪物!B4)</f>
        <v>3003</v>
      </c>
      <c r="C4" t="str">
        <f>ToMonsterMode(怪物!C4)</f>
        <v>1</v>
      </c>
      <c r="D4" t="str">
        <f>ToResult(怪物!D4)</f>
        <v>14</v>
      </c>
      <c r="E4" t="str">
        <f>ToResult(怪物!E4)</f>
        <v>3</v>
      </c>
      <c r="F4" t="str">
        <f>ToResult(怪物!F4)</f>
        <v>3</v>
      </c>
      <c r="G4" t="str">
        <f>ToResult(怪物!G4)</f>
        <v>1</v>
      </c>
    </row>
    <row r="5" spans="1:7" x14ac:dyDescent="0.25">
      <c r="A5" t="str">
        <f>ToResult(怪物!A5)</f>
        <v/>
      </c>
      <c r="B5" t="str">
        <f>ToResult(怪物!B5)</f>
        <v/>
      </c>
      <c r="C5" t="str">
        <f>ToMonsterMode(怪物!C5)</f>
        <v/>
      </c>
      <c r="D5" t="str">
        <f>ToResult(怪物!D5)</f>
        <v/>
      </c>
      <c r="E5" t="str">
        <f>ToResult(怪物!E5)</f>
        <v/>
      </c>
      <c r="F5" t="str">
        <f>ToResult(怪物!F5)</f>
        <v/>
      </c>
      <c r="G5" t="str">
        <f>ToResult(怪物!G5)</f>
        <v/>
      </c>
    </row>
    <row r="6" spans="1:7" x14ac:dyDescent="0.25">
      <c r="A6" t="str">
        <f>ToResult(怪物!A6)</f>
        <v/>
      </c>
      <c r="B6" t="str">
        <f>ToResult(怪物!B6)</f>
        <v/>
      </c>
      <c r="C6" t="str">
        <f>ToMonsterMode(怪物!C6)</f>
        <v/>
      </c>
      <c r="D6" t="str">
        <f>ToResult(怪物!D6)</f>
        <v/>
      </c>
      <c r="E6" t="str">
        <f>ToResult(怪物!E6)</f>
        <v/>
      </c>
      <c r="F6" t="str">
        <f>ToResult(怪物!F6)</f>
        <v/>
      </c>
      <c r="G6" t="str">
        <f>ToResult(怪物!G6)</f>
        <v/>
      </c>
    </row>
    <row r="7" spans="1:7" x14ac:dyDescent="0.25">
      <c r="A7" t="str">
        <f>ToResult(怪物!A7)</f>
        <v/>
      </c>
      <c r="B7" t="str">
        <f>ToResult(怪物!B7)</f>
        <v/>
      </c>
      <c r="C7" t="str">
        <f>ToMonsterMode(怪物!C7)</f>
        <v/>
      </c>
      <c r="D7" t="str">
        <f>ToResult(怪物!D7)</f>
        <v/>
      </c>
      <c r="E7" t="str">
        <f>ToResult(怪物!E7)</f>
        <v/>
      </c>
      <c r="F7" t="str">
        <f>ToResult(怪物!F7)</f>
        <v/>
      </c>
      <c r="G7" t="str">
        <f>ToResult(怪物!G7)</f>
        <v/>
      </c>
    </row>
    <row r="8" spans="1:7" x14ac:dyDescent="0.25">
      <c r="A8" t="str">
        <f>ToResult(怪物!A8)</f>
        <v/>
      </c>
      <c r="B8" t="str">
        <f>ToResult(怪物!B8)</f>
        <v/>
      </c>
      <c r="C8" t="str">
        <f>ToMonsterMode(怪物!C8)</f>
        <v/>
      </c>
      <c r="D8" t="str">
        <f>ToResult(怪物!D8)</f>
        <v/>
      </c>
      <c r="E8" t="str">
        <f>ToResult(怪物!E8)</f>
        <v/>
      </c>
      <c r="F8" t="str">
        <f>ToResult(怪物!F8)</f>
        <v/>
      </c>
      <c r="G8" t="str">
        <f>ToResult(怪物!G8)</f>
        <v/>
      </c>
    </row>
    <row r="9" spans="1:7" x14ac:dyDescent="0.25">
      <c r="A9" t="str">
        <f>ToResult(怪物!A9)</f>
        <v/>
      </c>
      <c r="B9" t="str">
        <f>ToResult(怪物!B9)</f>
        <v/>
      </c>
      <c r="C9" t="str">
        <f>ToMonsterMode(怪物!C9)</f>
        <v/>
      </c>
      <c r="D9" t="str">
        <f>ToResult(怪物!D9)</f>
        <v/>
      </c>
      <c r="E9" t="str">
        <f>ToResult(怪物!E9)</f>
        <v/>
      </c>
      <c r="F9" t="str">
        <f>ToResult(怪物!F9)</f>
        <v/>
      </c>
      <c r="G9" t="str">
        <f>ToResult(怪物!G9)</f>
        <v/>
      </c>
    </row>
    <row r="10" spans="1:7" x14ac:dyDescent="0.25">
      <c r="A10" t="str">
        <f>ToResult(怪物!A10)</f>
        <v/>
      </c>
      <c r="B10" t="str">
        <f>ToResult(怪物!B10)</f>
        <v/>
      </c>
      <c r="C10" t="str">
        <f>ToMonsterMode(怪物!C10)</f>
        <v/>
      </c>
      <c r="D10" t="str">
        <f>ToResult(怪物!D10)</f>
        <v/>
      </c>
      <c r="E10" t="str">
        <f>ToResult(怪物!E10)</f>
        <v/>
      </c>
      <c r="F10" t="str">
        <f>ToResult(怪物!F10)</f>
        <v/>
      </c>
      <c r="G10" t="str">
        <f>ToResult(怪物!G10)</f>
        <v/>
      </c>
    </row>
    <row r="11" spans="1:7" x14ac:dyDescent="0.25">
      <c r="A11" t="str">
        <f>ToResult(怪物!A11)</f>
        <v/>
      </c>
      <c r="B11" t="str">
        <f>ToResult(怪物!B11)</f>
        <v/>
      </c>
      <c r="C11" t="str">
        <f>ToMonsterMode(怪物!C11)</f>
        <v/>
      </c>
      <c r="D11" t="str">
        <f>ToResult(怪物!D11)</f>
        <v/>
      </c>
      <c r="E11" t="str">
        <f>ToResult(怪物!E11)</f>
        <v/>
      </c>
      <c r="F11" t="str">
        <f>ToResult(怪物!F11)</f>
        <v/>
      </c>
      <c r="G11" t="str">
        <f>ToResult(怪物!G11)</f>
        <v/>
      </c>
    </row>
    <row r="12" spans="1:7" x14ac:dyDescent="0.25">
      <c r="A12" t="str">
        <f>ToResult(怪物!A12)</f>
        <v/>
      </c>
      <c r="B12" t="str">
        <f>ToResult(怪物!B12)</f>
        <v/>
      </c>
      <c r="C12" t="str">
        <f>ToMonsterMode(怪物!C12)</f>
        <v/>
      </c>
      <c r="D12" t="str">
        <f>ToResult(怪物!D12)</f>
        <v/>
      </c>
      <c r="E12" t="str">
        <f>ToResult(怪物!E12)</f>
        <v/>
      </c>
      <c r="F12" t="str">
        <f>ToResult(怪物!F12)</f>
        <v/>
      </c>
      <c r="G12" t="str">
        <f>ToResult(怪物!G12)</f>
        <v/>
      </c>
    </row>
    <row r="13" spans="1:7" x14ac:dyDescent="0.25">
      <c r="A13" t="str">
        <f>ToResult(怪物!A13)</f>
        <v/>
      </c>
      <c r="B13" t="str">
        <f>ToResult(怪物!B13)</f>
        <v/>
      </c>
      <c r="C13" t="str">
        <f>ToMonsterMode(怪物!C13)</f>
        <v/>
      </c>
      <c r="D13" t="str">
        <f>ToResult(怪物!D13)</f>
        <v/>
      </c>
      <c r="E13" t="str">
        <f>ToResult(怪物!E13)</f>
        <v/>
      </c>
      <c r="F13" t="str">
        <f>ToResult(怪物!F13)</f>
        <v/>
      </c>
      <c r="G13" t="str">
        <f>ToResult(怪物!G13)</f>
        <v/>
      </c>
    </row>
    <row r="14" spans="1:7" x14ac:dyDescent="0.25">
      <c r="A14" t="str">
        <f>ToResult(怪物!A14)</f>
        <v/>
      </c>
      <c r="B14" t="str">
        <f>ToResult(怪物!B14)</f>
        <v/>
      </c>
      <c r="C14" t="str">
        <f>ToMonsterMode(怪物!C14)</f>
        <v/>
      </c>
      <c r="D14" t="str">
        <f>ToResult(怪物!D14)</f>
        <v/>
      </c>
      <c r="E14" t="str">
        <f>ToResult(怪物!E14)</f>
        <v/>
      </c>
      <c r="F14" t="str">
        <f>ToResult(怪物!F14)</f>
        <v/>
      </c>
      <c r="G14" t="str">
        <f>ToResult(怪物!G14)</f>
        <v/>
      </c>
    </row>
    <row r="15" spans="1:7" x14ac:dyDescent="0.25">
      <c r="A15" t="str">
        <f>ToResult(怪物!A15)</f>
        <v/>
      </c>
      <c r="B15" t="str">
        <f>ToResult(怪物!B15)</f>
        <v/>
      </c>
      <c r="C15" t="str">
        <f>ToMonsterMode(怪物!C15)</f>
        <v/>
      </c>
      <c r="D15" t="str">
        <f>ToResult(怪物!D15)</f>
        <v/>
      </c>
      <c r="E15" t="str">
        <f>ToResult(怪物!E15)</f>
        <v/>
      </c>
      <c r="F15" t="str">
        <f>ToResult(怪物!F15)</f>
        <v/>
      </c>
      <c r="G15" t="str">
        <f>ToResult(怪物!G15)</f>
        <v/>
      </c>
    </row>
    <row r="16" spans="1:7" x14ac:dyDescent="0.25">
      <c r="A16" t="str">
        <f>ToResult(怪物!A16)</f>
        <v/>
      </c>
      <c r="B16" t="str">
        <f>ToResult(怪物!B16)</f>
        <v/>
      </c>
      <c r="C16" t="str">
        <f>ToMonsterMode(怪物!C16)</f>
        <v/>
      </c>
      <c r="D16" t="str">
        <f>ToResult(怪物!D16)</f>
        <v/>
      </c>
      <c r="E16" t="str">
        <f>ToResult(怪物!E16)</f>
        <v/>
      </c>
      <c r="F16" t="str">
        <f>ToResult(怪物!F16)</f>
        <v/>
      </c>
      <c r="G16" t="str">
        <f>ToResult(怪物!G16)</f>
        <v/>
      </c>
    </row>
    <row r="17" spans="1:7" x14ac:dyDescent="0.25">
      <c r="A17" t="str">
        <f>ToResult(怪物!A17)</f>
        <v/>
      </c>
      <c r="B17" t="str">
        <f>ToResult(怪物!B17)</f>
        <v/>
      </c>
      <c r="C17" t="str">
        <f>ToMonsterMode(怪物!C17)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 x14ac:dyDescent="0.25">
      <c r="A18" t="str">
        <f>ToResult(怪物!A18)</f>
        <v/>
      </c>
      <c r="B18" t="str">
        <f>ToResult(怪物!B18)</f>
        <v/>
      </c>
      <c r="C18" t="str">
        <f>ToMonsterMode(怪物!C18)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 x14ac:dyDescent="0.25">
      <c r="A19" t="str">
        <f>ToResult(怪物!A19)</f>
        <v/>
      </c>
      <c r="B19" t="str">
        <f>ToResult(怪物!B19)</f>
        <v/>
      </c>
      <c r="C19" t="str">
        <f>ToMonsterMode(怪物!C19)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 x14ac:dyDescent="0.25">
      <c r="A20" t="str">
        <f>ToResult(怪物!A20)</f>
        <v/>
      </c>
      <c r="B20" t="str">
        <f>ToResult(怪物!B20)</f>
        <v/>
      </c>
      <c r="C20" t="str">
        <f>ToMonsterMode(怪物!C20)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 x14ac:dyDescent="0.25">
      <c r="A21" t="str">
        <f>ToResult(怪物!A21)</f>
        <v/>
      </c>
      <c r="B21" t="str">
        <f>ToResult(怪物!B21)</f>
        <v/>
      </c>
      <c r="C21" t="str">
        <f>ToMonsterMode(怪物!C21)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 x14ac:dyDescent="0.25">
      <c r="A22" t="str">
        <f>ToResult(怪物!A22)</f>
        <v/>
      </c>
      <c r="B22" t="str">
        <f>ToResult(怪物!B22)</f>
        <v/>
      </c>
      <c r="C22" t="str">
        <f>ToMonsterMode(怪物!C22)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 x14ac:dyDescent="0.25">
      <c r="A23" t="str">
        <f>ToResult(怪物!A23)</f>
        <v/>
      </c>
      <c r="B23" t="str">
        <f>ToResult(怪物!B23)</f>
        <v/>
      </c>
      <c r="C23" t="str">
        <f>ToMonsterMode(怪物!C23)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 x14ac:dyDescent="0.25">
      <c r="A24" t="str">
        <f>ToResult(怪物!A24)</f>
        <v/>
      </c>
      <c r="B24" t="str">
        <f>ToResult(怪物!B24)</f>
        <v/>
      </c>
      <c r="C24" t="str">
        <f>ToMonsterMode(怪物!C24)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 x14ac:dyDescent="0.25">
      <c r="A25" t="str">
        <f>ToResult(怪物!A25)</f>
        <v/>
      </c>
      <c r="B25" t="str">
        <f>ToResult(怪物!B25)</f>
        <v/>
      </c>
      <c r="C25" t="str">
        <f>ToMonsterMode(怪物!C25)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 x14ac:dyDescent="0.25">
      <c r="A26" t="str">
        <f>ToResult(怪物!A26)</f>
        <v/>
      </c>
      <c r="B26" t="str">
        <f>ToResult(怪物!B26)</f>
        <v/>
      </c>
      <c r="C26" t="str">
        <f>ToMonsterMode(怪物!C26)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 x14ac:dyDescent="0.25">
      <c r="A27" t="str">
        <f>ToResult(怪物!A27)</f>
        <v/>
      </c>
      <c r="B27" t="str">
        <f>ToResult(怪物!B27)</f>
        <v/>
      </c>
      <c r="C27" t="str">
        <f>ToMonsterMode(怪物!C27)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 x14ac:dyDescent="0.25">
      <c r="A28" t="str">
        <f>ToResult(怪物!A28)</f>
        <v/>
      </c>
      <c r="B28" t="str">
        <f>ToResult(怪物!B28)</f>
        <v/>
      </c>
      <c r="C28" t="str">
        <f>ToMonsterMode(怪物!C28)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 x14ac:dyDescent="0.25">
      <c r="A29" t="str">
        <f>ToResult(怪物!A29)</f>
        <v/>
      </c>
      <c r="B29" t="str">
        <f>ToResult(怪物!B29)</f>
        <v/>
      </c>
      <c r="C29" t="str">
        <f>ToMonsterMode(怪物!C29)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 x14ac:dyDescent="0.25">
      <c r="A30" t="str">
        <f>ToResult(怪物!A30)</f>
        <v/>
      </c>
      <c r="B30" t="str">
        <f>ToResult(怪物!B30)</f>
        <v/>
      </c>
      <c r="C30" t="str">
        <f>ToMonsterMode(怪物!C30)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語言列表</vt:lpstr>
      <vt:lpstr>裝備</vt:lpstr>
      <vt:lpstr>特性</vt:lpstr>
      <vt:lpstr>怪物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2015-03-31T11:55:46Z</dcterms:modified>
</cp:coreProperties>
</file>