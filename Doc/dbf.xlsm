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5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B12" i="13"/>
  <c r="B11" i="13"/>
  <c r="B10" i="13"/>
  <c r="B9" i="13"/>
  <c r="B8" i="13"/>
  <c r="B7" i="13"/>
  <c r="B6" i="13"/>
  <c r="B5" i="13"/>
  <c r="B4" i="13"/>
  <c r="B3" i="13"/>
  <c r="A12" i="13"/>
  <c r="A11" i="13"/>
  <c r="A10" i="13"/>
  <c r="A9" i="13"/>
  <c r="A8" i="13"/>
  <c r="A7" i="13"/>
  <c r="A6" i="13"/>
  <c r="A5" i="13"/>
  <c r="A4" i="13"/>
  <c r="A3" i="13"/>
  <c r="B54" i="7"/>
  <c r="B60" i="7"/>
  <c r="B80" i="7"/>
  <c r="B92" i="7"/>
  <c r="B55" i="7"/>
  <c r="B95" i="7"/>
  <c r="B88" i="7"/>
  <c r="B96" i="7"/>
  <c r="B57" i="7"/>
  <c r="B61" i="7"/>
  <c r="B81" i="7"/>
  <c r="B85" i="7"/>
  <c r="B89" i="7"/>
  <c r="B93" i="7"/>
  <c r="B97" i="7"/>
  <c r="B58" i="7"/>
  <c r="B78" i="7"/>
  <c r="B82" i="7"/>
  <c r="B86" i="7"/>
  <c r="B90" i="7"/>
  <c r="B94" i="7"/>
  <c r="B98" i="7"/>
  <c r="B59" i="7"/>
  <c r="B79" i="7"/>
  <c r="B83" i="7"/>
  <c r="B87" i="7"/>
  <c r="B91" i="7"/>
  <c r="B99" i="7"/>
  <c r="B56" i="7"/>
  <c r="B84" i="7"/>
  <c r="B69" i="7"/>
  <c r="B63" i="7"/>
  <c r="B65" i="7"/>
  <c r="B67" i="7"/>
  <c r="B68" i="7"/>
  <c r="B66" i="7"/>
  <c r="B64" i="7"/>
  <c r="B77" i="7"/>
  <c r="B72" i="7"/>
  <c r="B75" i="7"/>
  <c r="B74" i="7"/>
  <c r="B71" i="7"/>
  <c r="B76" i="7"/>
  <c r="B73" i="7"/>
  <c r="B70" i="7"/>
  <c r="B62" i="7"/>
  <c r="B3" i="15"/>
  <c r="B5" i="15"/>
  <c r="B7" i="15"/>
  <c r="B9" i="15"/>
  <c r="B11" i="15"/>
  <c r="B13" i="15"/>
  <c r="B15" i="15"/>
  <c r="B17" i="15"/>
  <c r="B19" i="15"/>
  <c r="B21" i="15"/>
  <c r="B23" i="15"/>
  <c r="B25" i="15"/>
  <c r="B27" i="15"/>
  <c r="B29" i="15"/>
  <c r="B31" i="15"/>
  <c r="B33" i="15"/>
  <c r="B35" i="15"/>
  <c r="B37" i="15"/>
  <c r="G4" i="15"/>
  <c r="G6" i="15"/>
  <c r="G8" i="15"/>
  <c r="G10" i="15"/>
  <c r="G12" i="15"/>
  <c r="G14" i="15"/>
  <c r="G16" i="15"/>
  <c r="G18" i="15"/>
  <c r="G20" i="15"/>
  <c r="G22" i="15"/>
  <c r="G24" i="15"/>
  <c r="G26" i="15"/>
  <c r="G28" i="15"/>
  <c r="G30" i="15"/>
  <c r="G32" i="15"/>
  <c r="G34" i="15"/>
  <c r="G36" i="15"/>
  <c r="G38" i="15"/>
  <c r="A10" i="15"/>
  <c r="A18" i="15"/>
  <c r="A26" i="15"/>
  <c r="A34" i="15"/>
  <c r="E40" i="15"/>
  <c r="E42" i="15"/>
  <c r="E44" i="15"/>
  <c r="E46" i="15"/>
  <c r="E48" i="15"/>
  <c r="E50" i="15"/>
  <c r="B4" i="15"/>
  <c r="B12" i="15"/>
  <c r="B20" i="15"/>
  <c r="B28" i="15"/>
  <c r="B36" i="15"/>
  <c r="A40" i="15"/>
  <c r="A42" i="15"/>
  <c r="A44" i="15"/>
  <c r="A46" i="15"/>
  <c r="A48" i="15"/>
  <c r="A50" i="15"/>
  <c r="A52" i="15"/>
  <c r="A54" i="15"/>
  <c r="A56" i="15"/>
  <c r="A58" i="15"/>
  <c r="A60" i="15"/>
  <c r="A62" i="15"/>
  <c r="A64" i="15"/>
  <c r="A66" i="15"/>
  <c r="A68" i="15"/>
  <c r="B10" i="15"/>
  <c r="B18" i="15"/>
  <c r="B26" i="15"/>
  <c r="B34" i="15"/>
  <c r="E39" i="15"/>
  <c r="E41" i="15"/>
  <c r="E43" i="15"/>
  <c r="E45" i="15"/>
  <c r="E47" i="15"/>
  <c r="E49" i="15"/>
  <c r="E51" i="15"/>
  <c r="E53" i="15"/>
  <c r="E55" i="15"/>
  <c r="E57" i="15"/>
  <c r="E59" i="15"/>
  <c r="E61" i="15"/>
  <c r="E63" i="15"/>
  <c r="E65" i="15"/>
  <c r="D17" i="15"/>
  <c r="D40" i="15"/>
  <c r="D48" i="15"/>
  <c r="B53" i="15"/>
  <c r="B57" i="15"/>
  <c r="B61" i="15"/>
  <c r="B65" i="15"/>
  <c r="E68" i="15"/>
  <c r="E70" i="15"/>
  <c r="E72" i="15"/>
  <c r="E74" i="15"/>
  <c r="E76" i="15"/>
  <c r="E78" i="15"/>
  <c r="E80" i="15"/>
  <c r="E82" i="15"/>
  <c r="E84" i="15"/>
  <c r="E86" i="15"/>
  <c r="E88" i="15"/>
  <c r="E90" i="15"/>
  <c r="E92" i="15"/>
  <c r="E94" i="15"/>
  <c r="E96" i="15"/>
  <c r="E98" i="15"/>
  <c r="E100" i="15"/>
  <c r="F3" i="15"/>
  <c r="D4" i="15"/>
  <c r="A7" i="15"/>
  <c r="F9" i="15"/>
  <c r="D12" i="15"/>
  <c r="A15" i="15"/>
  <c r="F17" i="15"/>
  <c r="D20" i="15"/>
  <c r="A23" i="15"/>
  <c r="F25" i="15"/>
  <c r="D28" i="15"/>
  <c r="A31" i="15"/>
  <c r="F33" i="15"/>
  <c r="D36" i="15"/>
  <c r="A39" i="15"/>
  <c r="C5" i="15"/>
  <c r="G7" i="15"/>
  <c r="E10" i="15"/>
  <c r="C13" i="15"/>
  <c r="G15" i="15"/>
  <c r="E18" i="15"/>
  <c r="C21" i="15"/>
  <c r="G23" i="15"/>
  <c r="E26" i="15"/>
  <c r="C29" i="15"/>
  <c r="G31" i="15"/>
  <c r="E34" i="15"/>
  <c r="C37" i="15"/>
  <c r="C6" i="15"/>
  <c r="E9" i="15"/>
  <c r="C14" i="15"/>
  <c r="E17" i="15"/>
  <c r="C22" i="15"/>
  <c r="E25" i="15"/>
  <c r="C30" i="15"/>
  <c r="E33" i="15"/>
  <c r="C38" i="15"/>
  <c r="B14" i="15"/>
  <c r="D23" i="15"/>
  <c r="F32" i="15"/>
  <c r="C43" i="15"/>
  <c r="G45" i="15"/>
  <c r="C51" i="15"/>
  <c r="A8" i="15"/>
  <c r="D21" i="15"/>
  <c r="F30" i="15"/>
  <c r="D39" i="15"/>
  <c r="B42" i="15"/>
  <c r="F44" i="15"/>
  <c r="D47" i="15"/>
  <c r="B50" i="15"/>
  <c r="F52" i="15"/>
  <c r="D55" i="15"/>
  <c r="B58" i="15"/>
  <c r="F60" i="15"/>
  <c r="D63" i="15"/>
  <c r="B66" i="15"/>
  <c r="F4" i="15"/>
  <c r="A14" i="15"/>
  <c r="D27" i="15"/>
  <c r="F36" i="15"/>
  <c r="G40" i="15"/>
  <c r="C46" i="15"/>
  <c r="G48" i="15"/>
  <c r="C54" i="15"/>
  <c r="G56" i="15"/>
  <c r="C62" i="15"/>
  <c r="G64" i="15"/>
  <c r="F26" i="15"/>
  <c r="A43" i="15"/>
  <c r="A53" i="15"/>
  <c r="D58" i="15"/>
  <c r="F63" i="15"/>
  <c r="E67" i="15"/>
  <c r="C73" i="15"/>
  <c r="G75" i="15"/>
  <c r="C81" i="15"/>
  <c r="G83" i="15"/>
  <c r="C89" i="15"/>
  <c r="G91" i="15"/>
  <c r="C97" i="15"/>
  <c r="G99" i="15"/>
  <c r="A28" i="15"/>
  <c r="B45" i="15"/>
  <c r="F67" i="15"/>
  <c r="A70" i="15"/>
  <c r="A72" i="15"/>
  <c r="A74" i="15"/>
  <c r="A76" i="15"/>
  <c r="A78" i="15"/>
  <c r="A80" i="15"/>
  <c r="A82" i="15"/>
  <c r="A84" i="15"/>
  <c r="A86" i="15"/>
  <c r="A88" i="15"/>
  <c r="A90" i="15"/>
  <c r="A92" i="15"/>
  <c r="A94" i="15"/>
  <c r="A96" i="15"/>
  <c r="A98" i="15"/>
  <c r="A100" i="15"/>
  <c r="A20" i="15"/>
  <c r="D44" i="15"/>
  <c r="D52" i="15"/>
  <c r="D56" i="15"/>
  <c r="D60" i="15"/>
  <c r="D64" i="15"/>
  <c r="G67" i="15"/>
  <c r="E79" i="15"/>
  <c r="E83" i="15"/>
  <c r="B49" i="15"/>
  <c r="G66" i="15"/>
  <c r="A73" i="15"/>
  <c r="A81" i="15"/>
  <c r="G88" i="15"/>
  <c r="G92" i="15"/>
  <c r="G96" i="15"/>
  <c r="G100" i="15"/>
  <c r="A12" i="15"/>
  <c r="E60" i="15"/>
  <c r="A71" i="15"/>
  <c r="A79" i="15"/>
  <c r="D86" i="15"/>
  <c r="D90" i="15"/>
  <c r="D94" i="15"/>
  <c r="D98" i="15"/>
  <c r="D42" i="15"/>
  <c r="C63" i="15"/>
  <c r="B73" i="15"/>
  <c r="B81" i="15"/>
  <c r="E85" i="15"/>
  <c r="E89" i="15"/>
  <c r="E93" i="15"/>
  <c r="E97" i="15"/>
  <c r="F43" i="15"/>
  <c r="G61" i="15"/>
  <c r="F73" i="15"/>
  <c r="F81" i="15"/>
  <c r="B87" i="15"/>
  <c r="B91" i="15"/>
  <c r="D96" i="15"/>
  <c r="A5" i="15"/>
  <c r="F7" i="15"/>
  <c r="D10" i="15"/>
  <c r="A13" i="15"/>
  <c r="F15" i="15"/>
  <c r="D18" i="15"/>
  <c r="A21" i="15"/>
  <c r="F23" i="15"/>
  <c r="D26" i="15"/>
  <c r="A29" i="15"/>
  <c r="F31" i="15"/>
  <c r="D34" i="15"/>
  <c r="A37" i="15"/>
  <c r="C3" i="15"/>
  <c r="G5" i="15"/>
  <c r="E8" i="15"/>
  <c r="C11" i="15"/>
  <c r="G13" i="15"/>
  <c r="E16" i="15"/>
  <c r="C19" i="15"/>
  <c r="G21" i="15"/>
  <c r="E24" i="15"/>
  <c r="C27" i="15"/>
  <c r="G29" i="15"/>
  <c r="E32" i="15"/>
  <c r="C35" i="15"/>
  <c r="G37" i="15"/>
  <c r="C4" i="15"/>
  <c r="E7" i="15"/>
  <c r="C12" i="15"/>
  <c r="E15" i="15"/>
  <c r="C20" i="15"/>
  <c r="E23" i="15"/>
  <c r="C28" i="15"/>
  <c r="E31" i="15"/>
  <c r="C36" i="15"/>
  <c r="B6" i="15"/>
  <c r="D15" i="15"/>
  <c r="F24" i="15"/>
  <c r="B38" i="15"/>
  <c r="C41" i="15"/>
  <c r="G43" i="15"/>
  <c r="C49" i="15"/>
  <c r="G51" i="15"/>
  <c r="D13" i="15"/>
  <c r="F22" i="15"/>
  <c r="A32" i="15"/>
  <c r="B40" i="15"/>
  <c r="F42" i="15"/>
  <c r="D45" i="15"/>
  <c r="B48" i="15"/>
  <c r="F50" i="15"/>
  <c r="D53" i="15"/>
  <c r="B56" i="15"/>
  <c r="F58" i="15"/>
  <c r="D61" i="15"/>
  <c r="B64" i="15"/>
  <c r="F66" i="15"/>
  <c r="A6" i="15"/>
  <c r="D19" i="15"/>
  <c r="F28" i="15"/>
  <c r="A38" i="15"/>
  <c r="C44" i="15"/>
  <c r="G46" i="15"/>
  <c r="C52" i="15"/>
  <c r="G54" i="15"/>
  <c r="C60" i="15"/>
  <c r="G62" i="15"/>
  <c r="A36" i="15"/>
  <c r="B47" i="15"/>
  <c r="D54" i="15"/>
  <c r="F59" i="15"/>
  <c r="A65" i="15"/>
  <c r="C71" i="15"/>
  <c r="G73" i="15"/>
  <c r="C79" i="15"/>
  <c r="G81" i="15"/>
  <c r="C87" i="15"/>
  <c r="G89" i="15"/>
  <c r="F5" i="15"/>
  <c r="A11" i="15"/>
  <c r="D16" i="15"/>
  <c r="F21" i="15"/>
  <c r="A27" i="15"/>
  <c r="D32" i="15"/>
  <c r="F37" i="15"/>
  <c r="E6" i="15"/>
  <c r="G11" i="15"/>
  <c r="C17" i="15"/>
  <c r="E22" i="15"/>
  <c r="G27" i="15"/>
  <c r="C33" i="15"/>
  <c r="E38" i="15"/>
  <c r="E13" i="15"/>
  <c r="C18" i="15"/>
  <c r="E29" i="15"/>
  <c r="C34" i="15"/>
  <c r="D7" i="15"/>
  <c r="B30" i="15"/>
  <c r="G41" i="15"/>
  <c r="C47" i="15"/>
  <c r="D5" i="15"/>
  <c r="A24" i="15"/>
  <c r="F40" i="15"/>
  <c r="B46" i="15"/>
  <c r="D51" i="15"/>
  <c r="F56" i="15"/>
  <c r="B62" i="15"/>
  <c r="D67" i="15"/>
  <c r="F20" i="15"/>
  <c r="G44" i="15"/>
  <c r="C50" i="15"/>
  <c r="G60" i="15"/>
  <c r="A4" i="15"/>
  <c r="F49" i="15"/>
  <c r="A61" i="15"/>
  <c r="C69" i="15"/>
  <c r="G79" i="15"/>
  <c r="C85" i="15"/>
  <c r="G93" i="15"/>
  <c r="G97" i="15"/>
  <c r="C78" i="15"/>
  <c r="G82" i="15"/>
  <c r="B32" i="15"/>
  <c r="F47" i="15"/>
  <c r="G55" i="15"/>
  <c r="C61" i="15"/>
  <c r="D66" i="15"/>
  <c r="D69" i="15"/>
  <c r="B72" i="15"/>
  <c r="F74" i="15"/>
  <c r="D77" i="15"/>
  <c r="B80" i="15"/>
  <c r="F82" i="15"/>
  <c r="D85" i="15"/>
  <c r="B88" i="15"/>
  <c r="F90" i="15"/>
  <c r="D93" i="15"/>
  <c r="B96" i="15"/>
  <c r="F98" i="15"/>
  <c r="F10" i="15"/>
  <c r="F45" i="15"/>
  <c r="A55" i="15"/>
  <c r="B59" i="15"/>
  <c r="F65" i="15"/>
  <c r="G68" i="15"/>
  <c r="E71" i="15"/>
  <c r="C74" i="15"/>
  <c r="G76" i="15"/>
  <c r="C82" i="15"/>
  <c r="C55" i="15"/>
  <c r="D70" i="15"/>
  <c r="F79" i="15"/>
  <c r="C94" i="15"/>
  <c r="E99" i="15"/>
  <c r="B41" i="15"/>
  <c r="D68" i="15"/>
  <c r="F77" i="15"/>
  <c r="F87" i="15"/>
  <c r="A93" i="15"/>
  <c r="B97" i="15"/>
  <c r="F51" i="15"/>
  <c r="C67" i="15"/>
  <c r="A77" i="15"/>
  <c r="G86" i="15"/>
  <c r="C96" i="15"/>
  <c r="E52" i="15"/>
  <c r="B71" i="15"/>
  <c r="D80" i="15"/>
  <c r="D88" i="15"/>
  <c r="A95" i="15"/>
  <c r="D6" i="15"/>
  <c r="F11" i="15"/>
  <c r="D22" i="15"/>
  <c r="F27" i="15"/>
  <c r="A33" i="15"/>
  <c r="D38" i="15"/>
  <c r="C7" i="15"/>
  <c r="E12" i="15"/>
  <c r="G17" i="15"/>
  <c r="C23" i="15"/>
  <c r="E28" i="15"/>
  <c r="G33" i="15"/>
  <c r="E3" i="15"/>
  <c r="C8" i="15"/>
  <c r="E19" i="15"/>
  <c r="C24" i="15"/>
  <c r="F8" i="15"/>
  <c r="D31" i="15"/>
  <c r="G47" i="15"/>
  <c r="F6" i="15"/>
  <c r="D29" i="15"/>
  <c r="D41" i="15"/>
  <c r="F46" i="15"/>
  <c r="B52" i="15"/>
  <c r="D57" i="15"/>
  <c r="D3" i="15"/>
  <c r="A22" i="15"/>
  <c r="C40" i="15"/>
  <c r="G50" i="15"/>
  <c r="C56" i="15"/>
  <c r="B8" i="15"/>
  <c r="A51" i="15"/>
  <c r="D62" i="15"/>
  <c r="C75" i="15"/>
  <c r="G85" i="15"/>
  <c r="C95" i="15"/>
  <c r="G78" i="15"/>
  <c r="F39" i="15"/>
  <c r="A49" i="15"/>
  <c r="E62" i="15"/>
  <c r="B70" i="15"/>
  <c r="D75" i="15"/>
  <c r="B78" i="15"/>
  <c r="D83" i="15"/>
  <c r="B86" i="15"/>
  <c r="D91" i="15"/>
  <c r="F96" i="15"/>
  <c r="D99" i="15"/>
  <c r="A47" i="15"/>
  <c r="B55" i="15"/>
  <c r="E66" i="15"/>
  <c r="E69" i="15"/>
  <c r="G74" i="15"/>
  <c r="G84" i="15"/>
  <c r="F71" i="15"/>
  <c r="C90" i="15"/>
  <c r="D92" i="15"/>
  <c r="F69" i="15"/>
  <c r="A89" i="15"/>
  <c r="F99" i="15"/>
  <c r="A69" i="15"/>
  <c r="G98" i="15"/>
  <c r="D72" i="15"/>
  <c r="F89" i="15"/>
  <c r="D8" i="15"/>
  <c r="A19" i="15"/>
  <c r="F29" i="15"/>
  <c r="G3" i="15"/>
  <c r="E14" i="15"/>
  <c r="C25" i="15"/>
  <c r="G35" i="15"/>
  <c r="C10" i="15"/>
  <c r="E21" i="15"/>
  <c r="E37" i="15"/>
  <c r="C39" i="15"/>
  <c r="G49" i="15"/>
  <c r="F14" i="15"/>
  <c r="D43" i="15"/>
  <c r="B54" i="15"/>
  <c r="D11" i="15"/>
  <c r="C42" i="15"/>
  <c r="G52" i="15"/>
  <c r="B39" i="15"/>
  <c r="C66" i="15"/>
  <c r="C77" i="15"/>
  <c r="G87" i="15"/>
  <c r="C99" i="15"/>
  <c r="D9" i="15"/>
  <c r="C53" i="15"/>
  <c r="B68" i="15"/>
  <c r="D73" i="15"/>
  <c r="B76" i="15"/>
  <c r="D81" i="15"/>
  <c r="F86" i="15"/>
  <c r="B92" i="15"/>
  <c r="D97" i="15"/>
  <c r="B100" i="15"/>
  <c r="B51" i="15"/>
  <c r="A63" i="15"/>
  <c r="C70" i="15"/>
  <c r="E75" i="15"/>
  <c r="D25" i="15"/>
  <c r="B77" i="15"/>
  <c r="E91" i="15"/>
  <c r="B99" i="15"/>
  <c r="B75" i="15"/>
  <c r="D84" i="15"/>
  <c r="F95" i="15"/>
  <c r="F83" i="15"/>
  <c r="G94" i="15"/>
  <c r="C59" i="15"/>
  <c r="F85" i="15"/>
  <c r="A9" i="15"/>
  <c r="F19" i="15"/>
  <c r="A25" i="15"/>
  <c r="F35" i="15"/>
  <c r="G9" i="15"/>
  <c r="E20" i="15"/>
  <c r="C31" i="15"/>
  <c r="C16" i="15"/>
  <c r="E27" i="15"/>
  <c r="G39" i="15"/>
  <c r="F38" i="15"/>
  <c r="D49" i="15"/>
  <c r="B60" i="15"/>
  <c r="F12" i="15"/>
  <c r="G42" i="15"/>
  <c r="C64" i="15"/>
  <c r="A57" i="15"/>
  <c r="C83" i="15"/>
  <c r="C93" i="15"/>
  <c r="F18" i="15"/>
  <c r="E54" i="15"/>
  <c r="C65" i="15"/>
  <c r="D71" i="15"/>
  <c r="D79" i="15"/>
  <c r="F84" i="15"/>
  <c r="B90" i="15"/>
  <c r="D95" i="15"/>
  <c r="F100" i="15"/>
  <c r="F53" i="15"/>
  <c r="B63" i="15"/>
  <c r="G70" i="15"/>
  <c r="C76" i="15"/>
  <c r="A45" i="15"/>
  <c r="D78" i="15"/>
  <c r="D100" i="15"/>
  <c r="D76" i="15"/>
  <c r="F91" i="15"/>
  <c r="A97" i="15"/>
  <c r="G65" i="15"/>
  <c r="A85" i="15"/>
  <c r="A87" i="15"/>
  <c r="A17" i="15"/>
  <c r="E35" i="15"/>
  <c r="F62" i="15"/>
  <c r="G69" i="15"/>
  <c r="C91" i="15"/>
  <c r="C84" i="15"/>
  <c r="C57" i="15"/>
  <c r="F72" i="15"/>
  <c r="F80" i="15"/>
  <c r="F88" i="15"/>
  <c r="B94" i="15"/>
  <c r="B24" i="15"/>
  <c r="F61" i="15"/>
  <c r="C72" i="15"/>
  <c r="E77" i="15"/>
  <c r="G57" i="15"/>
  <c r="E95" i="15"/>
  <c r="D50" i="15"/>
  <c r="B83" i="15"/>
  <c r="B93" i="15"/>
  <c r="E56" i="15"/>
  <c r="D82" i="15"/>
  <c r="C92" i="15"/>
  <c r="A83" i="15"/>
  <c r="B95" i="15"/>
  <c r="F13" i="15"/>
  <c r="D24" i="15"/>
  <c r="A35" i="15"/>
  <c r="C9" i="15"/>
  <c r="G19" i="15"/>
  <c r="E30" i="15"/>
  <c r="E5" i="15"/>
  <c r="C26" i="15"/>
  <c r="F16" i="15"/>
  <c r="D37" i="15"/>
  <c r="F48" i="15"/>
  <c r="D59" i="15"/>
  <c r="F64" i="15"/>
  <c r="A30" i="15"/>
  <c r="C58" i="15"/>
  <c r="F55" i="15"/>
  <c r="G71" i="15"/>
  <c r="G95" i="15"/>
  <c r="C80" i="15"/>
  <c r="A41" i="15"/>
  <c r="E58" i="15"/>
  <c r="G63" i="15"/>
  <c r="F70" i="15"/>
  <c r="F78" i="15"/>
  <c r="B84" i="15"/>
  <c r="D89" i="15"/>
  <c r="F94" i="15"/>
  <c r="D33" i="15"/>
  <c r="F57" i="15"/>
  <c r="B67" i="15"/>
  <c r="G72" i="15"/>
  <c r="G80" i="15"/>
  <c r="E64" i="15"/>
  <c r="C86" i="15"/>
  <c r="G53" i="15"/>
  <c r="B89" i="15"/>
  <c r="B16" i="15"/>
  <c r="D74" i="15"/>
  <c r="C88" i="15"/>
  <c r="A75" i="15"/>
  <c r="A91" i="15"/>
  <c r="F97" i="15"/>
  <c r="A3" i="15"/>
  <c r="D14" i="15"/>
  <c r="D30" i="15"/>
  <c r="E4" i="15"/>
  <c r="C15" i="15"/>
  <c r="G25" i="15"/>
  <c r="E36" i="15"/>
  <c r="E11" i="15"/>
  <c r="C32" i="15"/>
  <c r="B22" i="15"/>
  <c r="C45" i="15"/>
  <c r="A16" i="15"/>
  <c r="B44" i="15"/>
  <c r="F54" i="15"/>
  <c r="D65" i="15"/>
  <c r="D35" i="15"/>
  <c r="C48" i="15"/>
  <c r="G58" i="15"/>
  <c r="F41" i="15"/>
  <c r="A67" i="15"/>
  <c r="G77" i="15"/>
  <c r="E81" i="15"/>
  <c r="D46" i="15"/>
  <c r="G59" i="15"/>
  <c r="F68" i="15"/>
  <c r="B74" i="15"/>
  <c r="F76" i="15"/>
  <c r="B82" i="15"/>
  <c r="D87" i="15"/>
  <c r="F92" i="15"/>
  <c r="B98" i="15"/>
  <c r="B43" i="15"/>
  <c r="A59" i="15"/>
  <c r="C68" i="15"/>
  <c r="E73" i="15"/>
  <c r="B69" i="15"/>
  <c r="E87" i="15"/>
  <c r="C98" i="15"/>
  <c r="B85" i="15"/>
  <c r="F34" i="15"/>
  <c r="F75" i="15"/>
  <c r="G90" i="15"/>
  <c r="C100" i="15"/>
  <c r="B79" i="15"/>
  <c r="F93" i="15"/>
  <c r="A99" i="15"/>
  <c r="M3" i="1" l="1"/>
  <c r="N3" i="1"/>
  <c r="P3" i="1" s="1"/>
  <c r="B1" i="17"/>
  <c r="A3" i="8"/>
  <c r="D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J3" i="8"/>
  <c r="E4" i="8"/>
  <c r="A5" i="8"/>
  <c r="F5" i="8"/>
  <c r="A6" i="8"/>
  <c r="G6" i="8"/>
  <c r="B7" i="8"/>
  <c r="G7" i="8"/>
  <c r="C8" i="8"/>
  <c r="H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A4" i="8"/>
  <c r="G4" i="8"/>
  <c r="B5" i="8"/>
  <c r="G5" i="8"/>
  <c r="C6" i="8"/>
  <c r="H6" i="8"/>
  <c r="C7" i="8"/>
  <c r="I7" i="8"/>
  <c r="D8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C4" i="8"/>
  <c r="H4" i="8"/>
  <c r="C5" i="8"/>
  <c r="I5" i="8"/>
  <c r="D6" i="8"/>
  <c r="I6" i="8"/>
  <c r="E7" i="8"/>
  <c r="J7" i="8"/>
  <c r="E8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F7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G8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A47" i="17"/>
  <c r="A46" i="17"/>
  <c r="A45" i="17"/>
  <c r="A44" i="17"/>
  <c r="A43" i="17"/>
  <c r="A42" i="17"/>
  <c r="A41" i="17"/>
  <c r="A40" i="17"/>
  <c r="B47" i="17"/>
  <c r="B46" i="17"/>
  <c r="B45" i="17"/>
  <c r="B44" i="17"/>
  <c r="B43" i="17"/>
  <c r="B42" i="17"/>
  <c r="B41" i="17"/>
  <c r="B40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E3" i="8"/>
  <c r="G3" i="8"/>
  <c r="F3" i="8"/>
  <c r="H3" i="8"/>
  <c r="C9" i="7"/>
  <c r="A31" i="7"/>
  <c r="B22" i="7"/>
  <c r="C86" i="7"/>
  <c r="B19" i="7"/>
  <c r="C40" i="7"/>
  <c r="C87" i="7"/>
  <c r="A49" i="7"/>
  <c r="A8" i="7"/>
  <c r="B29" i="7"/>
  <c r="C50" i="7"/>
  <c r="C81" i="7"/>
  <c r="B12" i="7"/>
  <c r="A22" i="7"/>
  <c r="A41" i="7"/>
  <c r="C57" i="7"/>
  <c r="B16" i="7"/>
  <c r="A97" i="7"/>
  <c r="C58" i="7"/>
  <c r="A10" i="7"/>
  <c r="B31" i="7"/>
  <c r="C83" i="7"/>
  <c r="A37" i="7"/>
  <c r="A4" i="7"/>
  <c r="B25" i="7"/>
  <c r="C46" i="7"/>
  <c r="C77" i="7"/>
  <c r="A99" i="7"/>
  <c r="C76" i="7"/>
  <c r="C23" i="7"/>
  <c r="A84" i="7"/>
  <c r="B30" i="7"/>
  <c r="C48" i="7"/>
  <c r="C27" i="7"/>
  <c r="B8" i="7"/>
  <c r="C29" i="7"/>
  <c r="C7" i="7"/>
  <c r="C66" i="7"/>
  <c r="C12" i="7"/>
  <c r="A34" i="7"/>
  <c r="C59" i="7"/>
  <c r="A45" i="7"/>
  <c r="A12" i="7"/>
  <c r="C53" i="7"/>
  <c r="C41" i="7"/>
  <c r="C92" i="7"/>
  <c r="C94" i="7"/>
  <c r="A53" i="7"/>
  <c r="B21" i="7"/>
  <c r="A63" i="7"/>
  <c r="A15" i="7"/>
  <c r="C39" i="7"/>
  <c r="C24" i="7"/>
  <c r="C71" i="7"/>
  <c r="A64" i="7"/>
  <c r="C34" i="7"/>
  <c r="C64" i="7"/>
  <c r="A17" i="7"/>
  <c r="C11" i="7"/>
  <c r="C68" i="7"/>
  <c r="C74" i="7"/>
  <c r="C36" i="7"/>
  <c r="A89" i="7"/>
  <c r="B9" i="7"/>
  <c r="A83" i="7"/>
  <c r="A47" i="7"/>
  <c r="C78" i="7"/>
  <c r="C10" i="7"/>
  <c r="C13" i="7"/>
  <c r="A35" i="7"/>
  <c r="C19" i="7"/>
  <c r="A18" i="7"/>
  <c r="B17" i="7"/>
  <c r="A62" i="7"/>
  <c r="C16" i="7"/>
  <c r="C26" i="7"/>
  <c r="B20" i="7"/>
  <c r="C54" i="7"/>
  <c r="A30" i="7"/>
  <c r="A40" i="7"/>
  <c r="B18" i="7"/>
  <c r="C33" i="7"/>
  <c r="C89" i="7"/>
  <c r="A27" i="7"/>
  <c r="B26" i="7"/>
  <c r="C20" i="7"/>
  <c r="A68" i="7"/>
  <c r="A36" i="7"/>
  <c r="A98" i="7"/>
  <c r="C60" i="7"/>
  <c r="A85" i="7"/>
  <c r="A19" i="7"/>
  <c r="A86" i="7"/>
  <c r="C25" i="7"/>
  <c r="A66" i="7"/>
  <c r="B10" i="7"/>
  <c r="C70" i="7"/>
  <c r="A14" i="7"/>
  <c r="C55" i="7"/>
  <c r="A33" i="7"/>
  <c r="C98" i="7"/>
  <c r="A24" i="7"/>
  <c r="C97" i="7"/>
  <c r="C84" i="7"/>
  <c r="C35" i="7"/>
  <c r="A96" i="7"/>
  <c r="A51" i="7"/>
  <c r="A6" i="7"/>
  <c r="C49" i="7"/>
  <c r="A11" i="7"/>
  <c r="A39" i="7"/>
  <c r="C43" i="7"/>
  <c r="C4" i="7"/>
  <c r="A26" i="7"/>
  <c r="A21" i="7"/>
  <c r="A20" i="7"/>
  <c r="C93" i="7"/>
  <c r="A9" i="7"/>
  <c r="A94" i="7"/>
  <c r="C32" i="7"/>
  <c r="A25" i="7"/>
  <c r="A48" i="7"/>
  <c r="A90" i="7"/>
  <c r="A3" i="7"/>
  <c r="B24" i="7"/>
  <c r="C52" i="7"/>
  <c r="C96" i="7"/>
  <c r="C51" i="7"/>
  <c r="B7" i="7"/>
  <c r="C28" i="7"/>
  <c r="A50" i="7"/>
  <c r="C75" i="7"/>
  <c r="A29" i="7"/>
  <c r="C6" i="7"/>
  <c r="A28" i="7"/>
  <c r="A82" i="7"/>
  <c r="C31" i="7"/>
  <c r="C17" i="7"/>
  <c r="C47" i="7"/>
  <c r="C99" i="7"/>
  <c r="C37" i="7"/>
  <c r="C88" i="7"/>
  <c r="B3" i="7"/>
  <c r="A46" i="7"/>
  <c r="A93" i="7"/>
  <c r="B13" i="7"/>
  <c r="C65" i="7"/>
  <c r="A87" i="7"/>
  <c r="A5" i="7"/>
  <c r="B28" i="7"/>
  <c r="A38" i="7"/>
  <c r="C73" i="7"/>
  <c r="C21" i="7"/>
  <c r="A13" i="7"/>
  <c r="B15" i="7"/>
  <c r="C67" i="7"/>
  <c r="A52" i="7"/>
  <c r="C30" i="7"/>
  <c r="C61" i="7"/>
  <c r="A23" i="7"/>
  <c r="A69" i="7"/>
  <c r="C82" i="7"/>
  <c r="A65" i="7"/>
  <c r="C38" i="7"/>
  <c r="C85" i="7"/>
  <c r="C72" i="7"/>
  <c r="C63" i="7"/>
  <c r="C45" i="7"/>
  <c r="C8" i="7"/>
  <c r="B14" i="7"/>
  <c r="C18" i="7"/>
  <c r="C62" i="7"/>
  <c r="A16" i="7"/>
  <c r="C5" i="7"/>
  <c r="C80" i="7"/>
  <c r="C90" i="7"/>
  <c r="A42" i="7"/>
  <c r="C95" i="7"/>
  <c r="C14" i="7"/>
  <c r="A67" i="7"/>
  <c r="C56" i="7"/>
  <c r="B11" i="7"/>
  <c r="A32" i="7"/>
  <c r="A7" i="7"/>
  <c r="A43" i="7"/>
  <c r="A44" i="7"/>
  <c r="C15" i="7"/>
  <c r="C79" i="7"/>
  <c r="C91" i="7"/>
  <c r="C69" i="7"/>
  <c r="A92" i="7"/>
  <c r="C42" i="7"/>
  <c r="B23" i="7"/>
  <c r="A91" i="7"/>
  <c r="C3" i="7"/>
  <c r="A95" i="7"/>
  <c r="C44" i="7"/>
  <c r="C22" i="7"/>
  <c r="B27" i="7"/>
  <c r="A88" i="7"/>
  <c r="B6" i="7"/>
  <c r="B5" i="7"/>
  <c r="B4" i="7"/>
  <c r="A58" i="7"/>
  <c r="A57" i="7"/>
  <c r="A60" i="7"/>
  <c r="A61" i="7"/>
  <c r="A59" i="7"/>
  <c r="A56" i="7"/>
  <c r="A55" i="7"/>
  <c r="A54" i="7"/>
  <c r="B44" i="7"/>
  <c r="B46" i="7"/>
  <c r="B37" i="7"/>
  <c r="B48" i="7"/>
  <c r="B40" i="7"/>
  <c r="B45" i="7"/>
  <c r="B52" i="7"/>
  <c r="B51" i="7"/>
  <c r="B38" i="7"/>
  <c r="B41" i="7"/>
  <c r="B49" i="7"/>
  <c r="B42" i="7"/>
  <c r="B53" i="7"/>
  <c r="B50" i="7"/>
  <c r="B47" i="7"/>
  <c r="B43" i="7"/>
  <c r="B34" i="7"/>
  <c r="B33" i="7"/>
  <c r="B36" i="7"/>
  <c r="B35" i="7"/>
  <c r="B39" i="7"/>
  <c r="B32" i="7"/>
  <c r="A80" i="7"/>
  <c r="A72" i="7"/>
  <c r="A75" i="7"/>
  <c r="A76" i="7"/>
  <c r="A74" i="7"/>
  <c r="A78" i="7"/>
  <c r="A81" i="7"/>
  <c r="A79" i="7"/>
  <c r="A77" i="7"/>
  <c r="A73" i="7"/>
  <c r="A71" i="7"/>
  <c r="A70" i="7"/>
  <c r="C1" i="17" l="1"/>
  <c r="D1" i="17"/>
  <c r="A1" i="17"/>
  <c r="C1" i="15"/>
  <c r="D1" i="15"/>
  <c r="E1" i="15"/>
  <c r="F1" i="15"/>
  <c r="G1" i="15"/>
  <c r="H1" i="13"/>
  <c r="I1" i="13"/>
  <c r="J1" i="13"/>
  <c r="K1" i="13"/>
  <c r="L1" i="13"/>
  <c r="M1" i="13"/>
  <c r="N1" i="13"/>
  <c r="O1" i="13"/>
  <c r="D53" i="17"/>
  <c r="D73" i="17"/>
  <c r="C96" i="17"/>
  <c r="C91" i="17"/>
  <c r="D50" i="17"/>
  <c r="D66" i="17"/>
  <c r="D82" i="17"/>
  <c r="C93" i="17"/>
  <c r="D98" i="17"/>
  <c r="C92" i="17"/>
  <c r="D80" i="17"/>
  <c r="D92" i="17"/>
  <c r="D51" i="17"/>
  <c r="C94" i="17"/>
  <c r="D95" i="17"/>
  <c r="C2" i="17"/>
  <c r="D49" i="17"/>
  <c r="C88" i="17"/>
  <c r="D64" i="17"/>
  <c r="D84" i="17"/>
  <c r="D62" i="17"/>
  <c r="D78" i="17"/>
  <c r="C89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C95" i="17"/>
  <c r="D99" i="17"/>
  <c r="D75" i="17"/>
  <c r="D57" i="17"/>
  <c r="D93" i="17"/>
  <c r="C99" i="17"/>
  <c r="D70" i="17"/>
  <c r="D69" i="17"/>
  <c r="D89" i="17"/>
  <c r="D88" i="17"/>
  <c r="D63" i="17"/>
  <c r="C90" i="17"/>
  <c r="D61" i="17"/>
  <c r="D67" i="17"/>
  <c r="D81" i="17"/>
  <c r="D48" i="17"/>
  <c r="D68" i="17"/>
  <c r="D54" i="17"/>
  <c r="D86" i="17"/>
  <c r="C97" i="17"/>
  <c r="C100" i="17"/>
  <c r="D79" i="17"/>
  <c r="D91" i="17"/>
  <c r="C98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47" i="17"/>
  <c r="D46" i="17"/>
  <c r="D45" i="17"/>
  <c r="D44" i="17"/>
  <c r="D43" i="17"/>
  <c r="D42" i="17"/>
  <c r="D41" i="17"/>
  <c r="D40" i="17"/>
  <c r="C86" i="17"/>
  <c r="C87" i="17"/>
  <c r="C83" i="17"/>
  <c r="C84" i="17"/>
  <c r="C85" i="17"/>
  <c r="C82" i="17"/>
  <c r="C76" i="17"/>
  <c r="C81" i="17"/>
  <c r="C78" i="17"/>
  <c r="C80" i="17"/>
  <c r="C77" i="17"/>
  <c r="C79" i="17"/>
  <c r="C71" i="17"/>
  <c r="C72" i="17"/>
  <c r="C73" i="17"/>
  <c r="C74" i="17"/>
  <c r="C75" i="17"/>
  <c r="C70" i="17"/>
  <c r="C64" i="17"/>
  <c r="C67" i="17"/>
  <c r="C66" i="17"/>
  <c r="C68" i="17"/>
  <c r="C65" i="17"/>
  <c r="C69" i="17"/>
  <c r="C61" i="17"/>
  <c r="C58" i="17"/>
  <c r="C62" i="17"/>
  <c r="C60" i="17"/>
  <c r="C63" i="17"/>
  <c r="C59" i="17"/>
  <c r="C52" i="17"/>
  <c r="C55" i="17"/>
  <c r="C53" i="17"/>
  <c r="C57" i="17"/>
  <c r="C54" i="17"/>
  <c r="C56" i="17"/>
  <c r="C49" i="17"/>
  <c r="C51" i="17"/>
  <c r="C46" i="17"/>
  <c r="C48" i="17"/>
  <c r="C47" i="17"/>
  <c r="C50" i="17"/>
  <c r="C43" i="17"/>
  <c r="C45" i="17"/>
  <c r="C42" i="17"/>
  <c r="C44" i="17"/>
  <c r="C41" i="17"/>
  <c r="C40" i="17"/>
  <c r="D39" i="17"/>
  <c r="C39" i="17"/>
  <c r="D38" i="17"/>
  <c r="D37" i="17"/>
  <c r="D36" i="17"/>
  <c r="C38" i="17"/>
  <c r="C37" i="17"/>
  <c r="C36" i="17"/>
  <c r="D35" i="17"/>
  <c r="D34" i="17"/>
  <c r="D33" i="17"/>
  <c r="D32" i="17"/>
  <c r="D31" i="17"/>
  <c r="D30" i="17"/>
  <c r="C35" i="17"/>
  <c r="C34" i="17"/>
  <c r="C33" i="17"/>
  <c r="C32" i="17"/>
  <c r="C31" i="17"/>
  <c r="C30" i="17"/>
  <c r="D29" i="17"/>
  <c r="D26" i="17"/>
  <c r="D25" i="17"/>
  <c r="D27" i="17"/>
  <c r="D28" i="17"/>
  <c r="C29" i="17"/>
  <c r="C28" i="17"/>
  <c r="C27" i="17"/>
  <c r="C26" i="17"/>
  <c r="C25" i="17"/>
  <c r="D24" i="17"/>
  <c r="D23" i="17"/>
  <c r="D22" i="17"/>
  <c r="D21" i="17"/>
  <c r="D20" i="17"/>
  <c r="D19" i="17"/>
  <c r="D18" i="17"/>
  <c r="C24" i="17"/>
  <c r="C23" i="17"/>
  <c r="C22" i="17"/>
  <c r="C21" i="17"/>
  <c r="C20" i="17"/>
  <c r="C19" i="17"/>
  <c r="C18" i="17"/>
  <c r="D17" i="17"/>
  <c r="D16" i="17"/>
  <c r="D15" i="17"/>
  <c r="D14" i="17"/>
  <c r="D13" i="17"/>
  <c r="D12" i="17"/>
  <c r="C17" i="17"/>
  <c r="C16" i="17"/>
  <c r="C15" i="17"/>
  <c r="C14" i="17"/>
  <c r="C13" i="17"/>
  <c r="C12" i="17"/>
  <c r="D11" i="17"/>
  <c r="D10" i="17"/>
  <c r="D9" i="17"/>
  <c r="D8" i="17"/>
  <c r="D7" i="17"/>
  <c r="D6" i="17"/>
  <c r="D5" i="17"/>
  <c r="D4" i="17"/>
  <c r="D3" i="17"/>
  <c r="D2" i="17"/>
  <c r="C11" i="17"/>
  <c r="C10" i="17"/>
  <c r="C9" i="17"/>
  <c r="C8" i="17"/>
  <c r="C7" i="17"/>
  <c r="C6" i="17"/>
  <c r="C5" i="17"/>
  <c r="C4" i="17"/>
  <c r="C3" i="17"/>
  <c r="E2" i="15"/>
  <c r="G2" i="15"/>
  <c r="B2" i="15"/>
  <c r="F2" i="15"/>
  <c r="D2" i="15"/>
  <c r="C2" i="15"/>
  <c r="B1" i="15" l="1"/>
  <c r="D2" i="13"/>
  <c r="A1" i="15" l="1"/>
  <c r="B1" i="13" l="1"/>
  <c r="D1" i="13"/>
  <c r="E1" i="13"/>
  <c r="F1" i="13"/>
  <c r="G1" i="13"/>
  <c r="B2" i="13"/>
  <c r="A2" i="15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F90" i="9"/>
  <c r="G85" i="9"/>
  <c r="A41" i="9"/>
  <c r="F79" i="9"/>
  <c r="A70" i="9"/>
  <c r="D67" i="9"/>
  <c r="C27" i="9"/>
  <c r="C58" i="9"/>
  <c r="H92" i="9"/>
  <c r="D55" i="9"/>
  <c r="E63" i="9"/>
  <c r="D99" i="9"/>
  <c r="E93" i="9"/>
  <c r="G16" i="9"/>
  <c r="B31" i="9"/>
  <c r="A60" i="9"/>
  <c r="F51" i="9"/>
  <c r="G47" i="9"/>
  <c r="F11" i="9"/>
  <c r="H93" i="9"/>
  <c r="E82" i="9"/>
  <c r="F18" i="9"/>
  <c r="C90" i="9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H2" i="9"/>
  <c r="B2" i="9"/>
  <c r="C2" i="9"/>
  <c r="F2" i="9"/>
  <c r="A2" i="9"/>
  <c r="G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C35" i="10"/>
  <c r="F48" i="10"/>
  <c r="E37" i="10"/>
  <c r="G48" i="10"/>
  <c r="D57" i="10"/>
  <c r="D48" i="10"/>
  <c r="D99" i="10"/>
  <c r="F40" i="10"/>
  <c r="E50" i="10"/>
  <c r="F71" i="10"/>
  <c r="F90" i="10"/>
  <c r="E82" i="10"/>
  <c r="F68" i="10"/>
  <c r="C64" i="10"/>
  <c r="C39" i="10"/>
  <c r="D90" i="10"/>
  <c r="D39" i="10"/>
  <c r="F47" i="10"/>
  <c r="G98" i="10"/>
  <c r="G84" i="10"/>
  <c r="C47" i="10"/>
  <c r="F53" i="10"/>
  <c r="C62" i="10"/>
  <c r="E67" i="10"/>
  <c r="F50" i="10"/>
  <c r="C67" i="10"/>
  <c r="F80" i="10"/>
  <c r="E42" i="10"/>
  <c r="G50" i="10"/>
  <c r="F92" i="10"/>
  <c r="F46" i="10"/>
  <c r="F44" i="10"/>
  <c r="C71" i="10"/>
  <c r="D98" i="10"/>
  <c r="D41" i="10"/>
  <c r="E92" i="10"/>
  <c r="C49" i="10"/>
  <c r="F62" i="10"/>
  <c r="E34" i="10"/>
  <c r="G42" i="10"/>
  <c r="C94" i="10"/>
  <c r="E53" i="10"/>
  <c r="G89" i="10"/>
  <c r="F96" i="10"/>
  <c r="C50" i="10"/>
  <c r="C91" i="10"/>
  <c r="G53" i="10"/>
  <c r="F65" i="10"/>
  <c r="E46" i="10"/>
  <c r="C83" i="10"/>
  <c r="G76" i="10"/>
  <c r="D14" i="10"/>
  <c r="F18" i="10"/>
  <c r="G4" i="10"/>
  <c r="E14" i="10"/>
  <c r="C22" i="10"/>
  <c r="F25" i="10"/>
  <c r="D77" i="10"/>
  <c r="D3" i="10"/>
  <c r="E24" i="10"/>
  <c r="C78" i="10"/>
  <c r="E49" i="10"/>
  <c r="E70" i="10"/>
  <c r="G78" i="10"/>
  <c r="C88" i="10"/>
  <c r="G96" i="10"/>
  <c r="G86" i="10"/>
  <c r="D59" i="10"/>
  <c r="G36" i="10"/>
  <c r="E91" i="10"/>
  <c r="G16" i="10"/>
  <c r="F6" i="10"/>
  <c r="D56" i="10"/>
  <c r="E64" i="10"/>
  <c r="E17" i="10"/>
  <c r="D30" i="10"/>
  <c r="G17" i="10"/>
  <c r="D15" i="10"/>
  <c r="E22" i="10"/>
  <c r="C23" i="10"/>
  <c r="F39" i="10"/>
  <c r="E43" i="10"/>
  <c r="F57" i="10"/>
  <c r="D69" i="10"/>
  <c r="G85" i="10"/>
  <c r="F77" i="10"/>
  <c r="E48" i="10"/>
  <c r="C72" i="10"/>
  <c r="G39" i="10"/>
  <c r="F34" i="10"/>
  <c r="G14" i="10"/>
  <c r="F16" i="10"/>
  <c r="D43" i="10"/>
  <c r="F27" i="10"/>
  <c r="D12" i="10"/>
  <c r="E19" i="10"/>
  <c r="C19" i="10"/>
  <c r="E4" i="10"/>
  <c r="C18" i="10"/>
  <c r="G30" i="10"/>
  <c r="C44" i="10"/>
  <c r="D95" i="10"/>
  <c r="G44" i="10"/>
  <c r="F59" i="10"/>
  <c r="G57" i="10"/>
  <c r="C41" i="10"/>
  <c r="D46" i="10"/>
  <c r="E47" i="10"/>
  <c r="C69" i="10"/>
  <c r="C89" i="10"/>
  <c r="G3" i="10"/>
  <c r="F9" i="10"/>
  <c r="F51" i="10"/>
  <c r="G27" i="10"/>
  <c r="D20" i="10"/>
  <c r="F4" i="10"/>
  <c r="D23" i="10"/>
  <c r="F12" i="10"/>
  <c r="C3" i="10"/>
  <c r="F31" i="10"/>
  <c r="C29" i="10"/>
  <c r="C27" i="10"/>
  <c r="G47" i="10"/>
  <c r="E61" i="10"/>
  <c r="C63" i="10"/>
  <c r="F61" i="10"/>
  <c r="C70" i="10"/>
  <c r="E87" i="10"/>
  <c r="D79" i="10"/>
  <c r="D66" i="10"/>
  <c r="D63" i="10"/>
  <c r="E84" i="10"/>
  <c r="C77" i="10"/>
  <c r="C80" i="10"/>
  <c r="E85" i="10"/>
  <c r="D38" i="10"/>
  <c r="G51" i="10"/>
  <c r="G43" i="10"/>
  <c r="C52" i="10"/>
  <c r="E60" i="10"/>
  <c r="C61" i="10"/>
  <c r="D44" i="10"/>
  <c r="G71" i="10"/>
  <c r="E66" i="10"/>
  <c r="G74" i="10"/>
  <c r="C97" i="10"/>
  <c r="G88" i="10"/>
  <c r="D42" i="10"/>
  <c r="D50" i="10"/>
  <c r="D55" i="10"/>
  <c r="F63" i="10"/>
  <c r="G73" i="10"/>
  <c r="C57" i="10"/>
  <c r="E57" i="10"/>
  <c r="G83" i="10"/>
  <c r="F45" i="10"/>
  <c r="C54" i="10"/>
  <c r="E35" i="10"/>
  <c r="D80" i="10"/>
  <c r="D34" i="10"/>
  <c r="D47" i="10"/>
  <c r="F55" i="10"/>
  <c r="G41" i="10"/>
  <c r="G56" i="10"/>
  <c r="F100" i="10"/>
  <c r="C48" i="10"/>
  <c r="G62" i="10"/>
  <c r="F70" i="10"/>
  <c r="E90" i="10"/>
  <c r="C74" i="10"/>
  <c r="G54" i="10"/>
  <c r="D75" i="10"/>
  <c r="E39" i="10"/>
  <c r="G22" i="10"/>
  <c r="D32" i="10"/>
  <c r="C5" i="10"/>
  <c r="E2" i="10"/>
  <c r="F11" i="10"/>
  <c r="D9" i="10"/>
  <c r="E11" i="10"/>
  <c r="C21" i="10"/>
  <c r="F29" i="10"/>
  <c r="F81" i="10"/>
  <c r="F76" i="10"/>
  <c r="E40" i="10"/>
  <c r="F91" i="10"/>
  <c r="G45" i="10"/>
  <c r="C53" i="10"/>
  <c r="C93" i="10"/>
  <c r="F67" i="10"/>
  <c r="D45" i="10"/>
  <c r="E93" i="10"/>
  <c r="D10" i="10"/>
  <c r="E21" i="10"/>
  <c r="E7" i="10"/>
  <c r="G7" i="10"/>
  <c r="C16" i="10"/>
  <c r="F24" i="10"/>
  <c r="E71" i="10"/>
  <c r="G23" i="10"/>
  <c r="D29" i="10"/>
  <c r="E28" i="10"/>
  <c r="G90" i="10"/>
  <c r="G55" i="10"/>
  <c r="F73" i="10"/>
  <c r="C82" i="10"/>
  <c r="G49" i="10"/>
  <c r="G99" i="10"/>
  <c r="F99" i="10"/>
  <c r="E80" i="10"/>
  <c r="F49" i="10"/>
  <c r="G38" i="10"/>
  <c r="D6" i="10"/>
  <c r="E30" i="10"/>
  <c r="E10" i="10"/>
  <c r="D76" i="10"/>
  <c r="G20" i="10"/>
  <c r="D26" i="10"/>
  <c r="E32" i="10"/>
  <c r="G12" i="10"/>
  <c r="F19" i="10"/>
  <c r="G15" i="10"/>
  <c r="E52" i="10"/>
  <c r="F78" i="10"/>
  <c r="G60" i="10"/>
  <c r="E72" i="10"/>
  <c r="D92" i="10"/>
  <c r="C84" i="10"/>
  <c r="G52" i="10"/>
  <c r="C42" i="10"/>
  <c r="E65" i="10"/>
  <c r="G80" i="10"/>
  <c r="D18" i="10"/>
  <c r="G18" i="10"/>
  <c r="E12" i="10"/>
  <c r="F52" i="10"/>
  <c r="D8" i="10"/>
  <c r="E31" i="10"/>
  <c r="C11" i="10"/>
  <c r="G9" i="10"/>
  <c r="C9" i="10"/>
  <c r="G25" i="10"/>
  <c r="C25" i="10"/>
  <c r="C32" i="10"/>
  <c r="B80" i="10"/>
  <c r="B86" i="10"/>
  <c r="A60" i="10"/>
  <c r="B57" i="10"/>
  <c r="A35" i="10"/>
  <c r="G35" i="10"/>
  <c r="C87" i="10"/>
  <c r="C36" i="10"/>
  <c r="E44" i="10"/>
  <c r="F95" i="10"/>
  <c r="G61" i="10"/>
  <c r="D88" i="10"/>
  <c r="F37" i="10"/>
  <c r="G58" i="10"/>
  <c r="F54" i="10"/>
  <c r="G37" i="10"/>
  <c r="C43" i="10"/>
  <c r="D51" i="10"/>
  <c r="G63" i="10"/>
  <c r="E77" i="10"/>
  <c r="D86" i="10"/>
  <c r="G34" i="10"/>
  <c r="C86" i="10"/>
  <c r="F86" i="10"/>
  <c r="E86" i="10"/>
  <c r="G40" i="10"/>
  <c r="D49" i="10"/>
  <c r="E100" i="10"/>
  <c r="C96" i="10"/>
  <c r="D54" i="10"/>
  <c r="G67" i="10"/>
  <c r="G91" i="10"/>
  <c r="C38" i="10"/>
  <c r="D89" i="10"/>
  <c r="D36" i="10"/>
  <c r="C100" i="10"/>
  <c r="D58" i="10"/>
  <c r="D78" i="10"/>
  <c r="D71" i="10"/>
  <c r="F79" i="10"/>
  <c r="E94" i="10"/>
  <c r="E98" i="10"/>
  <c r="G79" i="10"/>
  <c r="G72" i="10"/>
  <c r="D81" i="10"/>
  <c r="E55" i="10"/>
  <c r="G77" i="10"/>
  <c r="F72" i="10"/>
  <c r="D37" i="10"/>
  <c r="E88" i="10"/>
  <c r="D40" i="10"/>
  <c r="D70" i="10"/>
  <c r="D87" i="10"/>
  <c r="C85" i="10"/>
  <c r="D72" i="10"/>
  <c r="G2" i="10"/>
  <c r="F22" i="10"/>
  <c r="D94" i="10"/>
  <c r="C56" i="10"/>
  <c r="D4" i="10"/>
  <c r="E27" i="10"/>
  <c r="G24" i="10"/>
  <c r="D22" i="10"/>
  <c r="F13" i="10"/>
  <c r="E20" i="10"/>
  <c r="F69" i="10"/>
  <c r="G92" i="10"/>
  <c r="E54" i="10"/>
  <c r="C66" i="10"/>
  <c r="E79" i="10"/>
  <c r="F66" i="10"/>
  <c r="F35" i="10"/>
  <c r="C59" i="10"/>
  <c r="C73" i="10"/>
  <c r="D68" i="10"/>
  <c r="E8" i="10"/>
  <c r="C17" i="10"/>
  <c r="G31" i="10"/>
  <c r="D31" i="10"/>
  <c r="D16" i="10"/>
  <c r="E23" i="10"/>
  <c r="G21" i="10"/>
  <c r="E3" i="10"/>
  <c r="F23" i="10"/>
  <c r="D21" i="10"/>
  <c r="C95" i="10"/>
  <c r="C76" i="10"/>
  <c r="F41" i="10"/>
  <c r="E56" i="10"/>
  <c r="C45" i="10"/>
  <c r="F94" i="10"/>
  <c r="C40" i="10"/>
  <c r="C79" i="10"/>
  <c r="E99" i="10"/>
  <c r="E51" i="10"/>
  <c r="G13" i="10"/>
  <c r="C8" i="10"/>
  <c r="G28" i="10"/>
  <c r="F8" i="10"/>
  <c r="G8" i="10"/>
  <c r="F20" i="10"/>
  <c r="G5" i="10"/>
  <c r="F93" i="10"/>
  <c r="G19" i="10"/>
  <c r="D25" i="10"/>
  <c r="F30" i="10"/>
  <c r="G65" i="10"/>
  <c r="E89" i="10"/>
  <c r="G46" i="10"/>
  <c r="C98" i="10"/>
  <c r="E78" i="10"/>
  <c r="D100" i="10"/>
  <c r="D64" i="10"/>
  <c r="D52" i="10"/>
  <c r="G70" i="10"/>
  <c r="F2" i="10"/>
  <c r="C20" i="10"/>
  <c r="F28" i="10"/>
  <c r="F15" i="10"/>
  <c r="E16" i="10"/>
  <c r="C10" i="10"/>
  <c r="G29" i="10"/>
  <c r="G68" i="10"/>
  <c r="D7" i="10"/>
  <c r="E29" i="10"/>
  <c r="F5" i="10"/>
  <c r="C28" i="10"/>
  <c r="C26" i="10"/>
  <c r="B37" i="10"/>
  <c r="A68" i="10"/>
  <c r="B19" i="10"/>
  <c r="A71" i="10"/>
  <c r="D82" i="10"/>
  <c r="C65" i="10"/>
  <c r="F74" i="10"/>
  <c r="F64" i="10"/>
  <c r="G93" i="10"/>
  <c r="F87" i="10"/>
  <c r="E73" i="10"/>
  <c r="C92" i="10"/>
  <c r="G66" i="10"/>
  <c r="C60" i="10"/>
  <c r="F36" i="10"/>
  <c r="F97" i="10"/>
  <c r="E5" i="10"/>
  <c r="E15" i="10"/>
  <c r="F10" i="10"/>
  <c r="G75" i="10"/>
  <c r="E97" i="10"/>
  <c r="F82" i="10"/>
  <c r="D28" i="10"/>
  <c r="E9" i="10"/>
  <c r="G94" i="10"/>
  <c r="C99" i="10"/>
  <c r="D24" i="10"/>
  <c r="G32" i="10"/>
  <c r="C7" i="10"/>
  <c r="D85" i="10"/>
  <c r="D93" i="10"/>
  <c r="E26" i="10"/>
  <c r="F26" i="10"/>
  <c r="D17" i="10"/>
  <c r="B54" i="10"/>
  <c r="A12" i="10"/>
  <c r="B60" i="10"/>
  <c r="A66" i="10"/>
  <c r="B14" i="10"/>
  <c r="B84" i="10"/>
  <c r="B26" i="10"/>
  <c r="B35" i="10"/>
  <c r="A49" i="10"/>
  <c r="A26" i="10"/>
  <c r="A24" i="10"/>
  <c r="B8" i="10"/>
  <c r="B68" i="10"/>
  <c r="B91" i="10"/>
  <c r="A81" i="10"/>
  <c r="B32" i="10"/>
  <c r="A97" i="10"/>
  <c r="B40" i="10"/>
  <c r="A94" i="10"/>
  <c r="B20" i="10"/>
  <c r="A45" i="10"/>
  <c r="B89" i="10"/>
  <c r="A91" i="10"/>
  <c r="A10" i="10"/>
  <c r="B97" i="10"/>
  <c r="B38" i="10"/>
  <c r="B66" i="10"/>
  <c r="A100" i="10"/>
  <c r="A37" i="10"/>
  <c r="B98" i="10"/>
  <c r="A96" i="10"/>
  <c r="B73" i="10"/>
  <c r="A21" i="10"/>
  <c r="B41" i="10"/>
  <c r="B16" i="10"/>
  <c r="E6" i="10"/>
  <c r="B87" i="10"/>
  <c r="B81" i="10"/>
  <c r="A25" i="10"/>
  <c r="A20" i="10"/>
  <c r="B27" i="10"/>
  <c r="A72" i="10"/>
  <c r="A14" i="10"/>
  <c r="B24" i="10"/>
  <c r="A47" i="10"/>
  <c r="B64" i="10"/>
  <c r="E74" i="10"/>
  <c r="F84" i="10"/>
  <c r="D96" i="10"/>
  <c r="E69" i="10"/>
  <c r="F85" i="10"/>
  <c r="G97" i="10"/>
  <c r="C68" i="10"/>
  <c r="E45" i="10"/>
  <c r="C81" i="10"/>
  <c r="E68" i="10"/>
  <c r="D67" i="10"/>
  <c r="E95" i="10"/>
  <c r="C14" i="10"/>
  <c r="F14" i="10"/>
  <c r="D5" i="10"/>
  <c r="E63" i="10"/>
  <c r="E75" i="10"/>
  <c r="E96" i="10"/>
  <c r="C13" i="10"/>
  <c r="G6" i="10"/>
  <c r="F42" i="10"/>
  <c r="F58" i="10"/>
  <c r="C58" i="10"/>
  <c r="D13" i="10"/>
  <c r="C75" i="10"/>
  <c r="G95" i="10"/>
  <c r="G81" i="10"/>
  <c r="E62" i="10"/>
  <c r="E18" i="10"/>
  <c r="D27" i="10"/>
  <c r="B43" i="10"/>
  <c r="B21" i="10"/>
  <c r="B70" i="10"/>
  <c r="A52" i="10"/>
  <c r="A22" i="10"/>
  <c r="B52" i="10"/>
  <c r="B88" i="10"/>
  <c r="A59" i="10"/>
  <c r="A6" i="10"/>
  <c r="B95" i="10"/>
  <c r="B75" i="10"/>
  <c r="A57" i="10"/>
  <c r="A58" i="10"/>
  <c r="A31" i="10"/>
  <c r="B18" i="10"/>
  <c r="B76" i="10"/>
  <c r="A89" i="10"/>
  <c r="B6" i="10"/>
  <c r="A9" i="10"/>
  <c r="B99" i="10"/>
  <c r="A67" i="10"/>
  <c r="B22" i="10"/>
  <c r="A39" i="10"/>
  <c r="B65" i="10"/>
  <c r="A65" i="10"/>
  <c r="A8" i="10"/>
  <c r="A78" i="10"/>
  <c r="B45" i="10"/>
  <c r="A88" i="10"/>
  <c r="B13" i="10"/>
  <c r="B34" i="10"/>
  <c r="B92" i="10"/>
  <c r="B46" i="10"/>
  <c r="A29" i="10"/>
  <c r="B44" i="10"/>
  <c r="A70" i="10"/>
  <c r="A5" i="10"/>
  <c r="A82" i="10"/>
  <c r="B79" i="10"/>
  <c r="A80" i="10"/>
  <c r="B28" i="10"/>
  <c r="A48" i="10"/>
  <c r="B51" i="10"/>
  <c r="A95" i="10"/>
  <c r="A17" i="10"/>
  <c r="F60" i="10"/>
  <c r="C46" i="10"/>
  <c r="E38" i="10"/>
  <c r="G64" i="10"/>
  <c r="E41" i="10"/>
  <c r="E76" i="10"/>
  <c r="G69" i="10"/>
  <c r="F75" i="10"/>
  <c r="F32" i="10"/>
  <c r="G87" i="10"/>
  <c r="G10" i="10"/>
  <c r="C15" i="10"/>
  <c r="E83" i="10"/>
  <c r="E13" i="10"/>
  <c r="D62" i="10"/>
  <c r="C90" i="10"/>
  <c r="G11" i="10"/>
  <c r="A42" i="10"/>
  <c r="B50" i="10"/>
  <c r="A93" i="10"/>
  <c r="A63" i="10"/>
  <c r="A11" i="10"/>
  <c r="B25" i="10"/>
  <c r="A99" i="10"/>
  <c r="A84" i="10"/>
  <c r="B69" i="10"/>
  <c r="A36" i="10"/>
  <c r="B58" i="10"/>
  <c r="B48" i="10"/>
  <c r="A44" i="10"/>
  <c r="B71" i="10"/>
  <c r="B3" i="10"/>
  <c r="B56" i="10"/>
  <c r="B90" i="10"/>
  <c r="B5" i="10"/>
  <c r="A30" i="10"/>
  <c r="A61" i="10"/>
  <c r="D74" i="10"/>
  <c r="E59" i="10"/>
  <c r="D97" i="10"/>
  <c r="C51" i="10"/>
  <c r="D73" i="10"/>
  <c r="E36" i="10"/>
  <c r="C55" i="10"/>
  <c r="G100" i="10"/>
  <c r="E58" i="10"/>
  <c r="G59" i="10"/>
  <c r="D65" i="10"/>
  <c r="F98" i="10"/>
  <c r="F83" i="10"/>
  <c r="F17" i="10"/>
  <c r="D19" i="10"/>
  <c r="D53" i="10"/>
  <c r="F89" i="10"/>
  <c r="C6" i="10"/>
  <c r="F7" i="10"/>
  <c r="G26" i="10"/>
  <c r="F43" i="10"/>
  <c r="D91" i="10"/>
  <c r="C2" i="10"/>
  <c r="C12" i="10"/>
  <c r="E25" i="10"/>
  <c r="C34" i="10"/>
  <c r="D61" i="10"/>
  <c r="D2" i="10"/>
  <c r="C4" i="10"/>
  <c r="F3" i="10"/>
  <c r="C30" i="10"/>
  <c r="C24" i="10"/>
  <c r="A83" i="10"/>
  <c r="B9" i="10"/>
  <c r="B93" i="10"/>
  <c r="A69" i="10"/>
  <c r="A32" i="10"/>
  <c r="A18" i="10"/>
  <c r="B67" i="10"/>
  <c r="A43" i="10"/>
  <c r="B29" i="10"/>
  <c r="A23" i="10"/>
  <c r="B78" i="10"/>
  <c r="B23" i="10"/>
  <c r="B63" i="10"/>
  <c r="A87" i="10"/>
  <c r="B10" i="10"/>
  <c r="A46" i="10"/>
  <c r="B49" i="10"/>
  <c r="A90" i="10"/>
  <c r="A19" i="10"/>
  <c r="B39" i="10"/>
  <c r="B85" i="10"/>
  <c r="A53" i="10"/>
  <c r="B15" i="10"/>
  <c r="A79" i="10"/>
  <c r="A62" i="10"/>
  <c r="B82" i="10"/>
  <c r="A98" i="10"/>
  <c r="A34" i="10"/>
  <c r="B17" i="10"/>
  <c r="B83" i="10"/>
  <c r="A56" i="10"/>
  <c r="B31" i="10"/>
  <c r="A76" i="10"/>
  <c r="B55" i="10"/>
  <c r="A74" i="10"/>
  <c r="B53" i="10"/>
  <c r="A77" i="10"/>
  <c r="B7" i="10"/>
  <c r="B94" i="10"/>
  <c r="B30" i="10"/>
  <c r="B74" i="10"/>
  <c r="A4" i="10"/>
  <c r="B36" i="10"/>
  <c r="B47" i="10"/>
  <c r="A75" i="10"/>
  <c r="B12" i="10"/>
  <c r="B62" i="10"/>
  <c r="A13" i="10"/>
  <c r="A51" i="10"/>
  <c r="A3" i="10"/>
  <c r="B4" i="10"/>
  <c r="B42" i="10"/>
  <c r="A7" i="10"/>
  <c r="B61" i="10"/>
  <c r="A40" i="10"/>
  <c r="A85" i="10"/>
  <c r="A38" i="10"/>
  <c r="A28" i="10"/>
  <c r="G82" i="10"/>
  <c r="F88" i="10"/>
  <c r="F56" i="10"/>
  <c r="D84" i="10"/>
  <c r="F38" i="10"/>
  <c r="F21" i="10"/>
  <c r="D35" i="10"/>
  <c r="C37" i="10"/>
  <c r="E81" i="10"/>
  <c r="D11" i="10"/>
  <c r="D83" i="10"/>
  <c r="D60" i="10"/>
  <c r="C31" i="10"/>
  <c r="B77" i="10"/>
  <c r="A15" i="10"/>
  <c r="A64" i="10"/>
  <c r="A41" i="10"/>
  <c r="B96" i="10"/>
  <c r="B11" i="10"/>
  <c r="B72" i="10"/>
  <c r="A54" i="10"/>
  <c r="A73" i="10"/>
  <c r="B100" i="10"/>
  <c r="A92" i="10"/>
  <c r="A55" i="10"/>
  <c r="A86" i="10"/>
  <c r="A50" i="10"/>
  <c r="B59" i="10"/>
  <c r="A16" i="10"/>
  <c r="A27" i="10"/>
  <c r="G33" i="10"/>
  <c r="F33" i="10"/>
  <c r="E33" i="10"/>
  <c r="D33" i="10"/>
  <c r="C33" i="10"/>
  <c r="B33" i="10"/>
  <c r="A33" i="10"/>
  <c r="M2" i="1" l="1"/>
  <c r="P2" i="1"/>
  <c r="A1" i="10" l="1"/>
  <c r="A2" i="10"/>
  <c r="B2" i="10"/>
  <c r="C2" i="7"/>
  <c r="A2" i="7"/>
  <c r="B2" i="7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<sst xmlns="http://schemas.openxmlformats.org/spreadsheetml/2006/main" count="463" uniqueCount="279">
  <si>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</si>
  <si>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</si>
  <si>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</si>
  <si>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</si>
  <si>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</si>
  <si>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</si>
  <si>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</si>
  <si>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</si>
  <si>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</si>
  <si>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</si>
  <si>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</si>
  <si>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</si>
  <si>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</si>
  <si>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</si>
  <si>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</si>
  <si>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</si>
  <si>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</si>
  <si>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</si>
  <si>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</si>
  <si>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</si>
  <si>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</si>
  <si>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</si>
  <si>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</si>
  <si>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</si>
  <si>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</si>
  <si>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</si>
  <si>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</si>
  <si>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</si>
  <si>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</si>
  <si>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</si>
  <si>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</si>
  <si>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</si>
  <si>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</si>
  <si>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</si>
  <si>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</si>
  <si>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</si>
  <si>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</si>
  <si>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</si>
  <si>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</si>
  <si>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</si>
  <si>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</si>
  <si>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</si>
  <si>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</si>
  <si>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</si>
  <si>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</si>
  <si>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</si>
  <si>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</si>
  <si>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</si>
  <si>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</si>
  <si>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</si>
  <si>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</si>
  <si>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</si>
  <si>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</si>
  <si>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</si>
  <si>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</si>
  <si>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</si>
  <si>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</si>
  <si>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</si>
  <si>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</si>
  <si>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</si>
  <si>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</si>
  <si>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</si>
  <si>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</si>
  <si>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</si>
  <si>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</si>
  <si>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</si>
  <si>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</si>
  <si>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</si>
  <si>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</si>
  <si>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</si>
  <si>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</si>
  <si>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</si>
  <si>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</si>
  <si>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</si>
  <si>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</si>
  <si>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</si>
  <si>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</si>
  <si>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</si>
  <si>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</si>
  <si>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</si>
  <si>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</si>
  <si>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</si>
  <si>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</si>
  <si>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</si>
  <si>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</si>
  <si>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</si>
  <si>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</si>
  <si>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</si>
  <si>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</si>
  <si>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</si>
  <si>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</si>
  <si>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</si>
  <si>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</si>
  <si>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</si>
  <si>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</si>
  <si>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</si>
  <si>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</si>
  <si>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</si>
  <si>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</si>
  <si>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</si>
  <si>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</si>
  <si>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</si>
  <si>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</si>
  <si>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</si>
  <si>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</si>
  <si>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</si>
  <si>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</si>
  <si>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</si>
  <si>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</si>
  <si>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</si>
  <si>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</si>
  <si>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</si>
  <si>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</si>
  <si>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</si>
  <si>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</si>
  <si>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</si>
  <si>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</si>
  <si>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</si>
  <si>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</si>
  <si>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</si>
  <si>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</si>
  <si>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</si>
  <si>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</si>
  <si>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</si>
  <si>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</si>
  <si>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</si>
  <si>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</si>
  <si>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</si>
  <si>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</si>
  <si>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</si>
  <si>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</si>
  <si>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</si>
  <si>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</si>
  <si>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</si>
  <si>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</si>
  <si>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</si>
  <si>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</si>
  <si>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</si>
  <si>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</si>
  <si>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</si>
  <si>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</si>
  <si>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</si>
  <si>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</si>
  <si>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</si>
  <si>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</si>
  <si>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</si>
  <si>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</si>
  <si>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</si>
  <si>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</si>
  <si>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</si>
  <si>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</si>
  <si>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</si>
  <si>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</si>
  <si>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</si>
  <si>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</si>
  <si>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</si>
  <si>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</si>
  <si>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</si>
  <si>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</si>
  <si>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</si>
  <si>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</si>
  <si>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</si>
  <si>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</si>
  <si>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</si>
  <si>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</si>
  <si>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</si>
  <si>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</si>
  <si>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</si>
  <si>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</si>
  <si>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</si>
  <si>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</si>
  <si>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</si>
  <si>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</si>
  <si>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</si>
  <si>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</si>
  <si>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</si>
  <si>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裝備升級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</si>
  <si>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</si>
  <si>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</si>
  <si>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</si>
  <si>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</si>
  <si>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</si>
  <si>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</si>
  <si>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</si>
  <si>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</si>
  <si>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</si>
  <si>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</si>
  <si>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</si>
  <si>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</si>
  <si>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</si>
  <si>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</si>
  <si>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</si>
  <si>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</si>
  <si>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</si>
  <si>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</si>
  <si>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</si>
  <si>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</si>
  <si>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</si>
  <si>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</si>
  <si>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</si>
  <si>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</si>
  <si>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</si>
  <si>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</si>
  <si>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</si>
  <si>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</si>
  <si>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</si>
  <si>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</si>
  <si>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</si>
  <si>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</si>
  <si>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</si>
  <si>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</si>
  <si>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</si>
  <si>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</si>
  <si>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</si>
  <si>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</si>
  <si>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</si>
  <si>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</si>
  <si>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</si>
  <si>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</si>
  <si>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</si>
  <si>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</si>
  <si>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升級手電筒</t>
  </si>
  <si>
    <t>升級小刀</t>
  </si>
  <si>
    <t>升級手槍</t>
  </si>
  <si>
    <t>升級左輪手槍</t>
  </si>
  <si>
    <t>升級沙漠之鷹</t>
  </si>
  <si>
    <t>升級衝鋒槍</t>
  </si>
  <si>
    <t>升級突擊步槍</t>
  </si>
  <si>
    <t>升級輕機槍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</si>
  <si>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</si>
  <si>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</si>
  <si>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</si>
  <si>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</si>
  <si>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</si>
  <si>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</si>
  <si>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</si>
  <si>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</si>
  <si>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</si>
  <si>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</si>
  <si>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</si>
  <si>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</si>
  <si>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</si>
  <si>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</si>
  <si>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</si>
  <si>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</si>
  <si>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</si>
  <si>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</si>
  <si>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</si>
  <si>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[ffed00]sta cap[546ef2]+4[-][-]</t>
  </si>
  <si>
    <t>[ffed00]sta cap[546ef2]+8[-][-]</t>
  </si>
  <si>
    <t>[ffed00]sta cap[e92121]-4[-][-]</t>
  </si>
  <si>
    <t>[ffed00]sta cap[e92121]-8[-][-]</t>
  </si>
  <si>
    <t>[ffed00]regain[546ef2]+2[-][-]</t>
  </si>
  <si>
    <t>[ffed00]regain[546ef2]+3[-][-]</t>
  </si>
  <si>
    <t>[ffed00]regain[e92121]-2[-][-]</t>
  </si>
  <si>
    <t>[ffed00]regain[e92121]-3[-][-]</t>
  </si>
  <si>
    <t>[ffed00]crit[e92121]-20%[-][-]</t>
  </si>
  <si>
    <t>[ffed00]crit[e92121]-10%[-][-]</t>
  </si>
  <si>
    <t>[ffed00]crit[546ef2]+10%[-][-]</t>
  </si>
  <si>
    <t>[ffed00]crit[546ef2]+20%[-][-]</t>
  </si>
  <si>
    <t>[ffed00]damage[546ef2]+10[-][-]</t>
  </si>
  <si>
    <t>[ffed00]damage[e92121]-10[-][-]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</si>
  <si>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</si>
  <si>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</si>
  <si>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</si>
  <si>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</si>
  <si>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</si>
  <si>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</si>
  <si>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</si>
  <si>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</si>
  <si>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</si>
  <si>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</si>
  <si>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</si>
  <si>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Reduction [FFFF00]{0}%[-] move speed on hit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</si>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</sst>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2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71">
  <autoFilter ref="A1:C100"/>
  <tableColumns count="3">
    <tableColumn id="1" name="GUID" dataDxfId="70"/>
    <tableColumn id="2" name="enUS" dataDxfId="69"/>
    <tableColumn id="3" name="zhTW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7" headerRowBorderDxfId="66" tableBorderDxfId="65" totalsRowBorderDxfId="64">
  <autoFilter ref="A1:J101"/>
  <tableColumns count="10">
    <tableColumn id="1" name="GUID" dataDxfId="63"/>
    <tableColumn id="2" name="StrID" dataDxfId="62"/>
    <tableColumn id="3" name="Mode" dataDxfId="61"/>
    <tableColumn id="9" name="Threat" dataDxfId="60"/>
    <tableColumn id="10" name="Gain" dataDxfId="59"/>
    <tableColumn id="4" name="Damage" dataDxfId="58"/>
    <tableColumn id="8" name="CriticalStrike" dataDxfId="57"/>
    <tableColumn id="5" name="FireRate" dataDxfId="56"/>
    <tableColumn id="6" name="Range" dataDxfId="55"/>
    <tableColumn id="7" name="Resource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3">
  <autoFilter ref="A1:H100"/>
  <tableColumns count="8">
    <tableColumn id="1" name="GUID" dataDxfId="52"/>
    <tableColumn id="2" name="StrID" dataDxfId="51"/>
    <tableColumn id="3" name="Mode" dataDxfId="50"/>
    <tableColumn id="5" name="Threat" dataDxfId="49"/>
    <tableColumn id="9" name="Gain" dataDxfId="48"/>
    <tableColumn id="4" name="Group" dataDxfId="47"/>
    <tableColumn id="8" name="Value" dataDxfId="46"/>
    <tableColumn id="11" name="Description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44" dataDxfId="43">
  <autoFilter ref="A1:G100"/>
  <tableColumns count="7">
    <tableColumn id="1" name="GUID" dataDxfId="42"/>
    <tableColumn id="3" name="Mode" dataDxfId="41"/>
    <tableColumn id="6" name="Threat" dataDxfId="40"/>
    <tableColumn id="7" name="StageID" dataDxfId="39"/>
    <tableColumn id="2" name="Enegry" dataDxfId="38"/>
    <tableColumn id="4" name="HP" dataDxfId="37"/>
    <tableColumn id="5" name="MoveSpeed" dataDxfId="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5" headerRowBorderDxfId="34" tableBorderDxfId="33" totalsRowBorderDxfId="32">
  <autoFilter ref="A1:O100"/>
  <tableColumns count="15">
    <tableColumn id="1" name="GUID" dataDxfId="31"/>
    <tableColumn id="2" name="Name" dataDxfId="30"/>
    <tableColumn id="15" name="MaxLevel" dataDxfId="29"/>
    <tableColumn id="3" name="Lv1Value" dataDxfId="28"/>
    <tableColumn id="4" name="Lv2Value" dataDxfId="27"/>
    <tableColumn id="5" name="Lv3Value" dataDxfId="26"/>
    <tableColumn id="6" name="Lv4Value" dataDxfId="25"/>
    <tableColumn id="7" name="Lv5Value" dataDxfId="24"/>
    <tableColumn id="8" name="Lv6Value" dataDxfId="23"/>
    <tableColumn id="9" name="Lv1Reward" dataDxfId="22"/>
    <tableColumn id="10" name="Lv2Reward" dataDxfId="21"/>
    <tableColumn id="11" name="Lv3Reward" dataDxfId="20"/>
    <tableColumn id="12" name="Lv4Reward" dataDxfId="19"/>
    <tableColumn id="13" name="Lv5Reward" dataDxfId="18"/>
    <tableColumn id="14" name="Lv6Reward" dataDxfId="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G101" totalsRowShown="0" headerRowDxfId="16" dataDxfId="14" headerRowBorderDxfId="15" tableBorderDxfId="13" totalsRowBorderDxfId="12">
  <autoFilter ref="A1:G101"/>
  <tableColumns count="7">
    <tableColumn id="1" name="GUID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50" activePane="bottomLeft" state="frozen"/>
      <selection pane="bottomLeft" activeCell="C72" sqref="C72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230</v>
      </c>
      <c r="C4" s="14" t="s">
        <v>27</v>
      </c>
    </row>
    <row r="5" spans="1:3">
      <c r="A5" s="3">
        <v>1004</v>
      </c>
      <c r="B5" s="3" t="s">
        <v>231</v>
      </c>
      <c r="C5" s="14" t="s">
        <v>54</v>
      </c>
    </row>
    <row r="6" spans="1:3">
      <c r="A6" s="3">
        <v>1005</v>
      </c>
      <c r="B6" s="3" t="s">
        <v>232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126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127</v>
      </c>
      <c r="C18" s="18" t="s">
        <v>111</v>
      </c>
    </row>
    <row r="19" spans="1:3">
      <c r="A19" s="3">
        <v>2010</v>
      </c>
      <c r="B19" s="3" t="s">
        <v>128</v>
      </c>
      <c r="C19" s="18" t="s">
        <v>112</v>
      </c>
    </row>
    <row r="20" spans="1:3">
      <c r="A20" s="3">
        <v>2011</v>
      </c>
      <c r="B20" s="3" t="s">
        <v>129</v>
      </c>
      <c r="C20" s="18" t="s">
        <v>113</v>
      </c>
    </row>
    <row r="21" spans="1:3">
      <c r="A21" s="3">
        <v>2012</v>
      </c>
      <c r="B21" s="3" t="s">
        <v>130</v>
      </c>
      <c r="C21" s="18" t="s">
        <v>114</v>
      </c>
    </row>
    <row r="22" spans="1:3">
      <c r="A22" s="3">
        <v>2013</v>
      </c>
      <c r="B22" s="3" t="s">
        <v>131</v>
      </c>
      <c r="C22" s="18" t="s">
        <v>116</v>
      </c>
    </row>
    <row r="23" spans="1:3">
      <c r="A23" s="3">
        <v>2014</v>
      </c>
      <c r="B23" s="3" t="s">
        <v>132</v>
      </c>
      <c r="C23" s="14" t="s">
        <v>115</v>
      </c>
    </row>
    <row r="24" spans="1:3">
      <c r="A24" s="3">
        <v>2015</v>
      </c>
      <c r="B24" s="3" t="s">
        <v>136</v>
      </c>
      <c r="C24" s="14" t="s">
        <v>117</v>
      </c>
    </row>
    <row r="25" spans="1:3">
      <c r="A25" s="3">
        <v>2016</v>
      </c>
      <c r="B25" s="3" t="s">
        <v>133</v>
      </c>
      <c r="C25" s="14" t="s">
        <v>118</v>
      </c>
    </row>
    <row r="26" spans="1:3">
      <c r="A26" s="3">
        <v>2017</v>
      </c>
      <c r="B26" s="3" t="s">
        <v>141</v>
      </c>
      <c r="C26" s="14" t="s">
        <v>119</v>
      </c>
    </row>
    <row r="27" spans="1:3">
      <c r="A27" s="3">
        <v>2018</v>
      </c>
      <c r="B27" s="3" t="s">
        <v>137</v>
      </c>
      <c r="C27" s="14" t="s">
        <v>138</v>
      </c>
    </row>
    <row r="28" spans="1:3">
      <c r="A28" s="3">
        <v>2019</v>
      </c>
      <c r="B28" s="3" t="s">
        <v>134</v>
      </c>
      <c r="C28" s="14" t="s">
        <v>120</v>
      </c>
    </row>
    <row r="29" spans="1:3">
      <c r="A29" s="3">
        <v>2020</v>
      </c>
      <c r="B29" s="3" t="s">
        <v>135</v>
      </c>
      <c r="C29" s="14" t="s">
        <v>121</v>
      </c>
    </row>
    <row r="30" spans="1:3">
      <c r="A30" s="3">
        <v>2021</v>
      </c>
      <c r="B30" s="3" t="s">
        <v>153</v>
      </c>
      <c r="C30" s="14" t="s">
        <v>139</v>
      </c>
    </row>
    <row r="31" spans="1:3">
      <c r="A31" s="3">
        <v>2022</v>
      </c>
      <c r="B31" s="3" t="s">
        <v>154</v>
      </c>
      <c r="C31" s="14" t="s">
        <v>140</v>
      </c>
    </row>
    <row r="32" spans="1:3">
      <c r="A32" s="19">
        <v>3001</v>
      </c>
      <c r="B32" s="3" t="s">
        <v>248</v>
      </c>
      <c r="C32" s="22"/>
    </row>
    <row r="33" spans="1:3">
      <c r="A33" s="19">
        <v>3002</v>
      </c>
      <c r="B33" s="3" t="s">
        <v>249</v>
      </c>
      <c r="C33" s="22"/>
    </row>
    <row r="34" spans="1:3">
      <c r="A34" s="19">
        <v>3003</v>
      </c>
      <c r="B34" s="3" t="s">
        <v>250</v>
      </c>
      <c r="C34" s="22"/>
    </row>
    <row r="35" spans="1:3">
      <c r="A35" s="19">
        <v>3004</v>
      </c>
      <c r="B35" s="3" t="s">
        <v>251</v>
      </c>
      <c r="C35" s="22"/>
    </row>
    <row r="36" spans="1:3">
      <c r="A36" s="19">
        <v>3005</v>
      </c>
      <c r="B36" s="3" t="s">
        <v>252</v>
      </c>
      <c r="C36" s="22"/>
    </row>
    <row r="37" spans="1:3">
      <c r="A37" s="19">
        <v>3006</v>
      </c>
      <c r="B37" s="3" t="s">
        <v>253</v>
      </c>
      <c r="C37" s="18"/>
    </row>
    <row r="38" spans="1:3">
      <c r="A38" s="19">
        <v>3007</v>
      </c>
      <c r="B38" s="3" t="s">
        <v>254</v>
      </c>
      <c r="C38" s="18"/>
    </row>
    <row r="39" spans="1:3">
      <c r="A39" s="19">
        <v>3008</v>
      </c>
      <c r="B39" s="3" t="s">
        <v>255</v>
      </c>
      <c r="C39" s="18"/>
    </row>
    <row r="40" spans="1:3">
      <c r="A40" s="19">
        <v>3009</v>
      </c>
      <c r="B40" s="3" t="s">
        <v>256</v>
      </c>
      <c r="C40" s="18"/>
    </row>
    <row r="41" spans="1:3">
      <c r="A41" s="19">
        <v>3010</v>
      </c>
      <c r="B41" s="3" t="s">
        <v>257</v>
      </c>
      <c r="C41" s="18"/>
    </row>
    <row r="42" spans="1:3">
      <c r="A42" s="19">
        <v>3011</v>
      </c>
      <c r="B42" s="3" t="s">
        <v>258</v>
      </c>
      <c r="C42" s="18"/>
    </row>
    <row r="43" spans="1:3">
      <c r="A43" s="19">
        <v>3012</v>
      </c>
      <c r="B43" s="3" t="s">
        <v>259</v>
      </c>
      <c r="C43" s="18"/>
    </row>
    <row r="44" spans="1:3">
      <c r="A44" s="19">
        <v>3013</v>
      </c>
      <c r="B44" s="3" t="s">
        <v>260</v>
      </c>
      <c r="C44" s="18"/>
    </row>
    <row r="45" spans="1:3">
      <c r="A45" s="19">
        <v>3014</v>
      </c>
      <c r="B45" s="3" t="s">
        <v>261</v>
      </c>
      <c r="C45" s="18"/>
    </row>
    <row r="46" spans="1:3">
      <c r="A46" s="19">
        <v>3015</v>
      </c>
      <c r="B46" s="3" t="s">
        <v>262</v>
      </c>
      <c r="C46" s="18"/>
    </row>
    <row r="47" spans="1:3">
      <c r="A47" s="19">
        <v>3016</v>
      </c>
      <c r="B47" s="3" t="s">
        <v>263</v>
      </c>
      <c r="C47" s="14"/>
    </row>
    <row r="48" spans="1:3">
      <c r="A48" s="19">
        <v>3017</v>
      </c>
      <c r="B48" s="3" t="s">
        <v>264</v>
      </c>
      <c r="C48" s="14"/>
    </row>
    <row r="49" spans="1:3">
      <c r="A49" s="19">
        <v>3018</v>
      </c>
      <c r="B49" s="3" t="s">
        <v>265</v>
      </c>
      <c r="C49" s="14"/>
    </row>
    <row r="50" spans="1:3">
      <c r="A50" s="19">
        <v>3019</v>
      </c>
      <c r="B50" s="3" t="s">
        <v>266</v>
      </c>
      <c r="C50" s="14"/>
    </row>
    <row r="51" spans="1:3">
      <c r="A51" s="19">
        <v>3020</v>
      </c>
      <c r="B51" s="3" t="s">
        <v>267</v>
      </c>
      <c r="C51" s="14"/>
    </row>
    <row r="52" spans="1:3">
      <c r="A52" s="19">
        <v>3021</v>
      </c>
      <c r="B52" s="3" t="s">
        <v>268</v>
      </c>
      <c r="C52" s="14"/>
    </row>
    <row r="53" spans="1:3">
      <c r="A53" s="19">
        <v>3022</v>
      </c>
      <c r="B53" s="3" t="s">
        <v>269</v>
      </c>
      <c r="C53" s="14"/>
    </row>
    <row r="54" spans="1:3">
      <c r="A54" s="19">
        <v>4001</v>
      </c>
      <c r="B54" s="3" t="s">
        <v>233</v>
      </c>
      <c r="C54" s="14"/>
    </row>
    <row r="55" spans="1:3">
      <c r="A55" s="19">
        <v>4002</v>
      </c>
      <c r="B55" s="3" t="s">
        <v>234</v>
      </c>
      <c r="C55" s="14"/>
    </row>
    <row r="56" spans="1:3">
      <c r="A56" s="19">
        <v>4003</v>
      </c>
      <c r="B56" s="3" t="s">
        <v>235</v>
      </c>
      <c r="C56" s="14"/>
    </row>
    <row r="57" spans="1:3">
      <c r="A57" s="19">
        <v>4004</v>
      </c>
      <c r="B57" s="3" t="s">
        <v>236</v>
      </c>
      <c r="C57" s="14"/>
    </row>
    <row r="58" spans="1:3">
      <c r="A58" s="19">
        <v>4005</v>
      </c>
      <c r="B58" s="3" t="s">
        <v>237</v>
      </c>
      <c r="C58" s="14"/>
    </row>
    <row r="59" spans="1:3">
      <c r="A59" s="19">
        <v>4006</v>
      </c>
      <c r="B59" s="3" t="s">
        <v>238</v>
      </c>
      <c r="C59" s="14"/>
    </row>
    <row r="60" spans="1:3">
      <c r="A60" s="19">
        <v>4007</v>
      </c>
      <c r="B60" s="3" t="s">
        <v>239</v>
      </c>
      <c r="C60" s="14"/>
    </row>
    <row r="61" spans="1:3">
      <c r="A61" s="19">
        <v>4008</v>
      </c>
      <c r="B61" s="3" t="s">
        <v>240</v>
      </c>
      <c r="C61" s="14"/>
    </row>
    <row r="62" spans="1:3">
      <c r="A62" s="19">
        <v>5001</v>
      </c>
      <c r="B62" s="3" t="s">
        <v>270</v>
      </c>
      <c r="C62" s="14"/>
    </row>
    <row r="63" spans="1:3">
      <c r="A63" s="19">
        <v>5002</v>
      </c>
      <c r="B63" s="3" t="s">
        <v>241</v>
      </c>
      <c r="C63" s="14"/>
    </row>
    <row r="64" spans="1:3">
      <c r="A64" s="19">
        <v>5003</v>
      </c>
      <c r="B64" s="3" t="s">
        <v>242</v>
      </c>
      <c r="C64" s="14"/>
    </row>
    <row r="65" spans="1:3">
      <c r="A65" s="19">
        <v>5004</v>
      </c>
      <c r="B65" s="3" t="s">
        <v>243</v>
      </c>
      <c r="C65" s="14"/>
    </row>
    <row r="66" spans="1:3">
      <c r="A66" s="19">
        <v>5005</v>
      </c>
      <c r="B66" s="3" t="s">
        <v>244</v>
      </c>
      <c r="C66" s="14"/>
    </row>
    <row r="67" spans="1:3">
      <c r="A67" s="19">
        <v>5006</v>
      </c>
      <c r="B67" s="3" t="s">
        <v>245</v>
      </c>
      <c r="C67" s="14"/>
    </row>
    <row r="68" spans="1:3">
      <c r="A68" s="19">
        <v>5007</v>
      </c>
      <c r="B68" s="3" t="s">
        <v>246</v>
      </c>
      <c r="C68" s="14"/>
    </row>
    <row r="69" spans="1:3">
      <c r="A69" s="19">
        <v>5008</v>
      </c>
      <c r="B69" s="3" t="s">
        <v>247</v>
      </c>
      <c r="C69" s="14"/>
    </row>
    <row r="70" spans="1:3">
      <c r="A70" s="19">
        <v>6001</v>
      </c>
      <c r="B70" s="3" t="s">
        <v>271</v>
      </c>
      <c r="C70" s="14"/>
    </row>
    <row r="71" spans="1:3">
      <c r="A71" s="19">
        <v>6002</v>
      </c>
      <c r="B71" s="3" t="s">
        <v>272</v>
      </c>
      <c r="C71" s="14"/>
    </row>
    <row r="72" spans="1:3">
      <c r="A72" s="19">
        <v>6003</v>
      </c>
      <c r="B72" s="3" t="s">
        <v>273</v>
      </c>
      <c r="C72" s="14"/>
    </row>
    <row r="73" spans="1:3">
      <c r="A73" s="19">
        <v>6004</v>
      </c>
      <c r="B73" s="3" t="s">
        <v>274</v>
      </c>
      <c r="C73" s="14"/>
    </row>
    <row r="74" spans="1:3">
      <c r="A74" s="19">
        <v>6005</v>
      </c>
      <c r="B74" s="3" t="s">
        <v>275</v>
      </c>
      <c r="C74" s="14"/>
    </row>
    <row r="75" spans="1:3">
      <c r="A75" s="19">
        <v>6006</v>
      </c>
      <c r="B75" s="3" t="s">
        <v>276</v>
      </c>
      <c r="C75" s="14"/>
    </row>
    <row r="76" spans="1:3">
      <c r="A76" s="19">
        <v>6007</v>
      </c>
      <c r="B76" s="3" t="s">
        <v>277</v>
      </c>
      <c r="C76" s="14"/>
    </row>
    <row r="77" spans="1:3">
      <c r="A77" s="19">
        <v>6008</v>
      </c>
      <c r="B77" s="3" t="s">
        <v>278</v>
      </c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6"/>
      <c r="B96" s="20"/>
      <c r="C96" s="15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C1" workbookViewId="0">
      <pane ySplit="1" topLeftCell="A2" activePane="bottomLeft" state="frozen"/>
      <selection pane="bottomLeft" activeCell="B3" sqref="B3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109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30</v>
      </c>
      <c r="G3" s="3">
        <v>0</v>
      </c>
      <c r="H3" s="3">
        <v>2</v>
      </c>
      <c r="I3" s="3" t="s">
        <v>14</v>
      </c>
      <c r="J3" s="14" t="s">
        <v>124</v>
      </c>
      <c r="L3" s="3" t="s">
        <v>207</v>
      </c>
      <c r="M3" s="13">
        <f>IF(裝備!H3&gt;0,1/裝備!H3,0)</f>
        <v>0.5</v>
      </c>
      <c r="N3" s="13">
        <f>IF(裝備!H3&gt;0, (((1 - 裝備!G3) * 裝備!F3) + (裝備!G3 * 裝備!F3 * 2)) / 裝備!H3, 0)</f>
        <v>15</v>
      </c>
      <c r="O3" s="3">
        <v>25</v>
      </c>
      <c r="P3" s="13">
        <f>IF(裝備!N3&gt;0,裝備!O3/裝備!N3,0)</f>
        <v>1.6666666666666667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10</v>
      </c>
      <c r="F7" s="3">
        <v>20</v>
      </c>
      <c r="G7" s="3">
        <v>0.2</v>
      </c>
      <c r="H7" s="3">
        <v>0.5</v>
      </c>
      <c r="I7" s="3" t="s">
        <v>14</v>
      </c>
      <c r="J7" s="3" t="s">
        <v>20</v>
      </c>
      <c r="L7" s="3" t="s">
        <v>57</v>
      </c>
      <c r="M7" s="13">
        <f>IF(裝備!H7&gt;0,1/裝備!H7,0)</f>
        <v>2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40</v>
      </c>
      <c r="G8" s="3">
        <v>0.35</v>
      </c>
      <c r="H8" s="3">
        <v>1</v>
      </c>
      <c r="I8" s="3" t="s">
        <v>14</v>
      </c>
      <c r="J8" s="3" t="s">
        <v>20</v>
      </c>
      <c r="L8" s="3" t="s">
        <v>58</v>
      </c>
      <c r="M8" s="13">
        <f>IF(裝備!H8&gt;0,1/裝備!H8,0)</f>
        <v>1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D30" sqref="D30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109</v>
      </c>
      <c r="E1" s="2" t="s">
        <v>78</v>
      </c>
      <c r="F1" s="2" t="s">
        <v>37</v>
      </c>
      <c r="G1" s="2" t="s">
        <v>33</v>
      </c>
      <c r="H1" s="26" t="s">
        <v>95</v>
      </c>
      <c r="J1" s="17" t="s">
        <v>34</v>
      </c>
    </row>
    <row r="2" spans="1:10">
      <c r="A2" s="3">
        <v>1</v>
      </c>
      <c r="B2" s="3">
        <v>2001</v>
      </c>
      <c r="C2" s="3" t="s">
        <v>97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64</v>
      </c>
    </row>
    <row r="3" spans="1:10">
      <c r="A3" s="3">
        <v>2</v>
      </c>
      <c r="B3" s="3">
        <v>2002</v>
      </c>
      <c r="C3" s="3" t="s">
        <v>97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65</v>
      </c>
    </row>
    <row r="4" spans="1:10">
      <c r="A4" s="3">
        <v>3</v>
      </c>
      <c r="B4" s="3">
        <v>2003</v>
      </c>
      <c r="C4" s="3" t="s">
        <v>97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66</v>
      </c>
    </row>
    <row r="5" spans="1:10">
      <c r="A5" s="3">
        <v>4</v>
      </c>
      <c r="B5" s="3">
        <v>2004</v>
      </c>
      <c r="C5" s="3" t="s">
        <v>97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67</v>
      </c>
    </row>
    <row r="6" spans="1:10">
      <c r="A6" s="3">
        <v>5</v>
      </c>
      <c r="B6" s="3">
        <v>2005</v>
      </c>
      <c r="C6" s="3" t="s">
        <v>99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68</v>
      </c>
    </row>
    <row r="7" spans="1:10">
      <c r="A7" s="3">
        <v>6</v>
      </c>
      <c r="B7" s="3">
        <v>2006</v>
      </c>
      <c r="C7" s="3" t="s">
        <v>99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69</v>
      </c>
    </row>
    <row r="8" spans="1:10">
      <c r="A8" s="3">
        <v>7</v>
      </c>
      <c r="B8" s="3">
        <v>2007</v>
      </c>
      <c r="C8" s="3" t="s">
        <v>99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70</v>
      </c>
    </row>
    <row r="9" spans="1:10">
      <c r="A9" s="3">
        <v>8</v>
      </c>
      <c r="B9" s="3">
        <v>2008</v>
      </c>
      <c r="C9" s="3" t="s">
        <v>99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101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111</v>
      </c>
    </row>
    <row r="11" spans="1:10">
      <c r="A11" s="3">
        <v>10</v>
      </c>
      <c r="B11" s="3">
        <v>2010</v>
      </c>
      <c r="C11" s="3" t="s">
        <v>101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112</v>
      </c>
    </row>
    <row r="12" spans="1:10">
      <c r="A12" s="3">
        <v>11</v>
      </c>
      <c r="B12" s="3">
        <v>2011</v>
      </c>
      <c r="C12" s="3" t="s">
        <v>101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113</v>
      </c>
    </row>
    <row r="13" spans="1:10">
      <c r="A13" s="3">
        <v>12</v>
      </c>
      <c r="B13" s="3">
        <v>2012</v>
      </c>
      <c r="C13" s="3" t="s">
        <v>101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114</v>
      </c>
    </row>
    <row r="14" spans="1:10">
      <c r="A14" s="3">
        <v>13</v>
      </c>
      <c r="B14" s="3">
        <v>2013</v>
      </c>
      <c r="C14" s="3" t="s">
        <v>103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116</v>
      </c>
    </row>
    <row r="15" spans="1:10">
      <c r="A15" s="3">
        <v>14</v>
      </c>
      <c r="B15" s="3">
        <v>2014</v>
      </c>
      <c r="C15" s="3" t="s">
        <v>103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115</v>
      </c>
    </row>
    <row r="16" spans="1:10">
      <c r="A16" s="3">
        <v>15</v>
      </c>
      <c r="B16" s="3">
        <v>2015</v>
      </c>
      <c r="C16" s="3" t="s">
        <v>105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117</v>
      </c>
    </row>
    <row r="17" spans="1:10">
      <c r="A17" s="3">
        <v>16</v>
      </c>
      <c r="B17" s="3">
        <v>2016</v>
      </c>
      <c r="C17" s="3" t="s">
        <v>105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118</v>
      </c>
    </row>
    <row r="18" spans="1:10">
      <c r="A18" s="3">
        <v>17</v>
      </c>
      <c r="B18" s="3">
        <v>2017</v>
      </c>
      <c r="C18" s="3" t="s">
        <v>106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119</v>
      </c>
    </row>
    <row r="19" spans="1:10">
      <c r="A19" s="3">
        <v>18</v>
      </c>
      <c r="B19" s="3">
        <v>2018</v>
      </c>
      <c r="C19" s="3" t="s">
        <v>106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125</v>
      </c>
    </row>
    <row r="20" spans="1:10">
      <c r="A20" s="3">
        <v>19</v>
      </c>
      <c r="B20" s="3">
        <v>2019</v>
      </c>
      <c r="C20" s="3" t="s">
        <v>107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120</v>
      </c>
    </row>
    <row r="21" spans="1:10">
      <c r="A21" s="3">
        <v>20</v>
      </c>
      <c r="B21" s="3">
        <v>2020</v>
      </c>
      <c r="C21" s="3" t="s">
        <v>107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121</v>
      </c>
    </row>
    <row r="22" spans="1:10">
      <c r="A22" s="3">
        <v>21</v>
      </c>
      <c r="B22" s="3">
        <v>2021</v>
      </c>
      <c r="C22" s="3" t="s">
        <v>124</v>
      </c>
      <c r="D22" s="3">
        <v>-10</v>
      </c>
      <c r="E22" s="3">
        <v>3</v>
      </c>
      <c r="F22" s="3">
        <v>10</v>
      </c>
      <c r="G22" s="3">
        <v>0</v>
      </c>
      <c r="H22" s="25">
        <v>3021</v>
      </c>
      <c r="J22" s="18" t="s">
        <v>122</v>
      </c>
    </row>
    <row r="23" spans="1:10">
      <c r="A23" s="3">
        <v>22</v>
      </c>
      <c r="B23" s="3">
        <v>2022</v>
      </c>
      <c r="C23" s="3" t="s">
        <v>124</v>
      </c>
      <c r="D23" s="3">
        <v>20</v>
      </c>
      <c r="E23" s="3">
        <v>3</v>
      </c>
      <c r="F23" s="3">
        <v>10</v>
      </c>
      <c r="G23" s="3">
        <v>0</v>
      </c>
      <c r="H23" s="25">
        <v>3022</v>
      </c>
      <c r="J23" s="18" t="s">
        <v>123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100"/>
  <sheetViews>
    <sheetView workbookViewId="0">
      <pane ySplit="1" topLeftCell="A2" activePane="bottomLeft" state="frozen"/>
      <selection pane="bottomLeft" activeCell="I12" sqref="I12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7"/>
    <col min="11" max="16384" width="9" style="6"/>
  </cols>
  <sheetData>
    <row r="1" spans="1:11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96</v>
      </c>
      <c r="F1" s="2" t="s">
        <v>40</v>
      </c>
      <c r="G1" s="2" t="s">
        <v>63</v>
      </c>
      <c r="I1" s="17" t="s">
        <v>43</v>
      </c>
      <c r="J1" s="23"/>
      <c r="K1" s="23"/>
    </row>
    <row r="2" spans="1:11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  <c r="J2" s="24"/>
      <c r="K2" s="24"/>
    </row>
    <row r="3" spans="1:11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81</v>
      </c>
      <c r="J3" s="24"/>
      <c r="K3" s="24"/>
    </row>
    <row r="4" spans="1:11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82</v>
      </c>
      <c r="J4" s="24"/>
      <c r="K4" s="24"/>
    </row>
    <row r="5" spans="1:11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83</v>
      </c>
      <c r="J5" s="24"/>
      <c r="K5" s="24"/>
    </row>
    <row r="6" spans="1:11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84</v>
      </c>
      <c r="J6" s="24"/>
      <c r="K6" s="24"/>
    </row>
    <row r="7" spans="1:11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85</v>
      </c>
      <c r="J7" s="24"/>
      <c r="K7" s="24"/>
    </row>
    <row r="8" spans="1:11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86</v>
      </c>
      <c r="J8" s="24"/>
      <c r="K8" s="24"/>
    </row>
    <row r="9" spans="1:11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87</v>
      </c>
      <c r="J9" s="24"/>
      <c r="K9" s="24"/>
    </row>
    <row r="10" spans="1:11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88</v>
      </c>
      <c r="J10" s="24"/>
      <c r="K10" s="24"/>
    </row>
    <row r="11" spans="1:11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89</v>
      </c>
      <c r="J11" s="24"/>
      <c r="K11" s="24"/>
    </row>
    <row r="12" spans="1:11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90</v>
      </c>
      <c r="J12" s="24"/>
      <c r="K12" s="24"/>
    </row>
    <row r="13" spans="1:11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91</v>
      </c>
      <c r="J13" s="6"/>
    </row>
    <row r="14" spans="1:11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92</v>
      </c>
      <c r="J14" s="6"/>
    </row>
    <row r="15" spans="1:11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93</v>
      </c>
      <c r="J15" s="6"/>
    </row>
    <row r="16" spans="1:11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94</v>
      </c>
      <c r="J16" s="6"/>
    </row>
    <row r="17" spans="1:10">
      <c r="A17" s="7">
        <v>31</v>
      </c>
      <c r="B17" s="6" t="s">
        <v>143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144</v>
      </c>
      <c r="J17" s="6"/>
    </row>
    <row r="18" spans="1:10">
      <c r="A18" s="7">
        <v>32</v>
      </c>
      <c r="B18" s="6" t="s">
        <v>143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145</v>
      </c>
      <c r="J18" s="6"/>
    </row>
    <row r="19" spans="1:10">
      <c r="A19" s="7">
        <v>41</v>
      </c>
      <c r="B19" s="6" t="s">
        <v>151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146</v>
      </c>
      <c r="J19" s="6"/>
    </row>
    <row r="20" spans="1:10">
      <c r="A20" s="7">
        <v>42</v>
      </c>
      <c r="B20" s="6" t="s">
        <v>151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147</v>
      </c>
      <c r="J20" s="6"/>
    </row>
    <row r="21" spans="1:10">
      <c r="A21" s="7">
        <v>43</v>
      </c>
      <c r="B21" s="6" t="s">
        <v>151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148</v>
      </c>
      <c r="J21" s="6"/>
    </row>
    <row r="22" spans="1:10">
      <c r="A22" s="7">
        <v>44</v>
      </c>
      <c r="B22" s="6" t="s">
        <v>151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149</v>
      </c>
      <c r="J22" s="6"/>
    </row>
    <row r="23" spans="1:10">
      <c r="A23" s="7">
        <v>45</v>
      </c>
      <c r="B23" s="6" t="s">
        <v>151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150</v>
      </c>
      <c r="J23" s="6"/>
    </row>
    <row r="24" spans="1:10">
      <c r="A24" s="7">
        <v>1001</v>
      </c>
      <c r="B24" s="6" t="s">
        <v>155</v>
      </c>
      <c r="C24" s="9">
        <v>6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157</v>
      </c>
      <c r="J24" s="6"/>
    </row>
    <row r="25" spans="1:10">
      <c r="A25" s="7">
        <v>1002</v>
      </c>
      <c r="B25" s="6" t="s">
        <v>155</v>
      </c>
      <c r="C25" s="9">
        <v>6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158</v>
      </c>
      <c r="J25" s="6"/>
    </row>
    <row r="26" spans="1:10">
      <c r="A26" s="7">
        <v>1003</v>
      </c>
      <c r="B26" s="6" t="s">
        <v>155</v>
      </c>
      <c r="C26" s="9">
        <v>6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159</v>
      </c>
      <c r="J26" s="6"/>
    </row>
    <row r="27" spans="1:10">
      <c r="A27" s="7">
        <v>1004</v>
      </c>
      <c r="B27" s="6" t="s">
        <v>155</v>
      </c>
      <c r="C27" s="9">
        <v>6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160</v>
      </c>
      <c r="J27" s="6"/>
    </row>
    <row r="28" spans="1:10">
      <c r="A28" s="7">
        <v>1005</v>
      </c>
      <c r="B28" s="6" t="s">
        <v>155</v>
      </c>
      <c r="C28" s="9">
        <v>6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161</v>
      </c>
      <c r="J28" s="6"/>
    </row>
    <row r="29" spans="1:10">
      <c r="A29" s="7">
        <v>1006</v>
      </c>
      <c r="B29" s="6" t="s">
        <v>155</v>
      </c>
      <c r="C29" s="9">
        <v>6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162</v>
      </c>
      <c r="J29" s="6"/>
    </row>
    <row r="30" spans="1:10">
      <c r="A30" s="7">
        <v>1007</v>
      </c>
      <c r="B30" s="6" t="s">
        <v>155</v>
      </c>
      <c r="C30" s="9">
        <v>6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163</v>
      </c>
      <c r="J30" s="6"/>
    </row>
    <row r="31" spans="1:10">
      <c r="A31" s="7">
        <v>1008</v>
      </c>
      <c r="B31" s="6" t="s">
        <v>155</v>
      </c>
      <c r="C31" s="9">
        <v>6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164</v>
      </c>
      <c r="J31" s="6"/>
    </row>
    <row r="32" spans="1:10">
      <c r="A32" s="7">
        <v>1009</v>
      </c>
      <c r="B32" s="6" t="s">
        <v>155</v>
      </c>
      <c r="C32" s="9">
        <v>6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165</v>
      </c>
      <c r="J32" s="6"/>
    </row>
    <row r="33" spans="1:10">
      <c r="A33" s="7">
        <v>2001</v>
      </c>
      <c r="B33" s="6" t="s">
        <v>46</v>
      </c>
      <c r="C33" s="9">
        <v>5</v>
      </c>
      <c r="D33" s="9">
        <v>9999</v>
      </c>
      <c r="E33" s="9">
        <v>9999</v>
      </c>
      <c r="F33" s="9">
        <v>30</v>
      </c>
      <c r="G33" s="9">
        <v>0.28000000000000003</v>
      </c>
      <c r="H33" s="21"/>
      <c r="I33" s="6" t="s">
        <v>229</v>
      </c>
      <c r="J33" s="6"/>
    </row>
    <row r="34" spans="1:10">
      <c r="H34" s="21"/>
      <c r="J34" s="6"/>
    </row>
    <row r="35" spans="1:10">
      <c r="H35" s="21"/>
      <c r="J35" s="6"/>
    </row>
    <row r="36" spans="1:10">
      <c r="H36" s="21"/>
      <c r="J36" s="6"/>
    </row>
    <row r="37" spans="1:10">
      <c r="H37" s="21"/>
      <c r="J37" s="6"/>
    </row>
    <row r="38" spans="1:10">
      <c r="H38" s="21"/>
      <c r="J38" s="6"/>
    </row>
    <row r="39" spans="1:10">
      <c r="H39" s="21"/>
      <c r="J39" s="6"/>
    </row>
    <row r="40" spans="1:10">
      <c r="H40" s="21"/>
      <c r="J40" s="6"/>
    </row>
    <row r="41" spans="1:10">
      <c r="H41" s="21"/>
      <c r="J41" s="6"/>
    </row>
    <row r="42" spans="1:10">
      <c r="H42" s="21"/>
      <c r="J42" s="6"/>
    </row>
    <row r="43" spans="1:10">
      <c r="H43" s="21"/>
      <c r="J43" s="6"/>
    </row>
    <row r="44" spans="1:10">
      <c r="H44" s="21"/>
      <c r="J44" s="6"/>
    </row>
    <row r="45" spans="1:10">
      <c r="H45" s="21"/>
      <c r="J45" s="6"/>
    </row>
    <row r="46" spans="1:10">
      <c r="H46" s="21"/>
      <c r="J46" s="6"/>
    </row>
    <row r="47" spans="1:10">
      <c r="H47" s="21"/>
      <c r="J47" s="6"/>
    </row>
    <row r="48" spans="1:10">
      <c r="H48" s="21"/>
      <c r="J48" s="6"/>
    </row>
    <row r="49" spans="8:10">
      <c r="H49" s="21"/>
      <c r="J49" s="6"/>
    </row>
    <row r="50" spans="8:10">
      <c r="H50" s="21"/>
      <c r="J50" s="6"/>
    </row>
    <row r="51" spans="8:10">
      <c r="H51" s="21"/>
      <c r="J51" s="6"/>
    </row>
    <row r="52" spans="8:10">
      <c r="H52" s="21"/>
      <c r="J52" s="6"/>
    </row>
    <row r="53" spans="8:10">
      <c r="H53" s="21"/>
      <c r="J53" s="6"/>
    </row>
    <row r="54" spans="8:10">
      <c r="H54" s="21"/>
      <c r="J54" s="6"/>
    </row>
    <row r="55" spans="8:10">
      <c r="H55" s="21"/>
      <c r="J55" s="6"/>
    </row>
    <row r="56" spans="8:10">
      <c r="H56" s="21"/>
      <c r="J56" s="6"/>
    </row>
    <row r="57" spans="8:10">
      <c r="H57" s="21"/>
      <c r="J57" s="6"/>
    </row>
    <row r="58" spans="8:10">
      <c r="H58" s="21"/>
      <c r="J58" s="6"/>
    </row>
    <row r="59" spans="8:10">
      <c r="H59" s="21"/>
      <c r="J59" s="6"/>
    </row>
    <row r="60" spans="8:10">
      <c r="H60" s="21"/>
      <c r="J60" s="6"/>
    </row>
    <row r="61" spans="8:10">
      <c r="H61" s="21"/>
      <c r="J61" s="6"/>
    </row>
    <row r="62" spans="8:10">
      <c r="H62" s="21"/>
      <c r="J62" s="6"/>
    </row>
    <row r="63" spans="8:10">
      <c r="H63" s="21"/>
      <c r="J63" s="6"/>
    </row>
    <row r="64" spans="8:10">
      <c r="H64" s="21"/>
      <c r="J64" s="6"/>
    </row>
    <row r="65" spans="8:10">
      <c r="H65" s="21"/>
      <c r="J65" s="6"/>
    </row>
    <row r="66" spans="8:10">
      <c r="H66" s="21"/>
      <c r="J66" s="6"/>
    </row>
    <row r="67" spans="8:10">
      <c r="H67" s="21"/>
      <c r="J67" s="6"/>
    </row>
    <row r="68" spans="8:10">
      <c r="H68" s="21"/>
      <c r="J68" s="6"/>
    </row>
    <row r="69" spans="8:10">
      <c r="H69" s="21"/>
      <c r="J69" s="6"/>
    </row>
    <row r="70" spans="8:10">
      <c r="H70" s="21"/>
      <c r="J70" s="6"/>
    </row>
    <row r="71" spans="8:10">
      <c r="H71" s="21"/>
      <c r="J71" s="6"/>
    </row>
    <row r="72" spans="8:10">
      <c r="H72" s="21"/>
      <c r="J72" s="6"/>
    </row>
    <row r="73" spans="8:10">
      <c r="H73" s="21"/>
      <c r="J73" s="6"/>
    </row>
    <row r="74" spans="8:10">
      <c r="H74" s="21"/>
      <c r="J74" s="6"/>
    </row>
    <row r="75" spans="8:10">
      <c r="H75" s="21"/>
      <c r="J75" s="6"/>
    </row>
    <row r="76" spans="8:10">
      <c r="H76" s="21"/>
      <c r="J76" s="6"/>
    </row>
    <row r="77" spans="8:10">
      <c r="H77" s="21"/>
      <c r="J77" s="6"/>
    </row>
    <row r="78" spans="8:10">
      <c r="H78" s="21"/>
      <c r="J78" s="6"/>
    </row>
    <row r="79" spans="8:10">
      <c r="H79" s="21"/>
      <c r="J79" s="6"/>
    </row>
    <row r="80" spans="8:10">
      <c r="H80" s="21"/>
      <c r="J80" s="6"/>
    </row>
    <row r="81" spans="8:10">
      <c r="H81" s="21"/>
      <c r="J81" s="6"/>
    </row>
    <row r="82" spans="8:10">
      <c r="H82" s="21"/>
      <c r="J82" s="6"/>
    </row>
    <row r="83" spans="8:10">
      <c r="H83" s="21"/>
      <c r="J83" s="6"/>
    </row>
    <row r="84" spans="8:10">
      <c r="H84" s="21"/>
      <c r="J84" s="6"/>
    </row>
    <row r="85" spans="8:10">
      <c r="H85" s="21"/>
      <c r="J85" s="6"/>
    </row>
    <row r="86" spans="8:10">
      <c r="H86" s="21"/>
      <c r="J86" s="6"/>
    </row>
    <row r="87" spans="8:10">
      <c r="H87" s="21"/>
      <c r="J87" s="6"/>
    </row>
    <row r="88" spans="8:10">
      <c r="H88" s="21"/>
      <c r="J88" s="6"/>
    </row>
    <row r="89" spans="8:10">
      <c r="H89" s="21"/>
      <c r="J89" s="6"/>
    </row>
    <row r="90" spans="8:10">
      <c r="H90" s="21"/>
      <c r="J90" s="6"/>
    </row>
    <row r="91" spans="8:10">
      <c r="H91" s="21"/>
      <c r="J91" s="6"/>
    </row>
    <row r="92" spans="8:10">
      <c r="H92" s="21"/>
      <c r="J92" s="6"/>
    </row>
    <row r="93" spans="8:10">
      <c r="H93" s="21"/>
      <c r="J93" s="6"/>
    </row>
    <row r="94" spans="8:10">
      <c r="H94" s="21"/>
      <c r="J94" s="6"/>
    </row>
    <row r="95" spans="8:10">
      <c r="H95" s="21"/>
      <c r="J95" s="6"/>
    </row>
    <row r="96" spans="8:10">
      <c r="H96" s="21"/>
      <c r="J96" s="6"/>
    </row>
    <row r="97" spans="8:10">
      <c r="H97" s="21"/>
      <c r="J97" s="6"/>
    </row>
    <row r="98" spans="8:10">
      <c r="H98" s="21"/>
      <c r="J98" s="6"/>
    </row>
    <row r="99" spans="8:10">
      <c r="H99" s="21"/>
      <c r="J99" s="6"/>
    </row>
    <row r="100" spans="8:10">
      <c r="H100" s="21"/>
      <c r="J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tabSelected="1" workbookViewId="0">
      <pane ySplit="1" topLeftCell="A2" activePane="bottomLeft" state="frozen"/>
      <selection pane="bottomLeft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1" t="s">
        <v>167</v>
      </c>
      <c r="B1" s="32" t="s">
        <v>173</v>
      </c>
      <c r="C1" s="32" t="s">
        <v>208</v>
      </c>
      <c r="D1" s="32" t="s">
        <v>190</v>
      </c>
      <c r="E1" s="32" t="s">
        <v>191</v>
      </c>
      <c r="F1" s="32" t="s">
        <v>192</v>
      </c>
      <c r="G1" s="32" t="s">
        <v>193</v>
      </c>
      <c r="H1" s="32" t="s">
        <v>194</v>
      </c>
      <c r="I1" s="32" t="s">
        <v>195</v>
      </c>
      <c r="J1" s="32" t="s">
        <v>196</v>
      </c>
      <c r="K1" s="32" t="s">
        <v>197</v>
      </c>
      <c r="L1" s="32" t="s">
        <v>198</v>
      </c>
      <c r="M1" s="32" t="s">
        <v>199</v>
      </c>
      <c r="N1" s="32" t="s">
        <v>200</v>
      </c>
      <c r="O1" s="32" t="s">
        <v>201</v>
      </c>
    </row>
    <row r="2" spans="1:15">
      <c r="A2" s="43" t="s">
        <v>170</v>
      </c>
      <c r="B2" s="9">
        <v>0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42">
        <v>0</v>
      </c>
      <c r="I2" s="42">
        <v>0</v>
      </c>
      <c r="J2" s="42">
        <v>1</v>
      </c>
      <c r="K2" s="42">
        <v>0</v>
      </c>
      <c r="L2" s="42">
        <v>0</v>
      </c>
      <c r="M2" s="42">
        <v>0</v>
      </c>
      <c r="N2" s="42">
        <v>0</v>
      </c>
      <c r="O2" s="42">
        <v>0</v>
      </c>
    </row>
    <row r="3" spans="1:15">
      <c r="A3" s="44" t="s">
        <v>182</v>
      </c>
      <c r="B3" s="9">
        <v>0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42">
        <v>6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</row>
    <row r="4" spans="1:15">
      <c r="A4" s="44" t="s">
        <v>183</v>
      </c>
      <c r="B4" s="9">
        <v>0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42">
        <v>2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</row>
    <row r="5" spans="1:15">
      <c r="A5" s="44" t="s">
        <v>184</v>
      </c>
      <c r="B5" s="9">
        <v>0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42">
        <v>8</v>
      </c>
      <c r="K5" s="42">
        <v>3</v>
      </c>
      <c r="L5" s="42">
        <v>9</v>
      </c>
      <c r="M5" s="42">
        <v>4</v>
      </c>
      <c r="N5" s="42">
        <v>10</v>
      </c>
      <c r="O5" s="42">
        <v>5</v>
      </c>
    </row>
    <row r="6" spans="1:15">
      <c r="A6" s="44" t="s">
        <v>185</v>
      </c>
      <c r="B6" s="9">
        <v>0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</row>
    <row r="7" spans="1:15">
      <c r="A7" s="44" t="s">
        <v>171</v>
      </c>
      <c r="B7" s="9">
        <v>0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42">
        <v>100</v>
      </c>
      <c r="K7" s="42">
        <v>101</v>
      </c>
      <c r="L7" s="42">
        <v>102</v>
      </c>
      <c r="M7" s="42">
        <v>103</v>
      </c>
      <c r="N7" s="42">
        <v>104</v>
      </c>
      <c r="O7" s="42">
        <v>105</v>
      </c>
    </row>
    <row r="8" spans="1:15">
      <c r="A8" s="44" t="s">
        <v>186</v>
      </c>
      <c r="B8" s="9">
        <v>0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42">
        <v>200</v>
      </c>
      <c r="K8" s="42">
        <v>201</v>
      </c>
      <c r="L8" s="42">
        <v>202</v>
      </c>
      <c r="M8" s="42">
        <v>203</v>
      </c>
      <c r="N8" s="42">
        <v>204</v>
      </c>
      <c r="O8" s="42">
        <v>205</v>
      </c>
    </row>
    <row r="9" spans="1:15">
      <c r="A9" s="44" t="s">
        <v>187</v>
      </c>
      <c r="B9" s="9">
        <v>0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42">
        <v>300</v>
      </c>
      <c r="K9" s="42">
        <v>301</v>
      </c>
      <c r="L9" s="42">
        <v>302</v>
      </c>
      <c r="M9" s="42">
        <v>303</v>
      </c>
      <c r="N9" s="42">
        <v>304</v>
      </c>
      <c r="O9" s="42">
        <v>305</v>
      </c>
    </row>
    <row r="10" spans="1:15">
      <c r="A10" s="44" t="s">
        <v>188</v>
      </c>
      <c r="B10" s="9">
        <v>0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42">
        <v>400</v>
      </c>
      <c r="K10" s="42">
        <v>401</v>
      </c>
      <c r="L10" s="42">
        <v>402</v>
      </c>
      <c r="M10" s="42">
        <v>403</v>
      </c>
      <c r="N10" s="42">
        <v>404</v>
      </c>
      <c r="O10" s="42">
        <v>405</v>
      </c>
    </row>
    <row r="11" spans="1:15">
      <c r="A11" s="44" t="s">
        <v>189</v>
      </c>
      <c r="B11" s="9">
        <v>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42">
        <v>500</v>
      </c>
      <c r="K11" s="42">
        <v>501</v>
      </c>
      <c r="L11" s="42">
        <v>502</v>
      </c>
      <c r="M11" s="42">
        <v>503</v>
      </c>
      <c r="N11" s="42">
        <v>0</v>
      </c>
      <c r="O11" s="42">
        <v>0</v>
      </c>
    </row>
    <row r="12" spans="1:15">
      <c r="A12" s="44" t="s">
        <v>172</v>
      </c>
      <c r="B12" s="9">
        <v>0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42">
        <v>7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</row>
    <row r="13" spans="1:15">
      <c r="A13" s="44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4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4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4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4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4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4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4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4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4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4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4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4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4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4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4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4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4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4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4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4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4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4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4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4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4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4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4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4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4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4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4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4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4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4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4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4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4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4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4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4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4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4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4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4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4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4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4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4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4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4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4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4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4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4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4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4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4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4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4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4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4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4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4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4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4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4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4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4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4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4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4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4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4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4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4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4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4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4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4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4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4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4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4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4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4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4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4"/>
      <c r="B100" s="9"/>
      <c r="C100" s="9"/>
      <c r="D100" s="9"/>
      <c r="E100" s="9"/>
      <c r="F100" s="9"/>
      <c r="G100" s="9"/>
      <c r="H100" s="38"/>
      <c r="I100" s="38"/>
      <c r="J100" s="38"/>
      <c r="K100" s="38"/>
      <c r="L100" s="38"/>
      <c r="M100" s="38"/>
      <c r="N100" s="38"/>
      <c r="O100" s="38"/>
    </row>
    <row r="101" spans="1:15">
      <c r="A101" s="45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G10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.625" style="7" customWidth="1"/>
    <col min="2" max="7" width="12.625" style="52" customWidth="1"/>
    <col min="8" max="16384" width="9" style="3"/>
  </cols>
  <sheetData>
    <row r="1" spans="1:7" s="2" customFormat="1">
      <c r="A1" s="31" t="s">
        <v>0</v>
      </c>
      <c r="B1" s="49" t="s">
        <v>202</v>
      </c>
      <c r="C1" s="49" t="s">
        <v>197</v>
      </c>
      <c r="D1" s="49" t="s">
        <v>198</v>
      </c>
      <c r="E1" s="49" t="s">
        <v>199</v>
      </c>
      <c r="F1" s="49" t="s">
        <v>200</v>
      </c>
      <c r="G1" s="49" t="s">
        <v>201</v>
      </c>
    </row>
    <row r="2" spans="1:7">
      <c r="A2" s="50">
        <v>1</v>
      </c>
      <c r="B2" s="51">
        <v>600</v>
      </c>
      <c r="C2" s="51">
        <v>600</v>
      </c>
      <c r="D2" s="51">
        <v>600</v>
      </c>
      <c r="E2" s="51">
        <v>600</v>
      </c>
      <c r="F2" s="51">
        <v>600</v>
      </c>
      <c r="G2" s="51">
        <v>600</v>
      </c>
    </row>
    <row r="3" spans="1:7">
      <c r="A3" s="50">
        <v>2</v>
      </c>
      <c r="B3" s="52">
        <v>601</v>
      </c>
      <c r="C3" s="52">
        <v>601</v>
      </c>
      <c r="D3" s="52">
        <v>601</v>
      </c>
      <c r="E3" s="52">
        <v>601</v>
      </c>
      <c r="F3" s="52">
        <v>601</v>
      </c>
      <c r="G3" s="52">
        <v>601</v>
      </c>
    </row>
    <row r="4" spans="1:7">
      <c r="A4" s="50">
        <v>3</v>
      </c>
      <c r="B4" s="52">
        <v>602</v>
      </c>
      <c r="C4" s="52">
        <v>602</v>
      </c>
      <c r="D4" s="52">
        <v>602</v>
      </c>
      <c r="E4" s="52">
        <v>602</v>
      </c>
      <c r="F4" s="52">
        <v>602</v>
      </c>
      <c r="G4" s="52">
        <v>602</v>
      </c>
    </row>
    <row r="5" spans="1:7">
      <c r="A5" s="50">
        <v>4</v>
      </c>
      <c r="B5" s="52">
        <v>603</v>
      </c>
      <c r="C5" s="52">
        <v>603</v>
      </c>
      <c r="D5" s="52">
        <v>603</v>
      </c>
      <c r="E5" s="52">
        <v>603</v>
      </c>
      <c r="F5" s="52">
        <v>603</v>
      </c>
      <c r="G5" s="52">
        <v>603</v>
      </c>
    </row>
    <row r="6" spans="1:7">
      <c r="A6" s="50">
        <v>5</v>
      </c>
      <c r="B6" s="52">
        <v>604</v>
      </c>
      <c r="C6" s="52">
        <v>604</v>
      </c>
      <c r="D6" s="52">
        <v>604</v>
      </c>
      <c r="E6" s="52">
        <v>604</v>
      </c>
      <c r="F6" s="52">
        <v>604</v>
      </c>
      <c r="G6" s="52">
        <v>604</v>
      </c>
    </row>
    <row r="7" spans="1:7">
      <c r="A7" s="50">
        <v>6</v>
      </c>
      <c r="B7" s="52">
        <v>605</v>
      </c>
      <c r="C7" s="52">
        <v>605</v>
      </c>
      <c r="D7" s="52">
        <v>605</v>
      </c>
      <c r="E7" s="52">
        <v>605</v>
      </c>
      <c r="F7" s="52">
        <v>605</v>
      </c>
      <c r="G7" s="52">
        <v>605</v>
      </c>
    </row>
    <row r="8" spans="1:7">
      <c r="A8" s="50">
        <v>7</v>
      </c>
      <c r="B8" s="52">
        <v>606</v>
      </c>
      <c r="C8" s="52">
        <v>606</v>
      </c>
      <c r="D8" s="52">
        <v>606</v>
      </c>
      <c r="E8" s="52">
        <v>606</v>
      </c>
      <c r="F8" s="52">
        <v>606</v>
      </c>
      <c r="G8" s="52">
        <v>606</v>
      </c>
    </row>
    <row r="9" spans="1:7">
      <c r="A9" s="50">
        <v>8</v>
      </c>
      <c r="B9" s="52">
        <v>607</v>
      </c>
      <c r="C9" s="52">
        <v>607</v>
      </c>
      <c r="D9" s="52">
        <v>607</v>
      </c>
      <c r="E9" s="52">
        <v>607</v>
      </c>
      <c r="F9" s="52">
        <v>607</v>
      </c>
      <c r="G9" s="52">
        <v>607</v>
      </c>
    </row>
    <row r="10" spans="1:7">
      <c r="A10" s="50"/>
    </row>
    <row r="11" spans="1:7">
      <c r="A11" s="50"/>
    </row>
    <row r="12" spans="1:7">
      <c r="A12" s="50"/>
    </row>
    <row r="13" spans="1:7">
      <c r="A13" s="50"/>
    </row>
    <row r="14" spans="1:7">
      <c r="A14" s="50"/>
    </row>
    <row r="15" spans="1:7">
      <c r="A15" s="50"/>
    </row>
    <row r="16" spans="1:7">
      <c r="A16" s="50"/>
    </row>
    <row r="17" spans="1:1">
      <c r="A17" s="50"/>
    </row>
    <row r="18" spans="1:1">
      <c r="A18" s="50"/>
    </row>
    <row r="19" spans="1:1">
      <c r="A19" s="50"/>
    </row>
    <row r="20" spans="1:1">
      <c r="A20" s="50"/>
    </row>
    <row r="21" spans="1:1">
      <c r="A21" s="50"/>
    </row>
    <row r="22" spans="1:1">
      <c r="A22" s="50"/>
    </row>
    <row r="23" spans="1:1">
      <c r="A23" s="50"/>
    </row>
    <row r="24" spans="1:1">
      <c r="A24" s="50"/>
    </row>
    <row r="25" spans="1:1">
      <c r="A25" s="50"/>
    </row>
    <row r="26" spans="1:1">
      <c r="A26" s="50"/>
    </row>
    <row r="27" spans="1:1">
      <c r="A27" s="50"/>
    </row>
    <row r="28" spans="1:1">
      <c r="A28" s="50"/>
    </row>
    <row r="29" spans="1:1">
      <c r="A29" s="50"/>
    </row>
    <row r="30" spans="1:1">
      <c r="A30" s="50"/>
    </row>
    <row r="31" spans="1:1">
      <c r="A31" s="50"/>
    </row>
    <row r="32" spans="1:1">
      <c r="A32" s="50"/>
    </row>
    <row r="33" spans="1:1">
      <c r="A33" s="50"/>
    </row>
    <row r="34" spans="1:1">
      <c r="A34" s="50"/>
    </row>
    <row r="35" spans="1:1">
      <c r="A35" s="50"/>
    </row>
    <row r="36" spans="1:1">
      <c r="A36" s="50"/>
    </row>
    <row r="37" spans="1:1">
      <c r="A37" s="50"/>
    </row>
    <row r="38" spans="1:1">
      <c r="A38" s="50"/>
    </row>
    <row r="39" spans="1:1">
      <c r="A39" s="50"/>
    </row>
    <row r="40" spans="1:1">
      <c r="A40" s="50"/>
    </row>
    <row r="41" spans="1:1">
      <c r="A41" s="50"/>
    </row>
    <row r="42" spans="1:1">
      <c r="A42" s="50"/>
    </row>
    <row r="43" spans="1:1">
      <c r="A43" s="50"/>
    </row>
    <row r="44" spans="1:1">
      <c r="A44" s="50"/>
    </row>
    <row r="45" spans="1:1">
      <c r="A45" s="50"/>
    </row>
    <row r="46" spans="1:1">
      <c r="A46" s="50"/>
    </row>
    <row r="47" spans="1:1">
      <c r="A47" s="50"/>
    </row>
    <row r="48" spans="1:1">
      <c r="A48" s="50"/>
    </row>
    <row r="49" spans="1:1">
      <c r="A49" s="50"/>
    </row>
    <row r="50" spans="1:1">
      <c r="A50" s="50"/>
    </row>
    <row r="51" spans="1:1">
      <c r="A51" s="50"/>
    </row>
    <row r="52" spans="1:1">
      <c r="A52" s="50"/>
    </row>
    <row r="53" spans="1:1">
      <c r="A53" s="50"/>
    </row>
    <row r="54" spans="1:1">
      <c r="A54" s="50"/>
    </row>
    <row r="55" spans="1:1">
      <c r="A55" s="50"/>
    </row>
    <row r="56" spans="1:1">
      <c r="A56" s="50"/>
    </row>
    <row r="57" spans="1:1">
      <c r="A57" s="50"/>
    </row>
    <row r="58" spans="1:1">
      <c r="A58" s="50"/>
    </row>
    <row r="59" spans="1:1">
      <c r="A59" s="50"/>
    </row>
    <row r="60" spans="1:1">
      <c r="A60" s="50"/>
    </row>
    <row r="61" spans="1:1">
      <c r="A61" s="50"/>
    </row>
    <row r="62" spans="1:1">
      <c r="A62" s="50"/>
    </row>
    <row r="63" spans="1:1">
      <c r="A63" s="50"/>
    </row>
    <row r="64" spans="1:1">
      <c r="A64" s="50"/>
    </row>
    <row r="65" spans="1:1">
      <c r="A65" s="50"/>
    </row>
    <row r="66" spans="1:1">
      <c r="A66" s="50"/>
    </row>
    <row r="67" spans="1:1">
      <c r="A67" s="50"/>
    </row>
    <row r="68" spans="1:1">
      <c r="A68" s="50"/>
    </row>
    <row r="69" spans="1:1">
      <c r="A69" s="50"/>
    </row>
    <row r="70" spans="1:1">
      <c r="A70" s="50"/>
    </row>
    <row r="71" spans="1:1">
      <c r="A71" s="50"/>
    </row>
    <row r="72" spans="1:1">
      <c r="A72" s="50"/>
    </row>
    <row r="73" spans="1:1">
      <c r="A73" s="50"/>
    </row>
    <row r="74" spans="1:1">
      <c r="A74" s="50"/>
    </row>
    <row r="75" spans="1:1">
      <c r="A75" s="50"/>
    </row>
    <row r="76" spans="1:1">
      <c r="A76" s="50"/>
    </row>
    <row r="77" spans="1:1">
      <c r="A77" s="50"/>
    </row>
    <row r="78" spans="1:1">
      <c r="A78" s="50"/>
    </row>
    <row r="79" spans="1:1">
      <c r="A79" s="50"/>
    </row>
    <row r="80" spans="1:1">
      <c r="A80" s="50"/>
    </row>
    <row r="81" spans="1:1">
      <c r="A81" s="50"/>
    </row>
    <row r="82" spans="1:1">
      <c r="A82" s="50"/>
    </row>
    <row r="83" spans="1:1">
      <c r="A83" s="50"/>
    </row>
    <row r="84" spans="1:1">
      <c r="A84" s="50"/>
    </row>
    <row r="85" spans="1:1">
      <c r="A85" s="50"/>
    </row>
    <row r="86" spans="1:1">
      <c r="A86" s="50"/>
    </row>
    <row r="87" spans="1:1">
      <c r="A87" s="50"/>
    </row>
    <row r="88" spans="1:1">
      <c r="A88" s="50"/>
    </row>
    <row r="89" spans="1:1">
      <c r="A89" s="50"/>
    </row>
    <row r="90" spans="1:1">
      <c r="A90" s="50"/>
    </row>
    <row r="91" spans="1:1">
      <c r="A91" s="50"/>
    </row>
    <row r="92" spans="1:1">
      <c r="A92" s="50"/>
    </row>
    <row r="93" spans="1:1">
      <c r="A93" s="50"/>
    </row>
    <row r="94" spans="1:1">
      <c r="A94" s="50"/>
    </row>
    <row r="95" spans="1:1">
      <c r="A95" s="50"/>
    </row>
    <row r="96" spans="1:1">
      <c r="A96" s="50"/>
    </row>
    <row r="97" spans="1:7">
      <c r="A97" s="50"/>
    </row>
    <row r="98" spans="1:7">
      <c r="A98" s="50"/>
    </row>
    <row r="99" spans="1:7">
      <c r="A99" s="50"/>
    </row>
    <row r="100" spans="1:7">
      <c r="A100" s="50"/>
    </row>
    <row r="101" spans="1:7">
      <c r="A101" s="53"/>
      <c r="B101" s="54"/>
      <c r="C101" s="54"/>
      <c r="D101" s="54"/>
      <c r="E101" s="54"/>
      <c r="F101" s="54"/>
      <c r="G101" s="5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workbookViewId="0">
      <pane ySplit="1" topLeftCell="A17" activePane="bottomLeft" state="frozen"/>
      <selection pane="bottomLeft" activeCell="F25" sqref="F25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205</v>
      </c>
      <c r="B1" s="2" t="s">
        <v>206</v>
      </c>
      <c r="C1" s="2" t="s">
        <v>174</v>
      </c>
      <c r="D1" s="2" t="s">
        <v>204</v>
      </c>
      <c r="F1" s="2" t="s">
        <v>209</v>
      </c>
    </row>
    <row r="2" spans="1:6">
      <c r="A2" s="3">
        <v>1</v>
      </c>
      <c r="B2" s="3">
        <v>1</v>
      </c>
      <c r="C2" s="3" t="s">
        <v>175</v>
      </c>
      <c r="D2" s="3">
        <v>10</v>
      </c>
      <c r="F2" s="47" t="s">
        <v>210</v>
      </c>
    </row>
    <row r="3" spans="1:6">
      <c r="A3" s="3">
        <v>2</v>
      </c>
      <c r="B3" s="3">
        <v>1</v>
      </c>
      <c r="C3" s="3" t="s">
        <v>175</v>
      </c>
      <c r="D3" s="3">
        <v>11</v>
      </c>
      <c r="F3" s="47" t="s">
        <v>211</v>
      </c>
    </row>
    <row r="4" spans="1:6">
      <c r="A4" s="3">
        <v>3</v>
      </c>
      <c r="B4" s="3">
        <v>1</v>
      </c>
      <c r="C4" s="3" t="s">
        <v>175</v>
      </c>
      <c r="D4" s="3">
        <v>12</v>
      </c>
      <c r="F4" s="47" t="s">
        <v>212</v>
      </c>
    </row>
    <row r="5" spans="1:6">
      <c r="A5" s="3">
        <v>4</v>
      </c>
      <c r="B5" s="3">
        <v>1</v>
      </c>
      <c r="C5" s="3" t="s">
        <v>175</v>
      </c>
      <c r="D5" s="3">
        <v>13</v>
      </c>
      <c r="F5" s="47" t="s">
        <v>213</v>
      </c>
    </row>
    <row r="6" spans="1:6">
      <c r="A6" s="3">
        <v>5</v>
      </c>
      <c r="B6" s="3">
        <v>1</v>
      </c>
      <c r="C6" s="3" t="s">
        <v>175</v>
      </c>
      <c r="D6" s="3">
        <v>14</v>
      </c>
      <c r="F6" s="47" t="s">
        <v>214</v>
      </c>
    </row>
    <row r="7" spans="1:6">
      <c r="A7" s="3">
        <v>6</v>
      </c>
      <c r="B7" s="3">
        <v>1</v>
      </c>
      <c r="C7" s="3" t="s">
        <v>175</v>
      </c>
      <c r="D7" s="3">
        <v>25</v>
      </c>
      <c r="F7" s="47" t="s">
        <v>215</v>
      </c>
    </row>
    <row r="8" spans="1:6">
      <c r="A8" s="3">
        <v>7</v>
      </c>
      <c r="B8" s="3">
        <v>1</v>
      </c>
      <c r="C8" s="3" t="s">
        <v>175</v>
      </c>
      <c r="D8" s="3">
        <v>26</v>
      </c>
      <c r="F8" s="47" t="s">
        <v>216</v>
      </c>
    </row>
    <row r="9" spans="1:6">
      <c r="A9" s="3">
        <v>8</v>
      </c>
      <c r="B9" s="3">
        <v>1</v>
      </c>
      <c r="C9" s="3" t="s">
        <v>175</v>
      </c>
      <c r="D9" s="3">
        <v>27</v>
      </c>
      <c r="F9" s="47" t="s">
        <v>217</v>
      </c>
    </row>
    <row r="10" spans="1:6">
      <c r="A10" s="3">
        <v>9</v>
      </c>
      <c r="B10" s="3">
        <v>1</v>
      </c>
      <c r="C10" s="3" t="s">
        <v>175</v>
      </c>
      <c r="D10" s="3">
        <v>28</v>
      </c>
      <c r="F10" s="47" t="s">
        <v>218</v>
      </c>
    </row>
    <row r="11" spans="1:6">
      <c r="A11" s="3">
        <v>10</v>
      </c>
      <c r="B11" s="3">
        <v>1</v>
      </c>
      <c r="C11" s="3" t="s">
        <v>175</v>
      </c>
      <c r="D11" s="3">
        <v>29</v>
      </c>
      <c r="F11" s="47" t="s">
        <v>219</v>
      </c>
    </row>
    <row r="12" spans="1:6">
      <c r="A12" s="3">
        <v>100</v>
      </c>
      <c r="B12" s="3">
        <v>2</v>
      </c>
      <c r="C12" s="3" t="s">
        <v>177</v>
      </c>
      <c r="D12" s="3">
        <v>100</v>
      </c>
      <c r="F12" s="48" t="s">
        <v>171</v>
      </c>
    </row>
    <row r="13" spans="1:6">
      <c r="A13" s="3">
        <v>101</v>
      </c>
      <c r="B13" s="3">
        <v>2</v>
      </c>
      <c r="C13" s="3" t="s">
        <v>177</v>
      </c>
      <c r="D13" s="3">
        <v>100</v>
      </c>
      <c r="F13" s="48" t="s">
        <v>171</v>
      </c>
    </row>
    <row r="14" spans="1:6">
      <c r="A14" s="3">
        <v>102</v>
      </c>
      <c r="B14" s="3">
        <v>2</v>
      </c>
      <c r="C14" s="3" t="s">
        <v>177</v>
      </c>
      <c r="D14" s="3">
        <v>100</v>
      </c>
      <c r="F14" s="48" t="s">
        <v>171</v>
      </c>
    </row>
    <row r="15" spans="1:6">
      <c r="A15" s="3">
        <v>103</v>
      </c>
      <c r="B15" s="3">
        <v>2</v>
      </c>
      <c r="C15" s="3" t="s">
        <v>177</v>
      </c>
      <c r="D15" s="3">
        <v>100</v>
      </c>
      <c r="F15" s="48" t="s">
        <v>171</v>
      </c>
    </row>
    <row r="16" spans="1:6">
      <c r="A16" s="3">
        <v>104</v>
      </c>
      <c r="B16" s="3">
        <v>2</v>
      </c>
      <c r="C16" s="3" t="s">
        <v>177</v>
      </c>
      <c r="D16" s="3">
        <v>100</v>
      </c>
      <c r="F16" s="48" t="s">
        <v>171</v>
      </c>
    </row>
    <row r="17" spans="1:6">
      <c r="A17" s="3">
        <v>105</v>
      </c>
      <c r="B17" s="3">
        <v>2</v>
      </c>
      <c r="C17" s="3" t="s">
        <v>177</v>
      </c>
      <c r="D17" s="3">
        <v>100</v>
      </c>
      <c r="F17" s="48" t="s">
        <v>171</v>
      </c>
    </row>
    <row r="18" spans="1:6">
      <c r="A18" s="3">
        <v>200</v>
      </c>
      <c r="B18" s="3">
        <v>3</v>
      </c>
      <c r="C18" s="3" t="s">
        <v>178</v>
      </c>
      <c r="D18" s="3">
        <v>30</v>
      </c>
      <c r="F18" s="48" t="s">
        <v>186</v>
      </c>
    </row>
    <row r="19" spans="1:6">
      <c r="A19" s="3">
        <v>201</v>
      </c>
      <c r="B19" s="3">
        <v>3</v>
      </c>
      <c r="C19" s="3" t="s">
        <v>178</v>
      </c>
      <c r="D19" s="3">
        <v>30</v>
      </c>
      <c r="F19" s="48" t="s">
        <v>186</v>
      </c>
    </row>
    <row r="20" spans="1:6">
      <c r="A20" s="3">
        <v>202</v>
      </c>
      <c r="B20" s="3">
        <v>3</v>
      </c>
      <c r="C20" s="3" t="s">
        <v>178</v>
      </c>
      <c r="D20" s="3">
        <v>30</v>
      </c>
      <c r="F20" s="48" t="s">
        <v>186</v>
      </c>
    </row>
    <row r="21" spans="1:6">
      <c r="A21" s="3">
        <v>203</v>
      </c>
      <c r="B21" s="3">
        <v>3</v>
      </c>
      <c r="C21" s="3" t="s">
        <v>178</v>
      </c>
      <c r="D21" s="3">
        <v>30</v>
      </c>
      <c r="F21" s="48" t="s">
        <v>186</v>
      </c>
    </row>
    <row r="22" spans="1:6">
      <c r="A22" s="3">
        <v>204</v>
      </c>
      <c r="B22" s="3">
        <v>3</v>
      </c>
      <c r="C22" s="3" t="s">
        <v>178</v>
      </c>
      <c r="D22" s="3">
        <v>30</v>
      </c>
      <c r="F22" s="48" t="s">
        <v>186</v>
      </c>
    </row>
    <row r="23" spans="1:6">
      <c r="A23" s="3">
        <v>205</v>
      </c>
      <c r="B23" s="3">
        <v>3</v>
      </c>
      <c r="C23" s="3" t="s">
        <v>178</v>
      </c>
      <c r="D23" s="3">
        <v>30</v>
      </c>
      <c r="F23" s="48" t="s">
        <v>186</v>
      </c>
    </row>
    <row r="24" spans="1:6">
      <c r="A24" s="3">
        <v>300</v>
      </c>
      <c r="B24" s="3">
        <v>4</v>
      </c>
      <c r="C24" s="3" t="s">
        <v>179</v>
      </c>
      <c r="D24" s="3">
        <v>30</v>
      </c>
      <c r="F24" s="48" t="s">
        <v>187</v>
      </c>
    </row>
    <row r="25" spans="1:6">
      <c r="A25" s="3">
        <v>301</v>
      </c>
      <c r="B25" s="3">
        <v>4</v>
      </c>
      <c r="C25" s="3" t="s">
        <v>179</v>
      </c>
      <c r="D25" s="3">
        <v>30</v>
      </c>
      <c r="F25" s="48" t="s">
        <v>187</v>
      </c>
    </row>
    <row r="26" spans="1:6">
      <c r="A26" s="3">
        <v>302</v>
      </c>
      <c r="B26" s="3">
        <v>4</v>
      </c>
      <c r="C26" s="3" t="s">
        <v>179</v>
      </c>
      <c r="D26" s="3">
        <v>30</v>
      </c>
      <c r="F26" s="48" t="s">
        <v>187</v>
      </c>
    </row>
    <row r="27" spans="1:6">
      <c r="A27" s="3">
        <v>303</v>
      </c>
      <c r="B27" s="3">
        <v>4</v>
      </c>
      <c r="C27" s="3" t="s">
        <v>179</v>
      </c>
      <c r="D27" s="3">
        <v>30</v>
      </c>
      <c r="F27" s="48" t="s">
        <v>187</v>
      </c>
    </row>
    <row r="28" spans="1:6">
      <c r="A28" s="3">
        <v>304</v>
      </c>
      <c r="B28" s="3">
        <v>4</v>
      </c>
      <c r="C28" s="3" t="s">
        <v>179</v>
      </c>
      <c r="D28" s="3">
        <v>30</v>
      </c>
      <c r="F28" s="48" t="s">
        <v>187</v>
      </c>
    </row>
    <row r="29" spans="1:6">
      <c r="A29" s="3">
        <v>305</v>
      </c>
      <c r="B29" s="3">
        <v>4</v>
      </c>
      <c r="C29" s="3" t="s">
        <v>179</v>
      </c>
      <c r="D29" s="3">
        <v>30</v>
      </c>
      <c r="F29" s="48" t="s">
        <v>187</v>
      </c>
    </row>
    <row r="30" spans="1:6">
      <c r="A30" s="3">
        <v>400</v>
      </c>
      <c r="B30" s="3">
        <v>5</v>
      </c>
      <c r="C30" s="3" t="s">
        <v>220</v>
      </c>
      <c r="D30" s="3">
        <v>30</v>
      </c>
      <c r="F30" s="48" t="s">
        <v>188</v>
      </c>
    </row>
    <row r="31" spans="1:6">
      <c r="A31" s="3">
        <v>401</v>
      </c>
      <c r="B31" s="3">
        <v>5</v>
      </c>
      <c r="C31" s="3" t="s">
        <v>220</v>
      </c>
      <c r="D31" s="3">
        <v>30</v>
      </c>
      <c r="F31" s="48" t="s">
        <v>188</v>
      </c>
    </row>
    <row r="32" spans="1:6">
      <c r="A32" s="3">
        <v>402</v>
      </c>
      <c r="B32" s="3">
        <v>5</v>
      </c>
      <c r="C32" s="3" t="s">
        <v>220</v>
      </c>
      <c r="D32" s="3">
        <v>30</v>
      </c>
      <c r="F32" s="48" t="s">
        <v>188</v>
      </c>
    </row>
    <row r="33" spans="1:6">
      <c r="A33" s="3">
        <v>403</v>
      </c>
      <c r="B33" s="3">
        <v>5</v>
      </c>
      <c r="C33" s="3" t="s">
        <v>220</v>
      </c>
      <c r="D33" s="3">
        <v>30</v>
      </c>
      <c r="F33" s="48" t="s">
        <v>188</v>
      </c>
    </row>
    <row r="34" spans="1:6">
      <c r="A34" s="3">
        <v>404</v>
      </c>
      <c r="B34" s="3">
        <v>5</v>
      </c>
      <c r="C34" s="3" t="s">
        <v>220</v>
      </c>
      <c r="D34" s="3">
        <v>30</v>
      </c>
      <c r="F34" s="48" t="s">
        <v>188</v>
      </c>
    </row>
    <row r="35" spans="1:6">
      <c r="A35" s="3">
        <v>405</v>
      </c>
      <c r="B35" s="3">
        <v>5</v>
      </c>
      <c r="C35" s="3" t="s">
        <v>220</v>
      </c>
      <c r="D35" s="3">
        <v>30</v>
      </c>
      <c r="F35" s="48" t="s">
        <v>188</v>
      </c>
    </row>
    <row r="36" spans="1:6">
      <c r="A36" s="3">
        <v>500</v>
      </c>
      <c r="B36" s="3">
        <v>6</v>
      </c>
      <c r="C36" s="3" t="s">
        <v>181</v>
      </c>
      <c r="D36" s="3">
        <v>1</v>
      </c>
      <c r="F36" s="48" t="s">
        <v>189</v>
      </c>
    </row>
    <row r="37" spans="1:6">
      <c r="A37" s="3">
        <v>501</v>
      </c>
      <c r="B37" s="3">
        <v>6</v>
      </c>
      <c r="C37" s="3" t="s">
        <v>181</v>
      </c>
      <c r="D37" s="3">
        <v>1</v>
      </c>
      <c r="F37" s="48" t="s">
        <v>189</v>
      </c>
    </row>
    <row r="38" spans="1:6">
      <c r="A38" s="3">
        <v>502</v>
      </c>
      <c r="B38" s="3">
        <v>6</v>
      </c>
      <c r="C38" s="3" t="s">
        <v>181</v>
      </c>
      <c r="D38" s="3">
        <v>1</v>
      </c>
      <c r="F38" s="48" t="s">
        <v>189</v>
      </c>
    </row>
    <row r="39" spans="1:6">
      <c r="A39" s="3">
        <v>503</v>
      </c>
      <c r="B39" s="3">
        <v>6</v>
      </c>
      <c r="C39" s="3" t="s">
        <v>181</v>
      </c>
      <c r="D39" s="3">
        <v>1</v>
      </c>
      <c r="F39" s="48" t="s">
        <v>189</v>
      </c>
    </row>
    <row r="40" spans="1:6">
      <c r="A40" s="3">
        <v>600</v>
      </c>
      <c r="B40" s="3">
        <v>7</v>
      </c>
      <c r="C40" s="3" t="s">
        <v>176</v>
      </c>
      <c r="D40" s="3">
        <v>1</v>
      </c>
      <c r="F40" s="47" t="s">
        <v>221</v>
      </c>
    </row>
    <row r="41" spans="1:6">
      <c r="A41" s="3">
        <v>601</v>
      </c>
      <c r="B41" s="3">
        <v>8</v>
      </c>
      <c r="C41" s="3" t="s">
        <v>176</v>
      </c>
      <c r="D41" s="3">
        <v>2</v>
      </c>
      <c r="F41" s="47" t="s">
        <v>222</v>
      </c>
    </row>
    <row r="42" spans="1:6">
      <c r="A42" s="3">
        <v>602</v>
      </c>
      <c r="B42" s="3">
        <v>9</v>
      </c>
      <c r="C42" s="3" t="s">
        <v>176</v>
      </c>
      <c r="D42" s="3">
        <v>3</v>
      </c>
      <c r="F42" s="47" t="s">
        <v>223</v>
      </c>
    </row>
    <row r="43" spans="1:6">
      <c r="A43" s="3">
        <v>603</v>
      </c>
      <c r="B43" s="3">
        <v>10</v>
      </c>
      <c r="C43" s="3" t="s">
        <v>176</v>
      </c>
      <c r="D43" s="3">
        <v>4</v>
      </c>
      <c r="F43" s="47" t="s">
        <v>224</v>
      </c>
    </row>
    <row r="44" spans="1:6">
      <c r="A44" s="3">
        <v>604</v>
      </c>
      <c r="B44" s="3">
        <v>11</v>
      </c>
      <c r="C44" s="3" t="s">
        <v>176</v>
      </c>
      <c r="D44" s="3">
        <v>5</v>
      </c>
      <c r="F44" s="47" t="s">
        <v>225</v>
      </c>
    </row>
    <row r="45" spans="1:6">
      <c r="A45" s="3">
        <v>605</v>
      </c>
      <c r="B45" s="3">
        <v>12</v>
      </c>
      <c r="C45" s="3" t="s">
        <v>176</v>
      </c>
      <c r="D45" s="3">
        <v>6</v>
      </c>
      <c r="F45" s="47" t="s">
        <v>226</v>
      </c>
    </row>
    <row r="46" spans="1:6">
      <c r="A46" s="3">
        <v>606</v>
      </c>
      <c r="B46" s="3">
        <v>13</v>
      </c>
      <c r="C46" s="3" t="s">
        <v>176</v>
      </c>
      <c r="D46" s="3">
        <v>7</v>
      </c>
      <c r="F46" s="47" t="s">
        <v>227</v>
      </c>
    </row>
    <row r="47" spans="1:6">
      <c r="A47" s="3">
        <v>607</v>
      </c>
      <c r="B47" s="3">
        <v>14</v>
      </c>
      <c r="C47" s="3" t="s">
        <v>176</v>
      </c>
      <c r="D47" s="3">
        <v>8</v>
      </c>
      <c r="F47" s="47" t="s">
        <v>228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選項清單!$K$2:$K$9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2" sqref="M2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0" width="9" style="30"/>
    <col min="11" max="11" width="13.875" style="30" bestFit="1" customWidth="1"/>
    <col min="12" max="12" width="9" style="30"/>
    <col min="13" max="13" width="18.375" style="30" bestFit="1" customWidth="1"/>
    <col min="14" max="16384" width="9" style="30"/>
  </cols>
  <sheetData>
    <row r="1" spans="1:18">
      <c r="A1" s="57" t="s">
        <v>10</v>
      </c>
      <c r="B1" s="57"/>
      <c r="C1" s="57" t="s">
        <v>16</v>
      </c>
      <c r="D1" s="57"/>
      <c r="E1" s="57" t="s">
        <v>36</v>
      </c>
      <c r="F1" s="60"/>
      <c r="G1" s="57" t="s">
        <v>35</v>
      </c>
      <c r="H1" s="60"/>
      <c r="I1" s="57" t="s">
        <v>44</v>
      </c>
      <c r="J1" s="60"/>
      <c r="K1" s="57" t="s">
        <v>168</v>
      </c>
      <c r="L1" s="59"/>
      <c r="M1" s="57" t="s">
        <v>203</v>
      </c>
      <c r="N1" s="58"/>
    </row>
    <row r="2" spans="1:18">
      <c r="A2" s="30" t="s">
        <v>17</v>
      </c>
      <c r="B2" s="30">
        <v>0</v>
      </c>
      <c r="C2" s="30" t="s">
        <v>17</v>
      </c>
      <c r="D2" s="30">
        <v>0</v>
      </c>
      <c r="E2" s="29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  <c r="K2" s="30" t="s">
        <v>17</v>
      </c>
      <c r="L2" s="30">
        <v>0</v>
      </c>
      <c r="M2" s="30" t="s">
        <v>169</v>
      </c>
      <c r="N2" s="30">
        <v>0</v>
      </c>
    </row>
    <row r="3" spans="1:18">
      <c r="A3" s="30" t="s">
        <v>11</v>
      </c>
      <c r="B3" s="30">
        <v>1</v>
      </c>
      <c r="C3" s="30" t="s">
        <v>13</v>
      </c>
      <c r="D3" s="30">
        <v>1</v>
      </c>
      <c r="E3" s="29" t="s">
        <v>23</v>
      </c>
      <c r="F3" s="30">
        <v>1</v>
      </c>
      <c r="G3" s="33" t="s">
        <v>98</v>
      </c>
      <c r="H3" s="30">
        <v>1</v>
      </c>
      <c r="I3" s="30" t="s">
        <v>47</v>
      </c>
      <c r="J3" s="30">
        <v>1</v>
      </c>
      <c r="K3" s="39" t="s">
        <v>175</v>
      </c>
      <c r="L3" s="30">
        <v>1</v>
      </c>
      <c r="M3" s="39" t="s">
        <v>170</v>
      </c>
      <c r="N3" s="30">
        <v>1</v>
      </c>
    </row>
    <row r="4" spans="1:18">
      <c r="A4" s="30" t="s">
        <v>12</v>
      </c>
      <c r="B4" s="30">
        <v>2</v>
      </c>
      <c r="C4" s="30" t="s">
        <v>15</v>
      </c>
      <c r="D4" s="30">
        <v>2</v>
      </c>
      <c r="E4" s="29" t="s">
        <v>19</v>
      </c>
      <c r="F4" s="30">
        <v>2</v>
      </c>
      <c r="G4" s="33" t="s">
        <v>100</v>
      </c>
      <c r="H4" s="30">
        <v>2</v>
      </c>
      <c r="I4" s="30" t="s">
        <v>142</v>
      </c>
      <c r="J4" s="30">
        <v>2</v>
      </c>
      <c r="K4" s="39" t="s">
        <v>176</v>
      </c>
      <c r="L4" s="30">
        <v>2</v>
      </c>
      <c r="M4" s="39" t="s">
        <v>182</v>
      </c>
      <c r="N4" s="30">
        <v>2</v>
      </c>
    </row>
    <row r="5" spans="1:18">
      <c r="E5" s="29" t="s">
        <v>21</v>
      </c>
      <c r="F5" s="30">
        <v>3</v>
      </c>
      <c r="G5" s="30" t="s">
        <v>102</v>
      </c>
      <c r="H5" s="30">
        <v>3</v>
      </c>
      <c r="I5" s="30" t="s">
        <v>152</v>
      </c>
      <c r="J5" s="30">
        <v>3</v>
      </c>
      <c r="K5" s="39" t="s">
        <v>177</v>
      </c>
      <c r="L5" s="30">
        <v>3</v>
      </c>
      <c r="M5" s="39" t="s">
        <v>183</v>
      </c>
      <c r="N5" s="30">
        <v>3</v>
      </c>
    </row>
    <row r="6" spans="1:18">
      <c r="G6" s="30" t="s">
        <v>104</v>
      </c>
      <c r="H6" s="30">
        <v>4</v>
      </c>
      <c r="I6" s="30" t="s">
        <v>156</v>
      </c>
      <c r="J6" s="30">
        <v>4</v>
      </c>
      <c r="K6" s="39" t="s">
        <v>178</v>
      </c>
      <c r="L6" s="30">
        <v>4</v>
      </c>
      <c r="M6" s="39" t="s">
        <v>184</v>
      </c>
      <c r="N6" s="30">
        <v>4</v>
      </c>
    </row>
    <row r="7" spans="1:18">
      <c r="G7" s="34" t="s">
        <v>110</v>
      </c>
      <c r="H7" s="30">
        <v>5</v>
      </c>
      <c r="K7" s="39" t="s">
        <v>179</v>
      </c>
      <c r="L7" s="30">
        <v>5</v>
      </c>
      <c r="M7" s="39" t="s">
        <v>185</v>
      </c>
      <c r="N7" s="30">
        <v>5</v>
      </c>
    </row>
    <row r="8" spans="1:18">
      <c r="G8" s="34" t="s">
        <v>106</v>
      </c>
      <c r="H8" s="30">
        <v>6</v>
      </c>
      <c r="K8" s="39" t="s">
        <v>180</v>
      </c>
      <c r="L8" s="30">
        <v>6</v>
      </c>
      <c r="M8" s="39" t="s">
        <v>171</v>
      </c>
      <c r="N8" s="30">
        <v>6</v>
      </c>
    </row>
    <row r="9" spans="1:18">
      <c r="G9" s="34" t="s">
        <v>107</v>
      </c>
      <c r="H9" s="30">
        <v>7</v>
      </c>
      <c r="K9" s="39" t="s">
        <v>181</v>
      </c>
      <c r="L9" s="30">
        <v>7</v>
      </c>
      <c r="M9" s="39" t="s">
        <v>186</v>
      </c>
      <c r="N9" s="30">
        <v>7</v>
      </c>
    </row>
    <row r="10" spans="1:18">
      <c r="G10" s="34" t="s">
        <v>108</v>
      </c>
      <c r="H10" s="30">
        <v>8</v>
      </c>
      <c r="M10" s="39" t="s">
        <v>187</v>
      </c>
      <c r="N10" s="30">
        <v>8</v>
      </c>
    </row>
    <row r="11" spans="1:18">
      <c r="M11" s="39" t="s">
        <v>188</v>
      </c>
      <c r="N11" s="30">
        <v>9</v>
      </c>
    </row>
    <row r="12" spans="1:18">
      <c r="M12" s="39" t="s">
        <v>189</v>
      </c>
      <c r="N12" s="30">
        <v>10</v>
      </c>
    </row>
    <row r="13" spans="1:18">
      <c r="M13" s="39" t="s">
        <v>172</v>
      </c>
      <c r="N13" s="30">
        <v>11</v>
      </c>
      <c r="R13" s="35"/>
    </row>
    <row r="14" spans="1:18">
      <c r="R14" s="36"/>
    </row>
    <row r="15" spans="1:18">
      <c r="R15" s="35"/>
    </row>
    <row r="16" spans="1:18">
      <c r="R16" s="36"/>
    </row>
    <row r="17" spans="18:18">
      <c r="R17" s="35"/>
    </row>
    <row r="18" spans="18:18">
      <c r="R18" s="36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99"/>
  <sheetViews>
    <sheetView topLeftCell="A59" workbookViewId="0">
      <selection activeCell="C95" sqref="C95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cap[546ef2]+4[-][-]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cap[546ef2]+8[-][-]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cap[e92121]-4[-][-]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cap[e92121]-8[-][-]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[ffed00]regain[546ef2]+2[-][-]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[ffed00]regain[546ef2]+3[-][-]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[ffed00]regain[e92121]-2[-][-]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[ffed00]regain[e92121]-3[-][-]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[ffed00]damage[546ef2]+10[-][-]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[ffed00]damage[e92121]-10[-][-]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30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10</v>
      </c>
      <c r="F7" t="str">
        <f>ToResult(裝備!F7)</f>
        <v>20</v>
      </c>
      <c r="G7" t="str">
        <f>ToResult(裝備!G7)</f>
        <v>0.2</v>
      </c>
      <c r="H7" t="str">
        <f>ToResult(裝備!H7)</f>
        <v>0.5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40</v>
      </c>
      <c r="G8" t="str">
        <f>ToResult(裝備!G8)</f>
        <v>0.35</v>
      </c>
      <c r="H8" t="str">
        <f>ToResult(裝備!H8)</f>
        <v>1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8" t="str">
        <f>特性!B1</f>
        <v>StrID</v>
      </c>
      <c r="C1" s="28" t="str">
        <f>特性!C1</f>
        <v>Mode</v>
      </c>
      <c r="D1" s="28" t="str">
        <f>特性!D1</f>
        <v>Threat</v>
      </c>
      <c r="E1" s="28" t="str">
        <f>特性!E1</f>
        <v>Gain</v>
      </c>
      <c r="F1" s="28" t="str">
        <f>特性!F1</f>
        <v>Group</v>
      </c>
      <c r="G1" s="28" t="str">
        <f>特性!G1</f>
        <v>Value</v>
      </c>
      <c r="H1" s="28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8" t="str">
        <f>怪物!B1</f>
        <v>Mode</v>
      </c>
      <c r="C1" s="28" t="str">
        <f>怪物!C1</f>
        <v>Threat</v>
      </c>
      <c r="D1" s="28" t="str">
        <f>怪物!D1</f>
        <v>StageID</v>
      </c>
      <c r="E1" s="28" t="str">
        <f>怪物!E1</f>
        <v>Enegry</v>
      </c>
      <c r="F1" s="28" t="str">
        <f>怪物!F1</f>
        <v>HP</v>
      </c>
      <c r="G1" s="28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6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6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6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>2001</v>
      </c>
      <c r="B33" t="str">
        <f>ToMonsterMode(怪物!B33)</f>
        <v>1</v>
      </c>
      <c r="C33" t="str">
        <f>ToResult(怪物!C33)</f>
        <v>5</v>
      </c>
      <c r="D33" t="str">
        <f>ToResult(怪物!D33)</f>
        <v>9999</v>
      </c>
      <c r="E33" t="str">
        <f>ToResult(怪物!E33)</f>
        <v>9999</v>
      </c>
      <c r="F33" t="str">
        <f>ToResult(怪物!F33)</f>
        <v>30</v>
      </c>
      <c r="G33" t="str">
        <f>ToResult(怪物!G33)</f>
        <v>0.28</v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8" t="str">
        <f>成就!A1</f>
        <v>GUID</v>
      </c>
      <c r="B1" s="28" t="str">
        <f>成就!B1</f>
        <v>Name</v>
      </c>
      <c r="C1" s="46" t="str">
        <f>成就!C1</f>
        <v>MaxLevel</v>
      </c>
      <c r="D1" s="28" t="str">
        <f>成就!D1</f>
        <v>Lv1Value</v>
      </c>
      <c r="E1" s="28" t="str">
        <f>成就!E1</f>
        <v>Lv2Value</v>
      </c>
      <c r="F1" s="28" t="str">
        <f>成就!F1</f>
        <v>Lv3Value</v>
      </c>
      <c r="G1" s="28" t="str">
        <f>成就!G1</f>
        <v>Lv4Value</v>
      </c>
      <c r="H1" s="40" t="str">
        <f>成就!H1</f>
        <v>Lv5Value</v>
      </c>
      <c r="I1" s="40" t="str">
        <f>成就!I1</f>
        <v>Lv6Value</v>
      </c>
      <c r="J1" s="40" t="str">
        <f>成就!J1</f>
        <v>Lv1Reward</v>
      </c>
      <c r="K1" s="40" t="str">
        <f>成就!K1</f>
        <v>Lv2Reward</v>
      </c>
      <c r="L1" s="40" t="str">
        <f>成就!L1</f>
        <v>Lv3Reward</v>
      </c>
      <c r="M1" s="40" t="str">
        <f>成就!M1</f>
        <v>Lv4Reward</v>
      </c>
      <c r="N1" s="40" t="str">
        <f>成就!N1</f>
        <v>Lv5Reward</v>
      </c>
      <c r="O1" s="40" t="str">
        <f>成就!O1</f>
        <v>Lv6Reward</v>
      </c>
      <c r="P1" s="40"/>
      <c r="Q1" s="40"/>
    </row>
    <row r="2" spans="1:17">
      <c r="A2" t="str">
        <f>ToAchievement(成就!A2)</f>
        <v>1</v>
      </c>
      <c r="B2" t="str">
        <f>ToResult(成就!B2)</f>
        <v>0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0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0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0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0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0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0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0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0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0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G100"/>
  <sheetViews>
    <sheetView workbookViewId="0">
      <selection activeCell="B1" sqref="B1:B1048576"/>
    </sheetView>
  </sheetViews>
  <sheetFormatPr defaultRowHeight="16.5"/>
  <cols>
    <col min="1" max="7" width="15.625" style="56" customWidth="1"/>
  </cols>
  <sheetData>
    <row r="1" spans="1:7" s="37" customFormat="1">
      <c r="A1" s="55" t="str">
        <f>收集!A1</f>
        <v>GUID</v>
      </c>
      <c r="B1" s="55" t="str">
        <f>收集!B1</f>
        <v>Lv1Reward</v>
      </c>
      <c r="C1" s="55" t="str">
        <f>收集!C1</f>
        <v>Lv2Reward</v>
      </c>
      <c r="D1" s="55" t="str">
        <f>收集!D1</f>
        <v>Lv3Reward</v>
      </c>
      <c r="E1" s="55" t="str">
        <f>收集!E1</f>
        <v>Lv4Reward</v>
      </c>
      <c r="F1" s="55" t="str">
        <f>收集!F1</f>
        <v>Lv5Reward</v>
      </c>
      <c r="G1" s="55" t="str">
        <f>收集!G1</f>
        <v>Lv6Reward</v>
      </c>
    </row>
    <row r="2" spans="1:7">
      <c r="A2" s="56" t="str">
        <f>ToResult(收集!A2)</f>
        <v>1</v>
      </c>
      <c r="B2" s="56" t="str">
        <f>ToResult(收集!B2)</f>
        <v>600</v>
      </c>
      <c r="C2" s="56" t="str">
        <f>ToResult(收集!C2)</f>
        <v>600</v>
      </c>
      <c r="D2" s="56" t="str">
        <f>ToResult(收集!D2)</f>
        <v>600</v>
      </c>
      <c r="E2" s="56" t="str">
        <f>ToResult(收集!E2)</f>
        <v>600</v>
      </c>
      <c r="F2" s="56" t="str">
        <f>ToResult(收集!F2)</f>
        <v>600</v>
      </c>
      <c r="G2" s="56" t="str">
        <f>ToResult(收集!G2)</f>
        <v>600</v>
      </c>
    </row>
    <row r="3" spans="1:7">
      <c r="A3" s="56" t="str">
        <f>ToResult(收集!A3)</f>
        <v>2</v>
      </c>
      <c r="B3" s="56" t="str">
        <f>ToResult(收集!B3)</f>
        <v>601</v>
      </c>
      <c r="C3" s="56" t="str">
        <f>ToResult(收集!C3)</f>
        <v>601</v>
      </c>
      <c r="D3" s="56" t="str">
        <f>ToResult(收集!D3)</f>
        <v>601</v>
      </c>
      <c r="E3" s="56" t="str">
        <f>ToResult(收集!E3)</f>
        <v>601</v>
      </c>
      <c r="F3" s="56" t="str">
        <f>ToResult(收集!F3)</f>
        <v>601</v>
      </c>
      <c r="G3" s="56" t="str">
        <f>ToResult(收集!G3)</f>
        <v>601</v>
      </c>
    </row>
    <row r="4" spans="1:7">
      <c r="A4" s="56" t="str">
        <f>ToResult(收集!A4)</f>
        <v>3</v>
      </c>
      <c r="B4" s="56" t="str">
        <f>ToResult(收集!B4)</f>
        <v>602</v>
      </c>
      <c r="C4" s="56" t="str">
        <f>ToResult(收集!C4)</f>
        <v>602</v>
      </c>
      <c r="D4" s="56" t="str">
        <f>ToResult(收集!D4)</f>
        <v>602</v>
      </c>
      <c r="E4" s="56" t="str">
        <f>ToResult(收集!E4)</f>
        <v>602</v>
      </c>
      <c r="F4" s="56" t="str">
        <f>ToResult(收集!F4)</f>
        <v>602</v>
      </c>
      <c r="G4" s="56" t="str">
        <f>ToResult(收集!G4)</f>
        <v>602</v>
      </c>
    </row>
    <row r="5" spans="1:7">
      <c r="A5" s="56" t="str">
        <f>ToResult(收集!A5)</f>
        <v>4</v>
      </c>
      <c r="B5" s="56" t="str">
        <f>ToResult(收集!B5)</f>
        <v>603</v>
      </c>
      <c r="C5" s="56" t="str">
        <f>ToResult(收集!C5)</f>
        <v>603</v>
      </c>
      <c r="D5" s="56" t="str">
        <f>ToResult(收集!D5)</f>
        <v>603</v>
      </c>
      <c r="E5" s="56" t="str">
        <f>ToResult(收集!E5)</f>
        <v>603</v>
      </c>
      <c r="F5" s="56" t="str">
        <f>ToResult(收集!F5)</f>
        <v>603</v>
      </c>
      <c r="G5" s="56" t="str">
        <f>ToResult(收集!G5)</f>
        <v>603</v>
      </c>
    </row>
    <row r="6" spans="1:7">
      <c r="A6" s="56" t="str">
        <f>ToResult(收集!A6)</f>
        <v>5</v>
      </c>
      <c r="B6" s="56" t="str">
        <f>ToResult(收集!B6)</f>
        <v>604</v>
      </c>
      <c r="C6" s="56" t="str">
        <f>ToResult(收集!C6)</f>
        <v>604</v>
      </c>
      <c r="D6" s="56" t="str">
        <f>ToResult(收集!D6)</f>
        <v>604</v>
      </c>
      <c r="E6" s="56" t="str">
        <f>ToResult(收集!E6)</f>
        <v>604</v>
      </c>
      <c r="F6" s="56" t="str">
        <f>ToResult(收集!F6)</f>
        <v>604</v>
      </c>
      <c r="G6" s="56" t="str">
        <f>ToResult(收集!G6)</f>
        <v>604</v>
      </c>
    </row>
    <row r="7" spans="1:7">
      <c r="A7" s="56" t="str">
        <f>ToResult(收集!A7)</f>
        <v>6</v>
      </c>
      <c r="B7" s="56" t="str">
        <f>ToResult(收集!B7)</f>
        <v>605</v>
      </c>
      <c r="C7" s="56" t="str">
        <f>ToResult(收集!C7)</f>
        <v>605</v>
      </c>
      <c r="D7" s="56" t="str">
        <f>ToResult(收集!D7)</f>
        <v>605</v>
      </c>
      <c r="E7" s="56" t="str">
        <f>ToResult(收集!E7)</f>
        <v>605</v>
      </c>
      <c r="F7" s="56" t="str">
        <f>ToResult(收集!F7)</f>
        <v>605</v>
      </c>
      <c r="G7" s="56" t="str">
        <f>ToResult(收集!G7)</f>
        <v>605</v>
      </c>
    </row>
    <row r="8" spans="1:7">
      <c r="A8" s="56" t="str">
        <f>ToResult(收集!A8)</f>
        <v>7</v>
      </c>
      <c r="B8" s="56" t="str">
        <f>ToResult(收集!B8)</f>
        <v>606</v>
      </c>
      <c r="C8" s="56" t="str">
        <f>ToResult(收集!C8)</f>
        <v>606</v>
      </c>
      <c r="D8" s="56" t="str">
        <f>ToResult(收集!D8)</f>
        <v>606</v>
      </c>
      <c r="E8" s="56" t="str">
        <f>ToResult(收集!E8)</f>
        <v>606</v>
      </c>
      <c r="F8" s="56" t="str">
        <f>ToResult(收集!F8)</f>
        <v>606</v>
      </c>
      <c r="G8" s="56" t="str">
        <f>ToResult(收集!G8)</f>
        <v>606</v>
      </c>
    </row>
    <row r="9" spans="1:7">
      <c r="A9" s="56" t="str">
        <f>ToResult(收集!A9)</f>
        <v>8</v>
      </c>
      <c r="B9" s="56" t="str">
        <f>ToResult(收集!B9)</f>
        <v>607</v>
      </c>
      <c r="C9" s="56" t="str">
        <f>ToResult(收集!C9)</f>
        <v>607</v>
      </c>
      <c r="D9" s="56" t="str">
        <f>ToResult(收集!D9)</f>
        <v>607</v>
      </c>
      <c r="E9" s="56" t="str">
        <f>ToResult(收集!E9)</f>
        <v>607</v>
      </c>
      <c r="F9" s="56" t="str">
        <f>ToResult(收集!F9)</f>
        <v>607</v>
      </c>
      <c r="G9" s="56" t="str">
        <f>ToResult(收集!G9)</f>
        <v>607</v>
      </c>
    </row>
    <row r="10" spans="1:7">
      <c r="A10" s="56" t="str">
        <f>ToResult(收集!A10)</f>
        <v/>
      </c>
      <c r="B10" s="56" t="str">
        <f>ToResult(收集!B10)</f>
        <v/>
      </c>
      <c r="C10" s="56" t="str">
        <f>ToResult(收集!C10)</f>
        <v/>
      </c>
      <c r="D10" s="56" t="str">
        <f>ToResult(收集!D10)</f>
        <v/>
      </c>
      <c r="E10" s="56" t="str">
        <f>ToResult(收集!E10)</f>
        <v/>
      </c>
      <c r="F10" s="56" t="str">
        <f>ToResult(收集!F10)</f>
        <v/>
      </c>
      <c r="G10" s="56" t="str">
        <f>ToResult(收集!G10)</f>
        <v/>
      </c>
    </row>
    <row r="11" spans="1:7">
      <c r="A11" s="56" t="str">
        <f>ToResult(收集!A11)</f>
        <v/>
      </c>
      <c r="B11" s="56" t="str">
        <f>ToResult(收集!B11)</f>
        <v/>
      </c>
      <c r="C11" s="56" t="str">
        <f>ToResult(收集!C11)</f>
        <v/>
      </c>
      <c r="D11" s="56" t="str">
        <f>ToResult(收集!D11)</f>
        <v/>
      </c>
      <c r="E11" s="56" t="str">
        <f>ToResult(收集!E11)</f>
        <v/>
      </c>
      <c r="F11" s="56" t="str">
        <f>ToResult(收集!F11)</f>
        <v/>
      </c>
      <c r="G11" s="56" t="str">
        <f>ToResult(收集!G11)</f>
        <v/>
      </c>
    </row>
    <row r="12" spans="1:7">
      <c r="A12" s="56" t="str">
        <f>ToResult(收集!A12)</f>
        <v/>
      </c>
      <c r="B12" s="56" t="str">
        <f>ToResult(收集!B12)</f>
        <v/>
      </c>
      <c r="C12" s="56" t="str">
        <f>ToResult(收集!C12)</f>
        <v/>
      </c>
      <c r="D12" s="56" t="str">
        <f>ToResult(收集!D12)</f>
        <v/>
      </c>
      <c r="E12" s="56" t="str">
        <f>ToResult(收集!E12)</f>
        <v/>
      </c>
      <c r="F12" s="56" t="str">
        <f>ToResult(收集!F12)</f>
        <v/>
      </c>
      <c r="G12" s="56" t="str">
        <f>ToResult(收集!G12)</f>
        <v/>
      </c>
    </row>
    <row r="13" spans="1:7">
      <c r="A13" s="56" t="str">
        <f>ToResult(收集!A13)</f>
        <v/>
      </c>
      <c r="B13" s="56" t="str">
        <f>ToResult(收集!B13)</f>
        <v/>
      </c>
      <c r="C13" s="56" t="str">
        <f>ToResult(收集!C13)</f>
        <v/>
      </c>
      <c r="D13" s="56" t="str">
        <f>ToResult(收集!D13)</f>
        <v/>
      </c>
      <c r="E13" s="56" t="str">
        <f>ToResult(收集!E13)</f>
        <v/>
      </c>
      <c r="F13" s="56" t="str">
        <f>ToResult(收集!F13)</f>
        <v/>
      </c>
      <c r="G13" s="56" t="str">
        <f>ToResult(收集!G13)</f>
        <v/>
      </c>
    </row>
    <row r="14" spans="1:7">
      <c r="A14" s="56" t="str">
        <f>ToResult(收集!A14)</f>
        <v/>
      </c>
      <c r="B14" s="56" t="str">
        <f>ToResult(收集!B14)</f>
        <v/>
      </c>
      <c r="C14" s="56" t="str">
        <f>ToResult(收集!C14)</f>
        <v/>
      </c>
      <c r="D14" s="56" t="str">
        <f>ToResult(收集!D14)</f>
        <v/>
      </c>
      <c r="E14" s="56" t="str">
        <f>ToResult(收集!E14)</f>
        <v/>
      </c>
      <c r="F14" s="56" t="str">
        <f>ToResult(收集!F14)</f>
        <v/>
      </c>
      <c r="G14" s="56" t="str">
        <f>ToResult(收集!G14)</f>
        <v/>
      </c>
    </row>
    <row r="15" spans="1:7">
      <c r="A15" s="56" t="str">
        <f>ToResult(收集!A15)</f>
        <v/>
      </c>
      <c r="B15" s="56" t="str">
        <f>ToResult(收集!B15)</f>
        <v/>
      </c>
      <c r="C15" s="56" t="str">
        <f>ToResult(收集!C15)</f>
        <v/>
      </c>
      <c r="D15" s="56" t="str">
        <f>ToResult(收集!D15)</f>
        <v/>
      </c>
      <c r="E15" s="56" t="str">
        <f>ToResult(收集!E15)</f>
        <v/>
      </c>
      <c r="F15" s="56" t="str">
        <f>ToResult(收集!F15)</f>
        <v/>
      </c>
      <c r="G15" s="56" t="str">
        <f>ToResult(收集!G15)</f>
        <v/>
      </c>
    </row>
    <row r="16" spans="1:7">
      <c r="A16" s="56" t="str">
        <f>ToResult(收集!A16)</f>
        <v/>
      </c>
      <c r="B16" s="56" t="str">
        <f>ToResult(收集!B16)</f>
        <v/>
      </c>
      <c r="C16" s="56" t="str">
        <f>ToResult(收集!C16)</f>
        <v/>
      </c>
      <c r="D16" s="56" t="str">
        <f>ToResult(收集!D16)</f>
        <v/>
      </c>
      <c r="E16" s="56" t="str">
        <f>ToResult(收集!E16)</f>
        <v/>
      </c>
      <c r="F16" s="56" t="str">
        <f>ToResult(收集!F16)</f>
        <v/>
      </c>
      <c r="G16" s="56" t="str">
        <f>ToResult(收集!G16)</f>
        <v/>
      </c>
    </row>
    <row r="17" spans="1:7">
      <c r="A17" s="56" t="str">
        <f>ToResult(收集!A17)</f>
        <v/>
      </c>
      <c r="B17" s="56" t="str">
        <f>ToResult(收集!B17)</f>
        <v/>
      </c>
      <c r="C17" s="56" t="str">
        <f>ToResult(收集!C17)</f>
        <v/>
      </c>
      <c r="D17" s="56" t="str">
        <f>ToResult(收集!D17)</f>
        <v/>
      </c>
      <c r="E17" s="56" t="str">
        <f>ToResult(收集!E17)</f>
        <v/>
      </c>
      <c r="F17" s="56" t="str">
        <f>ToResult(收集!F17)</f>
        <v/>
      </c>
      <c r="G17" s="56" t="str">
        <f>ToResult(收集!G17)</f>
        <v/>
      </c>
    </row>
    <row r="18" spans="1:7">
      <c r="A18" s="56" t="str">
        <f>ToResult(收集!A18)</f>
        <v/>
      </c>
      <c r="B18" s="56" t="str">
        <f>ToResult(收集!B18)</f>
        <v/>
      </c>
      <c r="C18" s="56" t="str">
        <f>ToResult(收集!C18)</f>
        <v/>
      </c>
      <c r="D18" s="56" t="str">
        <f>ToResult(收集!D18)</f>
        <v/>
      </c>
      <c r="E18" s="56" t="str">
        <f>ToResult(收集!E18)</f>
        <v/>
      </c>
      <c r="F18" s="56" t="str">
        <f>ToResult(收集!F18)</f>
        <v/>
      </c>
      <c r="G18" s="56" t="str">
        <f>ToResult(收集!G18)</f>
        <v/>
      </c>
    </row>
    <row r="19" spans="1:7">
      <c r="A19" s="56" t="str">
        <f>ToResult(收集!A19)</f>
        <v/>
      </c>
      <c r="B19" s="56" t="str">
        <f>ToResult(收集!B19)</f>
        <v/>
      </c>
      <c r="C19" s="56" t="str">
        <f>ToResult(收集!C19)</f>
        <v/>
      </c>
      <c r="D19" s="56" t="str">
        <f>ToResult(收集!D19)</f>
        <v/>
      </c>
      <c r="E19" s="56" t="str">
        <f>ToResult(收集!E19)</f>
        <v/>
      </c>
      <c r="F19" s="56" t="str">
        <f>ToResult(收集!F19)</f>
        <v/>
      </c>
      <c r="G19" s="56" t="str">
        <f>ToResult(收集!G19)</f>
        <v/>
      </c>
    </row>
    <row r="20" spans="1:7">
      <c r="A20" s="56" t="str">
        <f>ToResult(收集!A20)</f>
        <v/>
      </c>
      <c r="B20" s="56" t="str">
        <f>ToResult(收集!B20)</f>
        <v/>
      </c>
      <c r="C20" s="56" t="str">
        <f>ToResult(收集!C20)</f>
        <v/>
      </c>
      <c r="D20" s="56" t="str">
        <f>ToResult(收集!D20)</f>
        <v/>
      </c>
      <c r="E20" s="56" t="str">
        <f>ToResult(收集!E20)</f>
        <v/>
      </c>
      <c r="F20" s="56" t="str">
        <f>ToResult(收集!F20)</f>
        <v/>
      </c>
      <c r="G20" s="56" t="str">
        <f>ToResult(收集!G20)</f>
        <v/>
      </c>
    </row>
    <row r="21" spans="1:7">
      <c r="A21" s="56" t="str">
        <f>ToResult(收集!A21)</f>
        <v/>
      </c>
      <c r="B21" s="56" t="str">
        <f>ToResult(收集!B21)</f>
        <v/>
      </c>
      <c r="C21" s="56" t="str">
        <f>ToResult(收集!C21)</f>
        <v/>
      </c>
      <c r="D21" s="56" t="str">
        <f>ToResult(收集!D21)</f>
        <v/>
      </c>
      <c r="E21" s="56" t="str">
        <f>ToResult(收集!E21)</f>
        <v/>
      </c>
      <c r="F21" s="56" t="str">
        <f>ToResult(收集!F21)</f>
        <v/>
      </c>
      <c r="G21" s="56" t="str">
        <f>ToResult(收集!G21)</f>
        <v/>
      </c>
    </row>
    <row r="22" spans="1:7">
      <c r="A22" s="56" t="str">
        <f>ToResult(收集!A22)</f>
        <v/>
      </c>
      <c r="B22" s="56" t="str">
        <f>ToResult(收集!B22)</f>
        <v/>
      </c>
      <c r="C22" s="56" t="str">
        <f>ToResult(收集!C22)</f>
        <v/>
      </c>
      <c r="D22" s="56" t="str">
        <f>ToResult(收集!D22)</f>
        <v/>
      </c>
      <c r="E22" s="56" t="str">
        <f>ToResult(收集!E22)</f>
        <v/>
      </c>
      <c r="F22" s="56" t="str">
        <f>ToResult(收集!F22)</f>
        <v/>
      </c>
      <c r="G22" s="56" t="str">
        <f>ToResult(收集!G22)</f>
        <v/>
      </c>
    </row>
    <row r="23" spans="1:7">
      <c r="A23" s="56" t="str">
        <f>ToResult(收集!A23)</f>
        <v/>
      </c>
      <c r="B23" s="56" t="str">
        <f>ToResult(收集!B23)</f>
        <v/>
      </c>
      <c r="C23" s="56" t="str">
        <f>ToResult(收集!C23)</f>
        <v/>
      </c>
      <c r="D23" s="56" t="str">
        <f>ToResult(收集!D23)</f>
        <v/>
      </c>
      <c r="E23" s="56" t="str">
        <f>ToResult(收集!E23)</f>
        <v/>
      </c>
      <c r="F23" s="56" t="str">
        <f>ToResult(收集!F23)</f>
        <v/>
      </c>
      <c r="G23" s="56" t="str">
        <f>ToResult(收集!G23)</f>
        <v/>
      </c>
    </row>
    <row r="24" spans="1:7">
      <c r="A24" s="56" t="str">
        <f>ToResult(收集!A24)</f>
        <v/>
      </c>
      <c r="B24" s="56" t="str">
        <f>ToResult(收集!B24)</f>
        <v/>
      </c>
      <c r="C24" s="56" t="str">
        <f>ToResult(收集!C24)</f>
        <v/>
      </c>
      <c r="D24" s="56" t="str">
        <f>ToResult(收集!D24)</f>
        <v/>
      </c>
      <c r="E24" s="56" t="str">
        <f>ToResult(收集!E24)</f>
        <v/>
      </c>
      <c r="F24" s="56" t="str">
        <f>ToResult(收集!F24)</f>
        <v/>
      </c>
      <c r="G24" s="56" t="str">
        <f>ToResult(收集!G24)</f>
        <v/>
      </c>
    </row>
    <row r="25" spans="1:7">
      <c r="A25" s="56" t="str">
        <f>ToResult(收集!A25)</f>
        <v/>
      </c>
      <c r="B25" s="56" t="str">
        <f>ToResult(收集!B25)</f>
        <v/>
      </c>
      <c r="C25" s="56" t="str">
        <f>ToResult(收集!C25)</f>
        <v/>
      </c>
      <c r="D25" s="56" t="str">
        <f>ToResult(收集!D25)</f>
        <v/>
      </c>
      <c r="E25" s="56" t="str">
        <f>ToResult(收集!E25)</f>
        <v/>
      </c>
      <c r="F25" s="56" t="str">
        <f>ToResult(收集!F25)</f>
        <v/>
      </c>
      <c r="G25" s="56" t="str">
        <f>ToResult(收集!G25)</f>
        <v/>
      </c>
    </row>
    <row r="26" spans="1:7">
      <c r="A26" s="56" t="str">
        <f>ToResult(收集!A26)</f>
        <v/>
      </c>
      <c r="B26" s="56" t="str">
        <f>ToResult(收集!B26)</f>
        <v/>
      </c>
      <c r="C26" s="56" t="str">
        <f>ToResult(收集!C26)</f>
        <v/>
      </c>
      <c r="D26" s="56" t="str">
        <f>ToResult(收集!D26)</f>
        <v/>
      </c>
      <c r="E26" s="56" t="str">
        <f>ToResult(收集!E26)</f>
        <v/>
      </c>
      <c r="F26" s="56" t="str">
        <f>ToResult(收集!F26)</f>
        <v/>
      </c>
      <c r="G26" s="56" t="str">
        <f>ToResult(收集!G26)</f>
        <v/>
      </c>
    </row>
    <row r="27" spans="1:7">
      <c r="A27" s="56" t="str">
        <f>ToResult(收集!A27)</f>
        <v/>
      </c>
      <c r="B27" s="56" t="str">
        <f>ToResult(收集!B27)</f>
        <v/>
      </c>
      <c r="C27" s="56" t="str">
        <f>ToResult(收集!C27)</f>
        <v/>
      </c>
      <c r="D27" s="56" t="str">
        <f>ToResult(收集!D27)</f>
        <v/>
      </c>
      <c r="E27" s="56" t="str">
        <f>ToResult(收集!E27)</f>
        <v/>
      </c>
      <c r="F27" s="56" t="str">
        <f>ToResult(收集!F27)</f>
        <v/>
      </c>
      <c r="G27" s="56" t="str">
        <f>ToResult(收集!G27)</f>
        <v/>
      </c>
    </row>
    <row r="28" spans="1:7">
      <c r="A28" s="56" t="str">
        <f>ToResult(收集!A28)</f>
        <v/>
      </c>
      <c r="B28" s="56" t="str">
        <f>ToResult(收集!B28)</f>
        <v/>
      </c>
      <c r="C28" s="56" t="str">
        <f>ToResult(收集!C28)</f>
        <v/>
      </c>
      <c r="D28" s="56" t="str">
        <f>ToResult(收集!D28)</f>
        <v/>
      </c>
      <c r="E28" s="56" t="str">
        <f>ToResult(收集!E28)</f>
        <v/>
      </c>
      <c r="F28" s="56" t="str">
        <f>ToResult(收集!F28)</f>
        <v/>
      </c>
      <c r="G28" s="56" t="str">
        <f>ToResult(收集!G28)</f>
        <v/>
      </c>
    </row>
    <row r="29" spans="1:7">
      <c r="A29" s="56" t="str">
        <f>ToResult(收集!A29)</f>
        <v/>
      </c>
      <c r="B29" s="56" t="str">
        <f>ToResult(收集!B29)</f>
        <v/>
      </c>
      <c r="C29" s="56" t="str">
        <f>ToResult(收集!C29)</f>
        <v/>
      </c>
      <c r="D29" s="56" t="str">
        <f>ToResult(收集!D29)</f>
        <v/>
      </c>
      <c r="E29" s="56" t="str">
        <f>ToResult(收集!E29)</f>
        <v/>
      </c>
      <c r="F29" s="56" t="str">
        <f>ToResult(收集!F29)</f>
        <v/>
      </c>
      <c r="G29" s="56" t="str">
        <f>ToResult(收集!G29)</f>
        <v/>
      </c>
    </row>
    <row r="30" spans="1:7">
      <c r="A30" s="56" t="str">
        <f>ToResult(收集!A30)</f>
        <v/>
      </c>
      <c r="B30" s="56" t="str">
        <f>ToResult(收集!B30)</f>
        <v/>
      </c>
      <c r="C30" s="56" t="str">
        <f>ToResult(收集!C30)</f>
        <v/>
      </c>
      <c r="D30" s="56" t="str">
        <f>ToResult(收集!D30)</f>
        <v/>
      </c>
      <c r="E30" s="56" t="str">
        <f>ToResult(收集!E30)</f>
        <v/>
      </c>
      <c r="F30" s="56" t="str">
        <f>ToResult(收集!F30)</f>
        <v/>
      </c>
      <c r="G30" s="56" t="str">
        <f>ToResult(收集!G30)</f>
        <v/>
      </c>
    </row>
    <row r="31" spans="1:7">
      <c r="A31" s="56" t="str">
        <f>ToResult(收集!A31)</f>
        <v/>
      </c>
      <c r="B31" s="56" t="str">
        <f>ToResult(收集!B31)</f>
        <v/>
      </c>
      <c r="C31" s="56" t="str">
        <f>ToResult(收集!C31)</f>
        <v/>
      </c>
      <c r="D31" s="56" t="str">
        <f>ToResult(收集!D31)</f>
        <v/>
      </c>
      <c r="E31" s="56" t="str">
        <f>ToResult(收集!E31)</f>
        <v/>
      </c>
      <c r="F31" s="56" t="str">
        <f>ToResult(收集!F31)</f>
        <v/>
      </c>
      <c r="G31" s="56" t="str">
        <f>ToResult(收集!G31)</f>
        <v/>
      </c>
    </row>
    <row r="32" spans="1:7">
      <c r="A32" s="56" t="str">
        <f>ToResult(收集!A32)</f>
        <v/>
      </c>
      <c r="B32" s="56" t="str">
        <f>ToResult(收集!B32)</f>
        <v/>
      </c>
      <c r="C32" s="56" t="str">
        <f>ToResult(收集!C32)</f>
        <v/>
      </c>
      <c r="D32" s="56" t="str">
        <f>ToResult(收集!D32)</f>
        <v/>
      </c>
      <c r="E32" s="56" t="str">
        <f>ToResult(收集!E32)</f>
        <v/>
      </c>
      <c r="F32" s="56" t="str">
        <f>ToResult(收集!F32)</f>
        <v/>
      </c>
      <c r="G32" s="56" t="str">
        <f>ToResult(收集!G32)</f>
        <v/>
      </c>
    </row>
    <row r="33" spans="1:7">
      <c r="A33" s="56" t="str">
        <f>ToResult(收集!A33)</f>
        <v/>
      </c>
      <c r="B33" s="56" t="str">
        <f>ToResult(收集!B33)</f>
        <v/>
      </c>
      <c r="C33" s="56" t="str">
        <f>ToResult(收集!C33)</f>
        <v/>
      </c>
      <c r="D33" s="56" t="str">
        <f>ToResult(收集!D33)</f>
        <v/>
      </c>
      <c r="E33" s="56" t="str">
        <f>ToResult(收集!E33)</f>
        <v/>
      </c>
      <c r="F33" s="56" t="str">
        <f>ToResult(收集!F33)</f>
        <v/>
      </c>
      <c r="G33" s="56" t="str">
        <f>ToResult(收集!G33)</f>
        <v/>
      </c>
    </row>
    <row r="34" spans="1:7">
      <c r="A34" s="56" t="str">
        <f>ToResult(收集!A34)</f>
        <v/>
      </c>
      <c r="B34" s="56" t="str">
        <f>ToResult(收集!B34)</f>
        <v/>
      </c>
      <c r="C34" s="56" t="str">
        <f>ToResult(收集!C34)</f>
        <v/>
      </c>
      <c r="D34" s="56" t="str">
        <f>ToResult(收集!D34)</f>
        <v/>
      </c>
      <c r="E34" s="56" t="str">
        <f>ToResult(收集!E34)</f>
        <v/>
      </c>
      <c r="F34" s="56" t="str">
        <f>ToResult(收集!F34)</f>
        <v/>
      </c>
      <c r="G34" s="56" t="str">
        <f>ToResult(收集!G34)</f>
        <v/>
      </c>
    </row>
    <row r="35" spans="1:7">
      <c r="A35" s="56" t="str">
        <f>ToResult(收集!A35)</f>
        <v/>
      </c>
      <c r="B35" s="56" t="str">
        <f>ToResult(收集!B35)</f>
        <v/>
      </c>
      <c r="C35" s="56" t="str">
        <f>ToResult(收集!C35)</f>
        <v/>
      </c>
      <c r="D35" s="56" t="str">
        <f>ToResult(收集!D35)</f>
        <v/>
      </c>
      <c r="E35" s="56" t="str">
        <f>ToResult(收集!E35)</f>
        <v/>
      </c>
      <c r="F35" s="56" t="str">
        <f>ToResult(收集!F35)</f>
        <v/>
      </c>
      <c r="G35" s="56" t="str">
        <f>ToResult(收集!G35)</f>
        <v/>
      </c>
    </row>
    <row r="36" spans="1:7">
      <c r="A36" s="56" t="str">
        <f>ToResult(收集!A36)</f>
        <v/>
      </c>
      <c r="B36" s="56" t="str">
        <f>ToResult(收集!B36)</f>
        <v/>
      </c>
      <c r="C36" s="56" t="str">
        <f>ToResult(收集!C36)</f>
        <v/>
      </c>
      <c r="D36" s="56" t="str">
        <f>ToResult(收集!D36)</f>
        <v/>
      </c>
      <c r="E36" s="56" t="str">
        <f>ToResult(收集!E36)</f>
        <v/>
      </c>
      <c r="F36" s="56" t="str">
        <f>ToResult(收集!F36)</f>
        <v/>
      </c>
      <c r="G36" s="56" t="str">
        <f>ToResult(收集!G36)</f>
        <v/>
      </c>
    </row>
    <row r="37" spans="1:7">
      <c r="A37" s="56" t="str">
        <f>ToResult(收集!A37)</f>
        <v/>
      </c>
      <c r="B37" s="56" t="str">
        <f>ToResult(收集!B37)</f>
        <v/>
      </c>
      <c r="C37" s="56" t="str">
        <f>ToResult(收集!C37)</f>
        <v/>
      </c>
      <c r="D37" s="56" t="str">
        <f>ToResult(收集!D37)</f>
        <v/>
      </c>
      <c r="E37" s="56" t="str">
        <f>ToResult(收集!E37)</f>
        <v/>
      </c>
      <c r="F37" s="56" t="str">
        <f>ToResult(收集!F37)</f>
        <v/>
      </c>
      <c r="G37" s="56" t="str">
        <f>ToResult(收集!G37)</f>
        <v/>
      </c>
    </row>
    <row r="38" spans="1:7">
      <c r="A38" s="56" t="str">
        <f>ToResult(收集!A38)</f>
        <v/>
      </c>
      <c r="B38" s="56" t="str">
        <f>ToResult(收集!B38)</f>
        <v/>
      </c>
      <c r="C38" s="56" t="str">
        <f>ToResult(收集!C38)</f>
        <v/>
      </c>
      <c r="D38" s="56" t="str">
        <f>ToResult(收集!D38)</f>
        <v/>
      </c>
      <c r="E38" s="56" t="str">
        <f>ToResult(收集!E38)</f>
        <v/>
      </c>
      <c r="F38" s="56" t="str">
        <f>ToResult(收集!F38)</f>
        <v/>
      </c>
      <c r="G38" s="56" t="str">
        <f>ToResult(收集!G38)</f>
        <v/>
      </c>
    </row>
    <row r="39" spans="1:7">
      <c r="A39" s="56" t="str">
        <f>ToResult(收集!A39)</f>
        <v/>
      </c>
      <c r="B39" s="56" t="str">
        <f>ToResult(收集!B39)</f>
        <v/>
      </c>
      <c r="C39" s="56" t="str">
        <f>ToResult(收集!C39)</f>
        <v/>
      </c>
      <c r="D39" s="56" t="str">
        <f>ToResult(收集!D39)</f>
        <v/>
      </c>
      <c r="E39" s="56" t="str">
        <f>ToResult(收集!E39)</f>
        <v/>
      </c>
      <c r="F39" s="56" t="str">
        <f>ToResult(收集!F39)</f>
        <v/>
      </c>
      <c r="G39" s="56" t="str">
        <f>ToResult(收集!G39)</f>
        <v/>
      </c>
    </row>
    <row r="40" spans="1:7">
      <c r="A40" s="56" t="str">
        <f>ToResult(收集!A40)</f>
        <v/>
      </c>
      <c r="B40" s="56" t="str">
        <f>ToResult(收集!B40)</f>
        <v/>
      </c>
      <c r="C40" s="56" t="str">
        <f>ToResult(收集!C40)</f>
        <v/>
      </c>
      <c r="D40" s="56" t="str">
        <f>ToResult(收集!D40)</f>
        <v/>
      </c>
      <c r="E40" s="56" t="str">
        <f>ToResult(收集!E40)</f>
        <v/>
      </c>
      <c r="F40" s="56" t="str">
        <f>ToResult(收集!F40)</f>
        <v/>
      </c>
      <c r="G40" s="56" t="str">
        <f>ToResult(收集!G40)</f>
        <v/>
      </c>
    </row>
    <row r="41" spans="1:7">
      <c r="A41" s="56" t="str">
        <f>ToResult(收集!A41)</f>
        <v/>
      </c>
      <c r="B41" s="56" t="str">
        <f>ToResult(收集!B41)</f>
        <v/>
      </c>
      <c r="C41" s="56" t="str">
        <f>ToResult(收集!C41)</f>
        <v/>
      </c>
      <c r="D41" s="56" t="str">
        <f>ToResult(收集!D41)</f>
        <v/>
      </c>
      <c r="E41" s="56" t="str">
        <f>ToResult(收集!E41)</f>
        <v/>
      </c>
      <c r="F41" s="56" t="str">
        <f>ToResult(收集!F41)</f>
        <v/>
      </c>
      <c r="G41" s="56" t="str">
        <f>ToResult(收集!G41)</f>
        <v/>
      </c>
    </row>
    <row r="42" spans="1:7">
      <c r="A42" s="56" t="str">
        <f>ToResult(收集!A42)</f>
        <v/>
      </c>
      <c r="B42" s="56" t="str">
        <f>ToResult(收集!B42)</f>
        <v/>
      </c>
      <c r="C42" s="56" t="str">
        <f>ToResult(收集!C42)</f>
        <v/>
      </c>
      <c r="D42" s="56" t="str">
        <f>ToResult(收集!D42)</f>
        <v/>
      </c>
      <c r="E42" s="56" t="str">
        <f>ToResult(收集!E42)</f>
        <v/>
      </c>
      <c r="F42" s="56" t="str">
        <f>ToResult(收集!F42)</f>
        <v/>
      </c>
      <c r="G42" s="56" t="str">
        <f>ToResult(收集!G42)</f>
        <v/>
      </c>
    </row>
    <row r="43" spans="1:7">
      <c r="A43" s="56" t="str">
        <f>ToResult(收集!A43)</f>
        <v/>
      </c>
      <c r="B43" s="56" t="str">
        <f>ToResult(收集!B43)</f>
        <v/>
      </c>
      <c r="C43" s="56" t="str">
        <f>ToResult(收集!C43)</f>
        <v/>
      </c>
      <c r="D43" s="56" t="str">
        <f>ToResult(收集!D43)</f>
        <v/>
      </c>
      <c r="E43" s="56" t="str">
        <f>ToResult(收集!E43)</f>
        <v/>
      </c>
      <c r="F43" s="56" t="str">
        <f>ToResult(收集!F43)</f>
        <v/>
      </c>
      <c r="G43" s="56" t="str">
        <f>ToResult(收集!G43)</f>
        <v/>
      </c>
    </row>
    <row r="44" spans="1:7">
      <c r="A44" s="56" t="str">
        <f>ToResult(收集!A44)</f>
        <v/>
      </c>
      <c r="B44" s="56" t="str">
        <f>ToResult(收集!B44)</f>
        <v/>
      </c>
      <c r="C44" s="56" t="str">
        <f>ToResult(收集!C44)</f>
        <v/>
      </c>
      <c r="D44" s="56" t="str">
        <f>ToResult(收集!D44)</f>
        <v/>
      </c>
      <c r="E44" s="56" t="str">
        <f>ToResult(收集!E44)</f>
        <v/>
      </c>
      <c r="F44" s="56" t="str">
        <f>ToResult(收集!F44)</f>
        <v/>
      </c>
      <c r="G44" s="56" t="str">
        <f>ToResult(收集!G44)</f>
        <v/>
      </c>
    </row>
    <row r="45" spans="1:7">
      <c r="A45" s="56" t="str">
        <f>ToResult(收集!A45)</f>
        <v/>
      </c>
      <c r="B45" s="56" t="str">
        <f>ToResult(收集!B45)</f>
        <v/>
      </c>
      <c r="C45" s="56" t="str">
        <f>ToResult(收集!C45)</f>
        <v/>
      </c>
      <c r="D45" s="56" t="str">
        <f>ToResult(收集!D45)</f>
        <v/>
      </c>
      <c r="E45" s="56" t="str">
        <f>ToResult(收集!E45)</f>
        <v/>
      </c>
      <c r="F45" s="56" t="str">
        <f>ToResult(收集!F45)</f>
        <v/>
      </c>
      <c r="G45" s="56" t="str">
        <f>ToResult(收集!G45)</f>
        <v/>
      </c>
    </row>
    <row r="46" spans="1:7">
      <c r="A46" s="56" t="str">
        <f>ToResult(收集!A46)</f>
        <v/>
      </c>
      <c r="B46" s="56" t="str">
        <f>ToResult(收集!B46)</f>
        <v/>
      </c>
      <c r="C46" s="56" t="str">
        <f>ToResult(收集!C46)</f>
        <v/>
      </c>
      <c r="D46" s="56" t="str">
        <f>ToResult(收集!D46)</f>
        <v/>
      </c>
      <c r="E46" s="56" t="str">
        <f>ToResult(收集!E46)</f>
        <v/>
      </c>
      <c r="F46" s="56" t="str">
        <f>ToResult(收集!F46)</f>
        <v/>
      </c>
      <c r="G46" s="56" t="str">
        <f>ToResult(收集!G46)</f>
        <v/>
      </c>
    </row>
    <row r="47" spans="1:7">
      <c r="A47" s="56" t="str">
        <f>ToResult(收集!A47)</f>
        <v/>
      </c>
      <c r="B47" s="56" t="str">
        <f>ToResult(收集!B47)</f>
        <v/>
      </c>
      <c r="C47" s="56" t="str">
        <f>ToResult(收集!C47)</f>
        <v/>
      </c>
      <c r="D47" s="56" t="str">
        <f>ToResult(收集!D47)</f>
        <v/>
      </c>
      <c r="E47" s="56" t="str">
        <f>ToResult(收集!E47)</f>
        <v/>
      </c>
      <c r="F47" s="56" t="str">
        <f>ToResult(收集!F47)</f>
        <v/>
      </c>
      <c r="G47" s="56" t="str">
        <f>ToResult(收集!G47)</f>
        <v/>
      </c>
    </row>
    <row r="48" spans="1:7">
      <c r="A48" s="56" t="str">
        <f>ToResult(收集!A48)</f>
        <v/>
      </c>
      <c r="B48" s="56" t="str">
        <f>ToResult(收集!B48)</f>
        <v/>
      </c>
      <c r="C48" s="56" t="str">
        <f>ToResult(收集!C48)</f>
        <v/>
      </c>
      <c r="D48" s="56" t="str">
        <f>ToResult(收集!D48)</f>
        <v/>
      </c>
      <c r="E48" s="56" t="str">
        <f>ToResult(收集!E48)</f>
        <v/>
      </c>
      <c r="F48" s="56" t="str">
        <f>ToResult(收集!F48)</f>
        <v/>
      </c>
      <c r="G48" s="56" t="str">
        <f>ToResult(收集!G48)</f>
        <v/>
      </c>
    </row>
    <row r="49" spans="1:7">
      <c r="A49" s="56" t="str">
        <f>ToResult(收集!A49)</f>
        <v/>
      </c>
      <c r="B49" s="56" t="str">
        <f>ToResult(收集!B49)</f>
        <v/>
      </c>
      <c r="C49" s="56" t="str">
        <f>ToResult(收集!C49)</f>
        <v/>
      </c>
      <c r="D49" s="56" t="str">
        <f>ToResult(收集!D49)</f>
        <v/>
      </c>
      <c r="E49" s="56" t="str">
        <f>ToResult(收集!E49)</f>
        <v/>
      </c>
      <c r="F49" s="56" t="str">
        <f>ToResult(收集!F49)</f>
        <v/>
      </c>
      <c r="G49" s="56" t="str">
        <f>ToResult(收集!G49)</f>
        <v/>
      </c>
    </row>
    <row r="50" spans="1:7">
      <c r="A50" s="56" t="str">
        <f>ToResult(收集!A50)</f>
        <v/>
      </c>
      <c r="B50" s="56" t="str">
        <f>ToResult(收集!B50)</f>
        <v/>
      </c>
      <c r="C50" s="56" t="str">
        <f>ToResult(收集!C50)</f>
        <v/>
      </c>
      <c r="D50" s="56" t="str">
        <f>ToResult(收集!D50)</f>
        <v/>
      </c>
      <c r="E50" s="56" t="str">
        <f>ToResult(收集!E50)</f>
        <v/>
      </c>
      <c r="F50" s="56" t="str">
        <f>ToResult(收集!F50)</f>
        <v/>
      </c>
      <c r="G50" s="56" t="str">
        <f>ToResult(收集!G50)</f>
        <v/>
      </c>
    </row>
    <row r="51" spans="1:7">
      <c r="A51" s="56" t="str">
        <f>ToResult(收集!A51)</f>
        <v/>
      </c>
      <c r="B51" s="56" t="str">
        <f>ToResult(收集!B51)</f>
        <v/>
      </c>
      <c r="C51" s="56" t="str">
        <f>ToResult(收集!C51)</f>
        <v/>
      </c>
      <c r="D51" s="56" t="str">
        <f>ToResult(收集!D51)</f>
        <v/>
      </c>
      <c r="E51" s="56" t="str">
        <f>ToResult(收集!E51)</f>
        <v/>
      </c>
      <c r="F51" s="56" t="str">
        <f>ToResult(收集!F51)</f>
        <v/>
      </c>
      <c r="G51" s="56" t="str">
        <f>ToResult(收集!G51)</f>
        <v/>
      </c>
    </row>
    <row r="52" spans="1:7">
      <c r="A52" s="56" t="str">
        <f>ToResult(收集!A52)</f>
        <v/>
      </c>
      <c r="B52" s="56" t="str">
        <f>ToResult(收集!B52)</f>
        <v/>
      </c>
      <c r="C52" s="56" t="str">
        <f>ToResult(收集!C52)</f>
        <v/>
      </c>
      <c r="D52" s="56" t="str">
        <f>ToResult(收集!D52)</f>
        <v/>
      </c>
      <c r="E52" s="56" t="str">
        <f>ToResult(收集!E52)</f>
        <v/>
      </c>
      <c r="F52" s="56" t="str">
        <f>ToResult(收集!F52)</f>
        <v/>
      </c>
      <c r="G52" s="56" t="str">
        <f>ToResult(收集!G52)</f>
        <v/>
      </c>
    </row>
    <row r="53" spans="1:7">
      <c r="A53" s="56" t="str">
        <f>ToResult(收集!A53)</f>
        <v/>
      </c>
      <c r="B53" s="56" t="str">
        <f>ToResult(收集!B53)</f>
        <v/>
      </c>
      <c r="C53" s="56" t="str">
        <f>ToResult(收集!C53)</f>
        <v/>
      </c>
      <c r="D53" s="56" t="str">
        <f>ToResult(收集!D53)</f>
        <v/>
      </c>
      <c r="E53" s="56" t="str">
        <f>ToResult(收集!E53)</f>
        <v/>
      </c>
      <c r="F53" s="56" t="str">
        <f>ToResult(收集!F53)</f>
        <v/>
      </c>
      <c r="G53" s="56" t="str">
        <f>ToResult(收集!G53)</f>
        <v/>
      </c>
    </row>
    <row r="54" spans="1:7">
      <c r="A54" s="56" t="str">
        <f>ToResult(收集!A54)</f>
        <v/>
      </c>
      <c r="B54" s="56" t="str">
        <f>ToResult(收集!B54)</f>
        <v/>
      </c>
      <c r="C54" s="56" t="str">
        <f>ToResult(收集!C54)</f>
        <v/>
      </c>
      <c r="D54" s="56" t="str">
        <f>ToResult(收集!D54)</f>
        <v/>
      </c>
      <c r="E54" s="56" t="str">
        <f>ToResult(收集!E54)</f>
        <v/>
      </c>
      <c r="F54" s="56" t="str">
        <f>ToResult(收集!F54)</f>
        <v/>
      </c>
      <c r="G54" s="56" t="str">
        <f>ToResult(收集!G54)</f>
        <v/>
      </c>
    </row>
    <row r="55" spans="1:7">
      <c r="A55" s="56" t="str">
        <f>ToResult(收集!A55)</f>
        <v/>
      </c>
      <c r="B55" s="56" t="str">
        <f>ToResult(收集!B55)</f>
        <v/>
      </c>
      <c r="C55" s="56" t="str">
        <f>ToResult(收集!C55)</f>
        <v/>
      </c>
      <c r="D55" s="56" t="str">
        <f>ToResult(收集!D55)</f>
        <v/>
      </c>
      <c r="E55" s="56" t="str">
        <f>ToResult(收集!E55)</f>
        <v/>
      </c>
      <c r="F55" s="56" t="str">
        <f>ToResult(收集!F55)</f>
        <v/>
      </c>
      <c r="G55" s="56" t="str">
        <f>ToResult(收集!G55)</f>
        <v/>
      </c>
    </row>
    <row r="56" spans="1:7">
      <c r="A56" s="56" t="str">
        <f>ToResult(收集!A56)</f>
        <v/>
      </c>
      <c r="B56" s="56" t="str">
        <f>ToResult(收集!B56)</f>
        <v/>
      </c>
      <c r="C56" s="56" t="str">
        <f>ToResult(收集!C56)</f>
        <v/>
      </c>
      <c r="D56" s="56" t="str">
        <f>ToResult(收集!D56)</f>
        <v/>
      </c>
      <c r="E56" s="56" t="str">
        <f>ToResult(收集!E56)</f>
        <v/>
      </c>
      <c r="F56" s="56" t="str">
        <f>ToResult(收集!F56)</f>
        <v/>
      </c>
      <c r="G56" s="56" t="str">
        <f>ToResult(收集!G56)</f>
        <v/>
      </c>
    </row>
    <row r="57" spans="1:7">
      <c r="A57" s="56" t="str">
        <f>ToResult(收集!A57)</f>
        <v/>
      </c>
      <c r="B57" s="56" t="str">
        <f>ToResult(收集!B57)</f>
        <v/>
      </c>
      <c r="C57" s="56" t="str">
        <f>ToResult(收集!C57)</f>
        <v/>
      </c>
      <c r="D57" s="56" t="str">
        <f>ToResult(收集!D57)</f>
        <v/>
      </c>
      <c r="E57" s="56" t="str">
        <f>ToResult(收集!E57)</f>
        <v/>
      </c>
      <c r="F57" s="56" t="str">
        <f>ToResult(收集!F57)</f>
        <v/>
      </c>
      <c r="G57" s="56" t="str">
        <f>ToResult(收集!G57)</f>
        <v/>
      </c>
    </row>
    <row r="58" spans="1:7">
      <c r="A58" s="56" t="str">
        <f>ToResult(收集!A58)</f>
        <v/>
      </c>
      <c r="B58" s="56" t="str">
        <f>ToResult(收集!B58)</f>
        <v/>
      </c>
      <c r="C58" s="56" t="str">
        <f>ToResult(收集!C58)</f>
        <v/>
      </c>
      <c r="D58" s="56" t="str">
        <f>ToResult(收集!D58)</f>
        <v/>
      </c>
      <c r="E58" s="56" t="str">
        <f>ToResult(收集!E58)</f>
        <v/>
      </c>
      <c r="F58" s="56" t="str">
        <f>ToResult(收集!F58)</f>
        <v/>
      </c>
      <c r="G58" s="56" t="str">
        <f>ToResult(收集!G58)</f>
        <v/>
      </c>
    </row>
    <row r="59" spans="1:7">
      <c r="A59" s="56" t="str">
        <f>ToResult(收集!A59)</f>
        <v/>
      </c>
      <c r="B59" s="56" t="str">
        <f>ToResult(收集!B59)</f>
        <v/>
      </c>
      <c r="C59" s="56" t="str">
        <f>ToResult(收集!C59)</f>
        <v/>
      </c>
      <c r="D59" s="56" t="str">
        <f>ToResult(收集!D59)</f>
        <v/>
      </c>
      <c r="E59" s="56" t="str">
        <f>ToResult(收集!E59)</f>
        <v/>
      </c>
      <c r="F59" s="56" t="str">
        <f>ToResult(收集!F59)</f>
        <v/>
      </c>
      <c r="G59" s="56" t="str">
        <f>ToResult(收集!G59)</f>
        <v/>
      </c>
    </row>
    <row r="60" spans="1:7">
      <c r="A60" s="56" t="str">
        <f>ToResult(收集!A60)</f>
        <v/>
      </c>
      <c r="B60" s="56" t="str">
        <f>ToResult(收集!B60)</f>
        <v/>
      </c>
      <c r="C60" s="56" t="str">
        <f>ToResult(收集!C60)</f>
        <v/>
      </c>
      <c r="D60" s="56" t="str">
        <f>ToResult(收集!D60)</f>
        <v/>
      </c>
      <c r="E60" s="56" t="str">
        <f>ToResult(收集!E60)</f>
        <v/>
      </c>
      <c r="F60" s="56" t="str">
        <f>ToResult(收集!F60)</f>
        <v/>
      </c>
      <c r="G60" s="56" t="str">
        <f>ToResult(收集!G60)</f>
        <v/>
      </c>
    </row>
    <row r="61" spans="1:7">
      <c r="A61" s="56" t="str">
        <f>ToResult(收集!A61)</f>
        <v/>
      </c>
      <c r="B61" s="56" t="str">
        <f>ToResult(收集!B61)</f>
        <v/>
      </c>
      <c r="C61" s="56" t="str">
        <f>ToResult(收集!C61)</f>
        <v/>
      </c>
      <c r="D61" s="56" t="str">
        <f>ToResult(收集!D61)</f>
        <v/>
      </c>
      <c r="E61" s="56" t="str">
        <f>ToResult(收集!E61)</f>
        <v/>
      </c>
      <c r="F61" s="56" t="str">
        <f>ToResult(收集!F61)</f>
        <v/>
      </c>
      <c r="G61" s="56" t="str">
        <f>ToResult(收集!G61)</f>
        <v/>
      </c>
    </row>
    <row r="62" spans="1:7">
      <c r="A62" s="56" t="str">
        <f>ToResult(收集!A62)</f>
        <v/>
      </c>
      <c r="B62" s="56" t="str">
        <f>ToResult(收集!B62)</f>
        <v/>
      </c>
      <c r="C62" s="56" t="str">
        <f>ToResult(收集!C62)</f>
        <v/>
      </c>
      <c r="D62" s="56" t="str">
        <f>ToResult(收集!D62)</f>
        <v/>
      </c>
      <c r="E62" s="56" t="str">
        <f>ToResult(收集!E62)</f>
        <v/>
      </c>
      <c r="F62" s="56" t="str">
        <f>ToResult(收集!F62)</f>
        <v/>
      </c>
      <c r="G62" s="56" t="str">
        <f>ToResult(收集!G62)</f>
        <v/>
      </c>
    </row>
    <row r="63" spans="1:7">
      <c r="A63" s="56" t="str">
        <f>ToResult(收集!A63)</f>
        <v/>
      </c>
      <c r="B63" s="56" t="str">
        <f>ToResult(收集!B63)</f>
        <v/>
      </c>
      <c r="C63" s="56" t="str">
        <f>ToResult(收集!C63)</f>
        <v/>
      </c>
      <c r="D63" s="56" t="str">
        <f>ToResult(收集!D63)</f>
        <v/>
      </c>
      <c r="E63" s="56" t="str">
        <f>ToResult(收集!E63)</f>
        <v/>
      </c>
      <c r="F63" s="56" t="str">
        <f>ToResult(收集!F63)</f>
        <v/>
      </c>
      <c r="G63" s="56" t="str">
        <f>ToResult(收集!G63)</f>
        <v/>
      </c>
    </row>
    <row r="64" spans="1:7">
      <c r="A64" s="56" t="str">
        <f>ToResult(收集!A64)</f>
        <v/>
      </c>
      <c r="B64" s="56" t="str">
        <f>ToResult(收集!B64)</f>
        <v/>
      </c>
      <c r="C64" s="56" t="str">
        <f>ToResult(收集!C64)</f>
        <v/>
      </c>
      <c r="D64" s="56" t="str">
        <f>ToResult(收集!D64)</f>
        <v/>
      </c>
      <c r="E64" s="56" t="str">
        <f>ToResult(收集!E64)</f>
        <v/>
      </c>
      <c r="F64" s="56" t="str">
        <f>ToResult(收集!F64)</f>
        <v/>
      </c>
      <c r="G64" s="56" t="str">
        <f>ToResult(收集!G64)</f>
        <v/>
      </c>
    </row>
    <row r="65" spans="1:7">
      <c r="A65" s="56" t="str">
        <f>ToResult(收集!A65)</f>
        <v/>
      </c>
      <c r="B65" s="56" t="str">
        <f>ToResult(收集!B65)</f>
        <v/>
      </c>
      <c r="C65" s="56" t="str">
        <f>ToResult(收集!C65)</f>
        <v/>
      </c>
      <c r="D65" s="56" t="str">
        <f>ToResult(收集!D65)</f>
        <v/>
      </c>
      <c r="E65" s="56" t="str">
        <f>ToResult(收集!E65)</f>
        <v/>
      </c>
      <c r="F65" s="56" t="str">
        <f>ToResult(收集!F65)</f>
        <v/>
      </c>
      <c r="G65" s="56" t="str">
        <f>ToResult(收集!G65)</f>
        <v/>
      </c>
    </row>
    <row r="66" spans="1:7">
      <c r="A66" s="56" t="str">
        <f>ToResult(收集!A66)</f>
        <v/>
      </c>
      <c r="B66" s="56" t="str">
        <f>ToResult(收集!B66)</f>
        <v/>
      </c>
      <c r="C66" s="56" t="str">
        <f>ToResult(收集!C66)</f>
        <v/>
      </c>
      <c r="D66" s="56" t="str">
        <f>ToResult(收集!D66)</f>
        <v/>
      </c>
      <c r="E66" s="56" t="str">
        <f>ToResult(收集!E66)</f>
        <v/>
      </c>
      <c r="F66" s="56" t="str">
        <f>ToResult(收集!F66)</f>
        <v/>
      </c>
      <c r="G66" s="56" t="str">
        <f>ToResult(收集!G66)</f>
        <v/>
      </c>
    </row>
    <row r="67" spans="1:7">
      <c r="A67" s="56" t="str">
        <f>ToResult(收集!A67)</f>
        <v/>
      </c>
      <c r="B67" s="56" t="str">
        <f>ToResult(收集!B67)</f>
        <v/>
      </c>
      <c r="C67" s="56" t="str">
        <f>ToResult(收集!C67)</f>
        <v/>
      </c>
      <c r="D67" s="56" t="str">
        <f>ToResult(收集!D67)</f>
        <v/>
      </c>
      <c r="E67" s="56" t="str">
        <f>ToResult(收集!E67)</f>
        <v/>
      </c>
      <c r="F67" s="56" t="str">
        <f>ToResult(收集!F67)</f>
        <v/>
      </c>
      <c r="G67" s="56" t="str">
        <f>ToResult(收集!G67)</f>
        <v/>
      </c>
    </row>
    <row r="68" spans="1:7">
      <c r="A68" s="56" t="str">
        <f>ToResult(收集!A68)</f>
        <v/>
      </c>
      <c r="B68" s="56" t="str">
        <f>ToResult(收集!B68)</f>
        <v/>
      </c>
      <c r="C68" s="56" t="str">
        <f>ToResult(收集!C68)</f>
        <v/>
      </c>
      <c r="D68" s="56" t="str">
        <f>ToResult(收集!D68)</f>
        <v/>
      </c>
      <c r="E68" s="56" t="str">
        <f>ToResult(收集!E68)</f>
        <v/>
      </c>
      <c r="F68" s="56" t="str">
        <f>ToResult(收集!F68)</f>
        <v/>
      </c>
      <c r="G68" s="56" t="str">
        <f>ToResult(收集!G68)</f>
        <v/>
      </c>
    </row>
    <row r="69" spans="1:7">
      <c r="A69" s="56" t="str">
        <f>ToResult(收集!A69)</f>
        <v/>
      </c>
      <c r="B69" s="56" t="str">
        <f>ToResult(收集!B69)</f>
        <v/>
      </c>
      <c r="C69" s="56" t="str">
        <f>ToResult(收集!C69)</f>
        <v/>
      </c>
      <c r="D69" s="56" t="str">
        <f>ToResult(收集!D69)</f>
        <v/>
      </c>
      <c r="E69" s="56" t="str">
        <f>ToResult(收集!E69)</f>
        <v/>
      </c>
      <c r="F69" s="56" t="str">
        <f>ToResult(收集!F69)</f>
        <v/>
      </c>
      <c r="G69" s="56" t="str">
        <f>ToResult(收集!G69)</f>
        <v/>
      </c>
    </row>
    <row r="70" spans="1:7">
      <c r="A70" s="56" t="str">
        <f>ToResult(收集!A70)</f>
        <v/>
      </c>
      <c r="B70" s="56" t="str">
        <f>ToResult(收集!B70)</f>
        <v/>
      </c>
      <c r="C70" s="56" t="str">
        <f>ToResult(收集!C70)</f>
        <v/>
      </c>
      <c r="D70" s="56" t="str">
        <f>ToResult(收集!D70)</f>
        <v/>
      </c>
      <c r="E70" s="56" t="str">
        <f>ToResult(收集!E70)</f>
        <v/>
      </c>
      <c r="F70" s="56" t="str">
        <f>ToResult(收集!F70)</f>
        <v/>
      </c>
      <c r="G70" s="56" t="str">
        <f>ToResult(收集!G70)</f>
        <v/>
      </c>
    </row>
    <row r="71" spans="1:7">
      <c r="A71" s="56" t="str">
        <f>ToResult(收集!A71)</f>
        <v/>
      </c>
      <c r="B71" s="56" t="str">
        <f>ToResult(收集!B71)</f>
        <v/>
      </c>
      <c r="C71" s="56" t="str">
        <f>ToResult(收集!C71)</f>
        <v/>
      </c>
      <c r="D71" s="56" t="str">
        <f>ToResult(收集!D71)</f>
        <v/>
      </c>
      <c r="E71" s="56" t="str">
        <f>ToResult(收集!E71)</f>
        <v/>
      </c>
      <c r="F71" s="56" t="str">
        <f>ToResult(收集!F71)</f>
        <v/>
      </c>
      <c r="G71" s="56" t="str">
        <f>ToResult(收集!G71)</f>
        <v/>
      </c>
    </row>
    <row r="72" spans="1:7">
      <c r="A72" s="56" t="str">
        <f>ToResult(收集!A72)</f>
        <v/>
      </c>
      <c r="B72" s="56" t="str">
        <f>ToResult(收集!B72)</f>
        <v/>
      </c>
      <c r="C72" s="56" t="str">
        <f>ToResult(收集!C72)</f>
        <v/>
      </c>
      <c r="D72" s="56" t="str">
        <f>ToResult(收集!D72)</f>
        <v/>
      </c>
      <c r="E72" s="56" t="str">
        <f>ToResult(收集!E72)</f>
        <v/>
      </c>
      <c r="F72" s="56" t="str">
        <f>ToResult(收集!F72)</f>
        <v/>
      </c>
      <c r="G72" s="56" t="str">
        <f>ToResult(收集!G72)</f>
        <v/>
      </c>
    </row>
    <row r="73" spans="1:7">
      <c r="A73" s="56" t="str">
        <f>ToResult(收集!A73)</f>
        <v/>
      </c>
      <c r="B73" s="56" t="str">
        <f>ToResult(收集!B73)</f>
        <v/>
      </c>
      <c r="C73" s="56" t="str">
        <f>ToResult(收集!C73)</f>
        <v/>
      </c>
      <c r="D73" s="56" t="str">
        <f>ToResult(收集!D73)</f>
        <v/>
      </c>
      <c r="E73" s="56" t="str">
        <f>ToResult(收集!E73)</f>
        <v/>
      </c>
      <c r="F73" s="56" t="str">
        <f>ToResult(收集!F73)</f>
        <v/>
      </c>
      <c r="G73" s="56" t="str">
        <f>ToResult(收集!G73)</f>
        <v/>
      </c>
    </row>
    <row r="74" spans="1:7">
      <c r="A74" s="56" t="str">
        <f>ToResult(收集!A74)</f>
        <v/>
      </c>
      <c r="B74" s="56" t="str">
        <f>ToResult(收集!B74)</f>
        <v/>
      </c>
      <c r="C74" s="56" t="str">
        <f>ToResult(收集!C74)</f>
        <v/>
      </c>
      <c r="D74" s="56" t="str">
        <f>ToResult(收集!D74)</f>
        <v/>
      </c>
      <c r="E74" s="56" t="str">
        <f>ToResult(收集!E74)</f>
        <v/>
      </c>
      <c r="F74" s="56" t="str">
        <f>ToResult(收集!F74)</f>
        <v/>
      </c>
      <c r="G74" s="56" t="str">
        <f>ToResult(收集!G74)</f>
        <v/>
      </c>
    </row>
    <row r="75" spans="1:7">
      <c r="A75" s="56" t="str">
        <f>ToResult(收集!A75)</f>
        <v/>
      </c>
      <c r="B75" s="56" t="str">
        <f>ToResult(收集!B75)</f>
        <v/>
      </c>
      <c r="C75" s="56" t="str">
        <f>ToResult(收集!C75)</f>
        <v/>
      </c>
      <c r="D75" s="56" t="str">
        <f>ToResult(收集!D75)</f>
        <v/>
      </c>
      <c r="E75" s="56" t="str">
        <f>ToResult(收集!E75)</f>
        <v/>
      </c>
      <c r="F75" s="56" t="str">
        <f>ToResult(收集!F75)</f>
        <v/>
      </c>
      <c r="G75" s="56" t="str">
        <f>ToResult(收集!G75)</f>
        <v/>
      </c>
    </row>
    <row r="76" spans="1:7">
      <c r="A76" s="56" t="str">
        <f>ToResult(收集!A76)</f>
        <v/>
      </c>
      <c r="B76" s="56" t="str">
        <f>ToResult(收集!B76)</f>
        <v/>
      </c>
      <c r="C76" s="56" t="str">
        <f>ToResult(收集!C76)</f>
        <v/>
      </c>
      <c r="D76" s="56" t="str">
        <f>ToResult(收集!D76)</f>
        <v/>
      </c>
      <c r="E76" s="56" t="str">
        <f>ToResult(收集!E76)</f>
        <v/>
      </c>
      <c r="F76" s="56" t="str">
        <f>ToResult(收集!F76)</f>
        <v/>
      </c>
      <c r="G76" s="56" t="str">
        <f>ToResult(收集!G76)</f>
        <v/>
      </c>
    </row>
    <row r="77" spans="1:7">
      <c r="A77" s="56" t="str">
        <f>ToResult(收集!A77)</f>
        <v/>
      </c>
      <c r="B77" s="56" t="str">
        <f>ToResult(收集!B77)</f>
        <v/>
      </c>
      <c r="C77" s="56" t="str">
        <f>ToResult(收集!C77)</f>
        <v/>
      </c>
      <c r="D77" s="56" t="str">
        <f>ToResult(收集!D77)</f>
        <v/>
      </c>
      <c r="E77" s="56" t="str">
        <f>ToResult(收集!E77)</f>
        <v/>
      </c>
      <c r="F77" s="56" t="str">
        <f>ToResult(收集!F77)</f>
        <v/>
      </c>
      <c r="G77" s="56" t="str">
        <f>ToResult(收集!G77)</f>
        <v/>
      </c>
    </row>
    <row r="78" spans="1:7">
      <c r="A78" s="56" t="str">
        <f>ToResult(收集!A78)</f>
        <v/>
      </c>
      <c r="B78" s="56" t="str">
        <f>ToResult(收集!B78)</f>
        <v/>
      </c>
      <c r="C78" s="56" t="str">
        <f>ToResult(收集!C78)</f>
        <v/>
      </c>
      <c r="D78" s="56" t="str">
        <f>ToResult(收集!D78)</f>
        <v/>
      </c>
      <c r="E78" s="56" t="str">
        <f>ToResult(收集!E78)</f>
        <v/>
      </c>
      <c r="F78" s="56" t="str">
        <f>ToResult(收集!F78)</f>
        <v/>
      </c>
      <c r="G78" s="56" t="str">
        <f>ToResult(收集!G78)</f>
        <v/>
      </c>
    </row>
    <row r="79" spans="1:7">
      <c r="A79" s="56" t="str">
        <f>ToResult(收集!A79)</f>
        <v/>
      </c>
      <c r="B79" s="56" t="str">
        <f>ToResult(收集!B79)</f>
        <v/>
      </c>
      <c r="C79" s="56" t="str">
        <f>ToResult(收集!C79)</f>
        <v/>
      </c>
      <c r="D79" s="56" t="str">
        <f>ToResult(收集!D79)</f>
        <v/>
      </c>
      <c r="E79" s="56" t="str">
        <f>ToResult(收集!E79)</f>
        <v/>
      </c>
      <c r="F79" s="56" t="str">
        <f>ToResult(收集!F79)</f>
        <v/>
      </c>
      <c r="G79" s="56" t="str">
        <f>ToResult(收集!G79)</f>
        <v/>
      </c>
    </row>
    <row r="80" spans="1:7">
      <c r="A80" s="56" t="str">
        <f>ToResult(收集!A80)</f>
        <v/>
      </c>
      <c r="B80" s="56" t="str">
        <f>ToResult(收集!B80)</f>
        <v/>
      </c>
      <c r="C80" s="56" t="str">
        <f>ToResult(收集!C80)</f>
        <v/>
      </c>
      <c r="D80" s="56" t="str">
        <f>ToResult(收集!D80)</f>
        <v/>
      </c>
      <c r="E80" s="56" t="str">
        <f>ToResult(收集!E80)</f>
        <v/>
      </c>
      <c r="F80" s="56" t="str">
        <f>ToResult(收集!F80)</f>
        <v/>
      </c>
      <c r="G80" s="56" t="str">
        <f>ToResult(收集!G80)</f>
        <v/>
      </c>
    </row>
    <row r="81" spans="1:7">
      <c r="A81" s="56" t="str">
        <f>ToResult(收集!A81)</f>
        <v/>
      </c>
      <c r="B81" s="56" t="str">
        <f>ToResult(收集!B81)</f>
        <v/>
      </c>
      <c r="C81" s="56" t="str">
        <f>ToResult(收集!C81)</f>
        <v/>
      </c>
      <c r="D81" s="56" t="str">
        <f>ToResult(收集!D81)</f>
        <v/>
      </c>
      <c r="E81" s="56" t="str">
        <f>ToResult(收集!E81)</f>
        <v/>
      </c>
      <c r="F81" s="56" t="str">
        <f>ToResult(收集!F81)</f>
        <v/>
      </c>
      <c r="G81" s="56" t="str">
        <f>ToResult(收集!G81)</f>
        <v/>
      </c>
    </row>
    <row r="82" spans="1:7">
      <c r="A82" s="56" t="str">
        <f>ToResult(收集!A82)</f>
        <v/>
      </c>
      <c r="B82" s="56" t="str">
        <f>ToResult(收集!B82)</f>
        <v/>
      </c>
      <c r="C82" s="56" t="str">
        <f>ToResult(收集!C82)</f>
        <v/>
      </c>
      <c r="D82" s="56" t="str">
        <f>ToResult(收集!D82)</f>
        <v/>
      </c>
      <c r="E82" s="56" t="str">
        <f>ToResult(收集!E82)</f>
        <v/>
      </c>
      <c r="F82" s="56" t="str">
        <f>ToResult(收集!F82)</f>
        <v/>
      </c>
      <c r="G82" s="56" t="str">
        <f>ToResult(收集!G82)</f>
        <v/>
      </c>
    </row>
    <row r="83" spans="1:7">
      <c r="A83" s="56" t="str">
        <f>ToResult(收集!A83)</f>
        <v/>
      </c>
      <c r="B83" s="56" t="str">
        <f>ToResult(收集!B83)</f>
        <v/>
      </c>
      <c r="C83" s="56" t="str">
        <f>ToResult(收集!C83)</f>
        <v/>
      </c>
      <c r="D83" s="56" t="str">
        <f>ToResult(收集!D83)</f>
        <v/>
      </c>
      <c r="E83" s="56" t="str">
        <f>ToResult(收集!E83)</f>
        <v/>
      </c>
      <c r="F83" s="56" t="str">
        <f>ToResult(收集!F83)</f>
        <v/>
      </c>
      <c r="G83" s="56" t="str">
        <f>ToResult(收集!G83)</f>
        <v/>
      </c>
    </row>
    <row r="84" spans="1:7">
      <c r="A84" s="56" t="str">
        <f>ToResult(收集!A84)</f>
        <v/>
      </c>
      <c r="B84" s="56" t="str">
        <f>ToResult(收集!B84)</f>
        <v/>
      </c>
      <c r="C84" s="56" t="str">
        <f>ToResult(收集!C84)</f>
        <v/>
      </c>
      <c r="D84" s="56" t="str">
        <f>ToResult(收集!D84)</f>
        <v/>
      </c>
      <c r="E84" s="56" t="str">
        <f>ToResult(收集!E84)</f>
        <v/>
      </c>
      <c r="F84" s="56" t="str">
        <f>ToResult(收集!F84)</f>
        <v/>
      </c>
      <c r="G84" s="56" t="str">
        <f>ToResult(收集!G84)</f>
        <v/>
      </c>
    </row>
    <row r="85" spans="1:7">
      <c r="A85" s="56" t="str">
        <f>ToResult(收集!A85)</f>
        <v/>
      </c>
      <c r="B85" s="56" t="str">
        <f>ToResult(收集!B85)</f>
        <v/>
      </c>
      <c r="C85" s="56" t="str">
        <f>ToResult(收集!C85)</f>
        <v/>
      </c>
      <c r="D85" s="56" t="str">
        <f>ToResult(收集!D85)</f>
        <v/>
      </c>
      <c r="E85" s="56" t="str">
        <f>ToResult(收集!E85)</f>
        <v/>
      </c>
      <c r="F85" s="56" t="str">
        <f>ToResult(收集!F85)</f>
        <v/>
      </c>
      <c r="G85" s="56" t="str">
        <f>ToResult(收集!G85)</f>
        <v/>
      </c>
    </row>
    <row r="86" spans="1:7">
      <c r="A86" s="56" t="str">
        <f>ToResult(收集!A86)</f>
        <v/>
      </c>
      <c r="B86" s="56" t="str">
        <f>ToResult(收集!B86)</f>
        <v/>
      </c>
      <c r="C86" s="56" t="str">
        <f>ToResult(收集!C86)</f>
        <v/>
      </c>
      <c r="D86" s="56" t="str">
        <f>ToResult(收集!D86)</f>
        <v/>
      </c>
      <c r="E86" s="56" t="str">
        <f>ToResult(收集!E86)</f>
        <v/>
      </c>
      <c r="F86" s="56" t="str">
        <f>ToResult(收集!F86)</f>
        <v/>
      </c>
      <c r="G86" s="56" t="str">
        <f>ToResult(收集!G86)</f>
        <v/>
      </c>
    </row>
    <row r="87" spans="1:7">
      <c r="A87" s="56" t="str">
        <f>ToResult(收集!A87)</f>
        <v/>
      </c>
      <c r="B87" s="56" t="str">
        <f>ToResult(收集!B87)</f>
        <v/>
      </c>
      <c r="C87" s="56" t="str">
        <f>ToResult(收集!C87)</f>
        <v/>
      </c>
      <c r="D87" s="56" t="str">
        <f>ToResult(收集!D87)</f>
        <v/>
      </c>
      <c r="E87" s="56" t="str">
        <f>ToResult(收集!E87)</f>
        <v/>
      </c>
      <c r="F87" s="56" t="str">
        <f>ToResult(收集!F87)</f>
        <v/>
      </c>
      <c r="G87" s="56" t="str">
        <f>ToResult(收集!G87)</f>
        <v/>
      </c>
    </row>
    <row r="88" spans="1:7">
      <c r="A88" s="56" t="str">
        <f>ToResult(收集!A88)</f>
        <v/>
      </c>
      <c r="B88" s="56" t="str">
        <f>ToResult(收集!B88)</f>
        <v/>
      </c>
      <c r="C88" s="56" t="str">
        <f>ToResult(收集!C88)</f>
        <v/>
      </c>
      <c r="D88" s="56" t="str">
        <f>ToResult(收集!D88)</f>
        <v/>
      </c>
      <c r="E88" s="56" t="str">
        <f>ToResult(收集!E88)</f>
        <v/>
      </c>
      <c r="F88" s="56" t="str">
        <f>ToResult(收集!F88)</f>
        <v/>
      </c>
      <c r="G88" s="56" t="str">
        <f>ToResult(收集!G88)</f>
        <v/>
      </c>
    </row>
    <row r="89" spans="1:7">
      <c r="A89" s="56" t="str">
        <f>ToResult(收集!A89)</f>
        <v/>
      </c>
      <c r="B89" s="56" t="str">
        <f>ToResult(收集!B89)</f>
        <v/>
      </c>
      <c r="C89" s="56" t="str">
        <f>ToResult(收集!C89)</f>
        <v/>
      </c>
      <c r="D89" s="56" t="str">
        <f>ToResult(收集!D89)</f>
        <v/>
      </c>
      <c r="E89" s="56" t="str">
        <f>ToResult(收集!E89)</f>
        <v/>
      </c>
      <c r="F89" s="56" t="str">
        <f>ToResult(收集!F89)</f>
        <v/>
      </c>
      <c r="G89" s="56" t="str">
        <f>ToResult(收集!G89)</f>
        <v/>
      </c>
    </row>
    <row r="90" spans="1:7">
      <c r="A90" s="56" t="str">
        <f>ToResult(收集!A90)</f>
        <v/>
      </c>
      <c r="B90" s="56" t="str">
        <f>ToResult(收集!B90)</f>
        <v/>
      </c>
      <c r="C90" s="56" t="str">
        <f>ToResult(收集!C90)</f>
        <v/>
      </c>
      <c r="D90" s="56" t="str">
        <f>ToResult(收集!D90)</f>
        <v/>
      </c>
      <c r="E90" s="56" t="str">
        <f>ToResult(收集!E90)</f>
        <v/>
      </c>
      <c r="F90" s="56" t="str">
        <f>ToResult(收集!F90)</f>
        <v/>
      </c>
      <c r="G90" s="56" t="str">
        <f>ToResult(收集!G90)</f>
        <v/>
      </c>
    </row>
    <row r="91" spans="1:7">
      <c r="A91" s="56" t="str">
        <f>ToResult(收集!A91)</f>
        <v/>
      </c>
      <c r="B91" s="56" t="str">
        <f>ToResult(收集!B91)</f>
        <v/>
      </c>
      <c r="C91" s="56" t="str">
        <f>ToResult(收集!C91)</f>
        <v/>
      </c>
      <c r="D91" s="56" t="str">
        <f>ToResult(收集!D91)</f>
        <v/>
      </c>
      <c r="E91" s="56" t="str">
        <f>ToResult(收集!E91)</f>
        <v/>
      </c>
      <c r="F91" s="56" t="str">
        <f>ToResult(收集!F91)</f>
        <v/>
      </c>
      <c r="G91" s="56" t="str">
        <f>ToResult(收集!G91)</f>
        <v/>
      </c>
    </row>
    <row r="92" spans="1:7">
      <c r="A92" s="56" t="str">
        <f>ToResult(收集!A92)</f>
        <v/>
      </c>
      <c r="B92" s="56" t="str">
        <f>ToResult(收集!B92)</f>
        <v/>
      </c>
      <c r="C92" s="56" t="str">
        <f>ToResult(收集!C92)</f>
        <v/>
      </c>
      <c r="D92" s="56" t="str">
        <f>ToResult(收集!D92)</f>
        <v/>
      </c>
      <c r="E92" s="56" t="str">
        <f>ToResult(收集!E92)</f>
        <v/>
      </c>
      <c r="F92" s="56" t="str">
        <f>ToResult(收集!F92)</f>
        <v/>
      </c>
      <c r="G92" s="56" t="str">
        <f>ToResult(收集!G92)</f>
        <v/>
      </c>
    </row>
    <row r="93" spans="1:7">
      <c r="A93" s="56" t="str">
        <f>ToResult(收集!A93)</f>
        <v/>
      </c>
      <c r="B93" s="56" t="str">
        <f>ToResult(收集!B93)</f>
        <v/>
      </c>
      <c r="C93" s="56" t="str">
        <f>ToResult(收集!C93)</f>
        <v/>
      </c>
      <c r="D93" s="56" t="str">
        <f>ToResult(收集!D93)</f>
        <v/>
      </c>
      <c r="E93" s="56" t="str">
        <f>ToResult(收集!E93)</f>
        <v/>
      </c>
      <c r="F93" s="56" t="str">
        <f>ToResult(收集!F93)</f>
        <v/>
      </c>
      <c r="G93" s="56" t="str">
        <f>ToResult(收集!G93)</f>
        <v/>
      </c>
    </row>
    <row r="94" spans="1:7">
      <c r="A94" s="56" t="str">
        <f>ToResult(收集!A94)</f>
        <v/>
      </c>
      <c r="B94" s="56" t="str">
        <f>ToResult(收集!B94)</f>
        <v/>
      </c>
      <c r="C94" s="56" t="str">
        <f>ToResult(收集!C94)</f>
        <v/>
      </c>
      <c r="D94" s="56" t="str">
        <f>ToResult(收集!D94)</f>
        <v/>
      </c>
      <c r="E94" s="56" t="str">
        <f>ToResult(收集!E94)</f>
        <v/>
      </c>
      <c r="F94" s="56" t="str">
        <f>ToResult(收集!F94)</f>
        <v/>
      </c>
      <c r="G94" s="56" t="str">
        <f>ToResult(收集!G94)</f>
        <v/>
      </c>
    </row>
    <row r="95" spans="1:7">
      <c r="A95" s="56" t="str">
        <f>ToResult(收集!A95)</f>
        <v/>
      </c>
      <c r="B95" s="56" t="str">
        <f>ToResult(收集!B95)</f>
        <v/>
      </c>
      <c r="C95" s="56" t="str">
        <f>ToResult(收集!C95)</f>
        <v/>
      </c>
      <c r="D95" s="56" t="str">
        <f>ToResult(收集!D95)</f>
        <v/>
      </c>
      <c r="E95" s="56" t="str">
        <f>ToResult(收集!E95)</f>
        <v/>
      </c>
      <c r="F95" s="56" t="str">
        <f>ToResult(收集!F95)</f>
        <v/>
      </c>
      <c r="G95" s="56" t="str">
        <f>ToResult(收集!G95)</f>
        <v/>
      </c>
    </row>
    <row r="96" spans="1:7">
      <c r="A96" s="56" t="str">
        <f>ToResult(收集!A96)</f>
        <v/>
      </c>
      <c r="B96" s="56" t="str">
        <f>ToResult(收集!B96)</f>
        <v/>
      </c>
      <c r="C96" s="56" t="str">
        <f>ToResult(收集!C96)</f>
        <v/>
      </c>
      <c r="D96" s="56" t="str">
        <f>ToResult(收集!D96)</f>
        <v/>
      </c>
      <c r="E96" s="56" t="str">
        <f>ToResult(收集!E96)</f>
        <v/>
      </c>
      <c r="F96" s="56" t="str">
        <f>ToResult(收集!F96)</f>
        <v/>
      </c>
      <c r="G96" s="56" t="str">
        <f>ToResult(收集!G96)</f>
        <v/>
      </c>
    </row>
    <row r="97" spans="1:7">
      <c r="A97" s="56" t="str">
        <f>ToResult(收集!A97)</f>
        <v/>
      </c>
      <c r="B97" s="56" t="str">
        <f>ToResult(收集!B97)</f>
        <v/>
      </c>
      <c r="C97" s="56" t="str">
        <f>ToResult(收集!C97)</f>
        <v/>
      </c>
      <c r="D97" s="56" t="str">
        <f>ToResult(收集!D97)</f>
        <v/>
      </c>
      <c r="E97" s="56" t="str">
        <f>ToResult(收集!E97)</f>
        <v/>
      </c>
      <c r="F97" s="56" t="str">
        <f>ToResult(收集!F97)</f>
        <v/>
      </c>
      <c r="G97" s="56" t="str">
        <f>ToResult(收集!G97)</f>
        <v/>
      </c>
    </row>
    <row r="98" spans="1:7">
      <c r="A98" s="56" t="str">
        <f>ToResult(收集!A98)</f>
        <v/>
      </c>
      <c r="B98" s="56" t="str">
        <f>ToResult(收集!B98)</f>
        <v/>
      </c>
      <c r="C98" s="56" t="str">
        <f>ToResult(收集!C98)</f>
        <v/>
      </c>
      <c r="D98" s="56" t="str">
        <f>ToResult(收集!D98)</f>
        <v/>
      </c>
      <c r="E98" s="56" t="str">
        <f>ToResult(收集!E98)</f>
        <v/>
      </c>
      <c r="F98" s="56" t="str">
        <f>ToResult(收集!F98)</f>
        <v/>
      </c>
      <c r="G98" s="56" t="str">
        <f>ToResult(收集!G98)</f>
        <v/>
      </c>
    </row>
    <row r="99" spans="1:7">
      <c r="A99" s="56" t="str">
        <f>ToResult(收集!A99)</f>
        <v/>
      </c>
      <c r="B99" s="56" t="str">
        <f>ToResult(收集!B99)</f>
        <v/>
      </c>
      <c r="C99" s="56" t="str">
        <f>ToResult(收集!C99)</f>
        <v/>
      </c>
      <c r="D99" s="56" t="str">
        <f>ToResult(收集!D99)</f>
        <v/>
      </c>
      <c r="E99" s="56" t="str">
        <f>ToResult(收集!E99)</f>
        <v/>
      </c>
      <c r="F99" s="56" t="str">
        <f>ToResult(收集!F99)</f>
        <v/>
      </c>
      <c r="G99" s="56" t="str">
        <f>ToResult(收集!G99)</f>
        <v/>
      </c>
    </row>
    <row r="100" spans="1:7">
      <c r="A100" s="56" t="str">
        <f>ToResult(收集!A100)</f>
        <v/>
      </c>
      <c r="B100" s="56" t="str">
        <f>ToResult(收集!B100)</f>
        <v/>
      </c>
      <c r="C100" s="56" t="str">
        <f>ToResult(收集!C100)</f>
        <v/>
      </c>
      <c r="D100" s="56" t="str">
        <f>ToResult(收集!D100)</f>
        <v/>
      </c>
      <c r="E100" s="56" t="str">
        <f>ToResult(收集!E100)</f>
        <v/>
      </c>
      <c r="F100" s="56" t="str">
        <f>ToResult(收集!F100)</f>
        <v/>
      </c>
      <c r="G100" s="56" t="str">
        <f>ToResult(收集!G100)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A100" sqref="A100"/>
    </sheetView>
  </sheetViews>
  <sheetFormatPr defaultRowHeight="16.5"/>
  <cols>
    <col min="1" max="4" width="15.625" customWidth="1"/>
  </cols>
  <sheetData>
    <row r="1" spans="1:4" s="40" customFormat="1">
      <c r="A1" s="40" t="str">
        <f>獎勵!A1</f>
        <v>GUID</v>
      </c>
      <c r="B1" s="41" t="str">
        <f>獎勵!B1</f>
        <v>Note</v>
      </c>
      <c r="C1" s="40" t="str">
        <f>獎勵!C1</f>
        <v>Reward</v>
      </c>
      <c r="D1" s="40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3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3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3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3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3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3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4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4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4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4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4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4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5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5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5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5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5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5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6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6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6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6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6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6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7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7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7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7</v>
      </c>
      <c r="D39" t="str">
        <f>ToResult(獎勵!D39)</f>
        <v>1</v>
      </c>
    </row>
    <row r="40" spans="1:4">
      <c r="A40" t="str">
        <f>ToResult(獎勵!A40)</f>
        <v>600</v>
      </c>
      <c r="B40" t="str">
        <f>ToResult(獎勵!B40)</f>
        <v>7</v>
      </c>
      <c r="C40" t="str">
        <f>ToReward(獎勵!C40)</f>
        <v>2</v>
      </c>
      <c r="D40" t="str">
        <f>ToResult(獎勵!D40)</f>
        <v>1</v>
      </c>
    </row>
    <row r="41" spans="1:4">
      <c r="A41" t="str">
        <f>ToResult(獎勵!A41)</f>
        <v>601</v>
      </c>
      <c r="B41" t="str">
        <f>ToResult(獎勵!B41)</f>
        <v>8</v>
      </c>
      <c r="C41" t="str">
        <f>ToReward(獎勵!C41)</f>
        <v>2</v>
      </c>
      <c r="D41" t="str">
        <f>ToResult(獎勵!D41)</f>
        <v>2</v>
      </c>
    </row>
    <row r="42" spans="1:4">
      <c r="A42" t="str">
        <f>ToResult(獎勵!A42)</f>
        <v>602</v>
      </c>
      <c r="B42" t="str">
        <f>ToResult(獎勵!B42)</f>
        <v>9</v>
      </c>
      <c r="C42" t="str">
        <f>ToReward(獎勵!C42)</f>
        <v>2</v>
      </c>
      <c r="D42" t="str">
        <f>ToResult(獎勵!D42)</f>
        <v>3</v>
      </c>
    </row>
    <row r="43" spans="1:4">
      <c r="A43" t="str">
        <f>ToResult(獎勵!A43)</f>
        <v>603</v>
      </c>
      <c r="B43" t="str">
        <f>ToResult(獎勵!B43)</f>
        <v>10</v>
      </c>
      <c r="C43" t="str">
        <f>ToReward(獎勵!C43)</f>
        <v>2</v>
      </c>
      <c r="D43" t="str">
        <f>ToResult(獎勵!D43)</f>
        <v>4</v>
      </c>
    </row>
    <row r="44" spans="1:4">
      <c r="A44" t="str">
        <f>ToResult(獎勵!A44)</f>
        <v>604</v>
      </c>
      <c r="B44" t="str">
        <f>ToResult(獎勵!B44)</f>
        <v>11</v>
      </c>
      <c r="C44" t="str">
        <f>ToReward(獎勵!C44)</f>
        <v>2</v>
      </c>
      <c r="D44" t="str">
        <f>ToResult(獎勵!D44)</f>
        <v>5</v>
      </c>
    </row>
    <row r="45" spans="1:4">
      <c r="A45" t="str">
        <f>ToResult(獎勵!A45)</f>
        <v>605</v>
      </c>
      <c r="B45" t="str">
        <f>ToResult(獎勵!B45)</f>
        <v>12</v>
      </c>
      <c r="C45" t="str">
        <f>ToReward(獎勵!C45)</f>
        <v>2</v>
      </c>
      <c r="D45" t="str">
        <f>ToResult(獎勵!D45)</f>
        <v>6</v>
      </c>
    </row>
    <row r="46" spans="1:4">
      <c r="A46" t="str">
        <f>ToResult(獎勵!A46)</f>
        <v>606</v>
      </c>
      <c r="B46" t="str">
        <f>ToResult(獎勵!B46)</f>
        <v>13</v>
      </c>
      <c r="C46" t="str">
        <f>ToReward(獎勵!C46)</f>
        <v>2</v>
      </c>
      <c r="D46" t="str">
        <f>ToResult(獎勵!D46)</f>
        <v>7</v>
      </c>
    </row>
    <row r="47" spans="1:4">
      <c r="A47" t="str">
        <f>ToResult(獎勵!A47)</f>
        <v>607</v>
      </c>
      <c r="B47" t="str">
        <f>ToResult(獎勵!B47)</f>
        <v>14</v>
      </c>
      <c r="C47" t="str">
        <f>ToReward(獎勵!C47)</f>
        <v>2</v>
      </c>
      <c r="D47" t="str">
        <f>ToResult(獎勵!D47)</f>
        <v>8</v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2015-08-25T13:13:30Z</dcterms:modified>
</cp:coreProperties>
</file>