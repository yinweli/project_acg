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A33" i="7"/>
  <c r="C30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A27" i="7"/>
  <c r="C31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29" i="7"/>
  <c r="B38" i="7"/>
  <c r="B37" i="7"/>
  <c r="B39" i="7"/>
  <c r="B31" i="7"/>
  <c r="B33" i="7"/>
  <c r="B36" i="7"/>
  <c r="B30" i="7"/>
  <c r="B32" i="7"/>
  <c r="B34" i="7"/>
  <c r="C28" i="7"/>
  <c r="B28" i="7"/>
  <c r="C27" i="7"/>
  <c r="B27" i="7"/>
  <c r="C26" i="7"/>
  <c r="B26" i="7"/>
  <c r="C25" i="7"/>
  <c r="B25" i="7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I4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I6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E8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I9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E4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E13" i="9"/>
  <c r="A11" i="9"/>
  <c r="D11" i="9"/>
  <c r="H69" i="9"/>
  <c r="E98" i="9"/>
  <c r="D73" i="9"/>
  <c r="I30" i="9"/>
  <c r="E27" i="9"/>
  <c r="H2" i="9"/>
  <c r="A46" i="9"/>
  <c r="I17" i="9"/>
  <c r="E9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E5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E6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I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I2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E2" i="9"/>
  <c r="C25" i="9"/>
  <c r="E29" i="9"/>
  <c r="D81" i="9"/>
  <c r="C80" i="9"/>
  <c r="I23" i="9"/>
  <c r="F93" i="9"/>
  <c r="I55" i="9"/>
  <c r="I7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I8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I3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E12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E10" i="9"/>
  <c r="C77" i="9"/>
  <c r="E80" i="9"/>
  <c r="E11" i="9"/>
  <c r="D56" i="9"/>
  <c r="B75" i="9"/>
  <c r="I36" i="9"/>
  <c r="H14" i="9"/>
  <c r="H95" i="9"/>
  <c r="H23" i="9"/>
  <c r="E14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<sst xmlns="http://schemas.openxmlformats.org/spreadsheetml/2006/main" count="243" uniqueCount="173">
  <si>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</si>
  <si>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</si>
  <si>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</si>
  <si>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</si>
  <si>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</si>
  <si>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</si>
  <si>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</si>
  <si>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</si>
  <si>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</si>
  <si>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</si>
  <si>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</si>
  <si>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</si>
  <si>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</si>
  <si>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</si>
  <si>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</si>
  <si>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</si>
  <si>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</si>
  <si>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</si>
  <si>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</si>
  <si>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</si>
  <si>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</si>
  <si>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</si>
  <si>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</si>
  <si>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</si>
  <si>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</si>
  <si>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</si>
  <si>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</si>
  <si>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</si>
  <si>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</si>
  <si>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</si>
  <si>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</si>
  <si>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</si>
  <si>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</si>
  <si>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</si>
  <si>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</si>
  <si>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</si>
  <si>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</si>
  <si>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</si>
  <si>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</si>
  <si>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</si>
  <si>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</si>
  <si>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</si>
  <si>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</si>
  <si>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</si>
  <si>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</si>
  <si>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</si>
  <si>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</si>
  <si>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</si>
  <si>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</si>
  <si>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</si>
  <si>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</si>
  <si>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</si>
  <si>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</si>
  <si>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</si>
  <si>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</si>
  <si>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</si>
  <si>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</si>
  <si>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</si>
  <si>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</si>
  <si>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</si>
  <si>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</si>
  <si>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</si>
  <si>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</si>
  <si>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</si>
  <si>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</si>
  <si>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</si>
  <si>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</si>
  <si>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</si>
  <si>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</si>
  <si>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</si>
  <si>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</si>
  <si>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</si>
  <si>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</si>
  <si>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</si>
  <si>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</si>
  <si>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</si>
  <si>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</si>
  <si>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</si>
  <si>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</si>
  <si>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</si>
  <si>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</si>
  <si>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</si>
  <si>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</si>
  <si>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</si>
  <si>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</si>
  <si>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</si>
  <si>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</si>
  <si>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</si>
  <si>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</si>
  <si>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</si>
  <si>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</si>
  <si>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</si>
  <si>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</si>
  <si>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</si>
  <si>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</si>
  <si>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</si>
  <si>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</si>
  <si>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</si>
  <si>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</si>
  <si>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</si>
  <si>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</si>
  <si>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</si>
  <si>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</si>
  <si>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</si>
  <si>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</si>
  <si>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</si>
  <si>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</si>
  <si>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</si>
  <si>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</si>
  <si>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</si>
  <si>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</si>
  <si>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</si>
  <si>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</si>
  <si>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</si>
  <si>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</si>
  <si>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</si>
  <si>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</si>
  <si>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</si>
  <si>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</si>
  <si>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</si>
  <si>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</si>
  <si>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</si>
  <si>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</si>
  <si>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</si>
  <si>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</si>
  <si>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</si>
  <si>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</si>
  <si>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</si>
  <si>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</si>
  <si>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</si>
  <si>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</si>
  <si>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</si>
  <si>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</si>
  <si>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</si>
  <si>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</si>
  <si>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</si>
  <si>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</si>
  <si>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</si>
  <si>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</si>
  <si>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</si>
  <si>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</si>
  <si>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</si>
  <si>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</si>
  <si>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</si>
  <si>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</si>
  <si>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</si>
  <si>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</si>
  <si>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</si>
  <si>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</si>
  <si>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</si>
  <si>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</si>
  <si>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</si>
  <si>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</si>
  <si>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</si>
  <si>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</si>
  <si>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</si>
  <si>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</si>
  <si>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[ffed00]sta reply[-][546ef2]+1[-]</t>
  </si>
  <si>
    <t>[ffed00]sta reply[-][546ef2]+2[-]</t>
  </si>
  <si>
    <t>[ffed00]sta reply[-][e92121]-1[-]</t>
  </si>
  <si>
    <t>[ffed00]sta reply[-][e92121]-2[-]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</si>
  <si>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</si>
  <si>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</si>
  <si>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</si>
  <si>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</si>
  <si>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limit[-][546ef2]+2[-]</t>
    <phoneticPr fontId="1" type="noConversion"/>
  </si>
  <si>
    <t>增加耐力上限2點</t>
    <phoneticPr fontId="1" type="noConversion"/>
  </si>
  <si>
    <t>[ffed00]sta limit[-][546ef2]+4[-]</t>
    <phoneticPr fontId="1" type="noConversion"/>
  </si>
  <si>
    <t>增加耐力上限4點</t>
    <phoneticPr fontId="1" type="noConversion"/>
  </si>
  <si>
    <t>[ffed00]sta limit[-][e92121]-2[-]</t>
    <phoneticPr fontId="1" type="noConversion"/>
  </si>
  <si>
    <t>減少耐力上限2點</t>
    <phoneticPr fontId="1" type="noConversion"/>
  </si>
  <si>
    <t>[ffed00]sta limit[-][e92121]-4[-]</t>
    <phoneticPr fontId="1" type="noConversion"/>
  </si>
  <si>
    <t>減少耐力上限4點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</si>
</sst>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B29" sqref="B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150</v>
      </c>
      <c r="C20" s="21" t="s">
        <v>99</v>
      </c>
    </row>
    <row r="21" spans="1:3" x14ac:dyDescent="0.25">
      <c r="A21" s="3">
        <v>2010</v>
      </c>
      <c r="B21" s="3" t="s">
        <v>151</v>
      </c>
      <c r="C21" s="21" t="s">
        <v>100</v>
      </c>
    </row>
    <row r="22" spans="1:3" x14ac:dyDescent="0.25">
      <c r="A22" s="3">
        <v>2011</v>
      </c>
      <c r="B22" s="3" t="s">
        <v>152</v>
      </c>
      <c r="C22" s="21" t="s">
        <v>101</v>
      </c>
    </row>
    <row r="23" spans="1:3" x14ac:dyDescent="0.25">
      <c r="A23" s="3">
        <v>2012</v>
      </c>
      <c r="B23" s="3" t="s">
        <v>153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165</v>
      </c>
      <c r="C25" s="21" t="s">
        <v>166</v>
      </c>
    </row>
    <row r="26" spans="1:3" x14ac:dyDescent="0.25">
      <c r="A26" s="3">
        <v>3002</v>
      </c>
      <c r="B26" s="3" t="s">
        <v>167</v>
      </c>
      <c r="C26" s="21" t="s">
        <v>168</v>
      </c>
    </row>
    <row r="27" spans="1:3" x14ac:dyDescent="0.25">
      <c r="A27" s="3">
        <v>3003</v>
      </c>
      <c r="B27" s="3" t="s">
        <v>169</v>
      </c>
      <c r="C27" s="21" t="s">
        <v>170</v>
      </c>
    </row>
    <row r="28" spans="1:3" x14ac:dyDescent="0.25">
      <c r="A28" s="3">
        <v>3004</v>
      </c>
      <c r="B28" s="3" t="s">
        <v>171</v>
      </c>
      <c r="C28" s="21" t="s">
        <v>172</v>
      </c>
    </row>
    <row r="29" spans="1:3" x14ac:dyDescent="0.25">
      <c r="A29" s="3">
        <v>3005</v>
      </c>
      <c r="B29" s="3" t="s">
        <v>157</v>
      </c>
      <c r="C29" s="21" t="s">
        <v>139</v>
      </c>
    </row>
    <row r="30" spans="1:3" x14ac:dyDescent="0.25">
      <c r="A30" s="3">
        <v>3006</v>
      </c>
      <c r="B30" s="3" t="s">
        <v>158</v>
      </c>
      <c r="C30" s="21" t="s">
        <v>140</v>
      </c>
    </row>
    <row r="31" spans="1:3" x14ac:dyDescent="0.25">
      <c r="A31" s="3">
        <v>3007</v>
      </c>
      <c r="B31" s="3" t="s">
        <v>159</v>
      </c>
      <c r="C31" s="21" t="s">
        <v>141</v>
      </c>
    </row>
    <row r="32" spans="1:3" x14ac:dyDescent="0.25">
      <c r="A32" s="3">
        <v>3008</v>
      </c>
      <c r="B32" s="3" t="s">
        <v>160</v>
      </c>
      <c r="C32" s="21" t="s">
        <v>142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161</v>
      </c>
      <c r="C35" s="21" t="s">
        <v>143</v>
      </c>
    </row>
    <row r="36" spans="1:3" x14ac:dyDescent="0.25">
      <c r="A36" s="3">
        <v>3012</v>
      </c>
      <c r="B36" s="3" t="s">
        <v>162</v>
      </c>
      <c r="C36" s="21" t="s">
        <v>144</v>
      </c>
    </row>
    <row r="37" spans="1:3" x14ac:dyDescent="0.25">
      <c r="A37" s="3">
        <v>3013</v>
      </c>
      <c r="B37" s="3" t="s">
        <v>163</v>
      </c>
      <c r="C37" s="21" t="s">
        <v>145</v>
      </c>
    </row>
    <row r="38" spans="1:3" x14ac:dyDescent="0.25">
      <c r="A38" s="3">
        <v>3014</v>
      </c>
      <c r="B38" s="3" t="s">
        <v>164</v>
      </c>
      <c r="C38" s="21" t="s">
        <v>146</v>
      </c>
    </row>
    <row r="39" spans="1:3" x14ac:dyDescent="0.25">
      <c r="A39" s="3">
        <v>3015</v>
      </c>
      <c r="B39" s="3" t="s">
        <v>156</v>
      </c>
      <c r="C39" s="21" t="s">
        <v>147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B1" workbookViewId="0">
      <pane ySplit="1" topLeftCell="A2" activePane="bottomLeft" state="frozen"/>
      <selection pane="bottomLeft" activeCell="B2" sqref="B2:L14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148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149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154</v>
      </c>
      <c r="K1" s="15" t="s">
        <v>155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limit[-][546ef2]+2[-]</v>
      </c>
      <c r="C25" t="str">
        <f>ToResult(語言列表!C25)</f>
        <v>增加耐力上限2點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limit[-][546ef2]+4[-]</v>
      </c>
      <c r="C26" t="str">
        <f>ToResult(語言列表!C26)</f>
        <v>增加耐力上限4點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limit[-][e92121]-2[-]</v>
      </c>
      <c r="C27" t="str">
        <f>ToResult(語言列表!C27)</f>
        <v>減少耐力上限2點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limit[-][e92121]-4[-]</v>
      </c>
      <c r="C28" t="str">
        <f>ToResult(語言列表!C28)</f>
        <v>減少耐力上限4點</v>
      </c>
    </row>
    <row r="29" spans="1:3" x14ac:dyDescent="0.25">
      <c r="A29" t="str">
        <f>ToResult(語言列表!A29)</f>
        <v>3005</v>
      </c>
      <c r="B29" t="str">
        <f>ToResult(語言列表!B29)</f>
        <v>[ffed00]sta reply[-][546ef2]+1[-]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reply[-][546ef2]+2[-]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reply[-][e92121]-1[-]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reply[-][e92121]-2[-]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2015-04-24T08:34:06Z</dcterms:modified>
</cp:coreProperties>
</file>