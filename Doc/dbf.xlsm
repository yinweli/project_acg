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firstSheet="8" activeTab="15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B12" i="13"/>
  <c r="B11" i="13"/>
  <c r="B10" i="13"/>
  <c r="B9" i="13"/>
  <c r="B8" i="13"/>
  <c r="B7" i="13"/>
  <c r="B6" i="13"/>
  <c r="B5" i="13"/>
  <c r="B4" i="13"/>
  <c r="B3" i="13"/>
  <c r="A12" i="13"/>
  <c r="A11" i="13"/>
  <c r="A10" i="13"/>
  <c r="A9" i="13"/>
  <c r="A8" i="13"/>
  <c r="A7" i="13"/>
  <c r="A6" i="13"/>
  <c r="A5" i="13"/>
  <c r="A4" i="13"/>
  <c r="A3" i="13"/>
  <c r="B54" i="7"/>
  <c r="B60" i="7"/>
  <c r="B80" i="7"/>
  <c r="B92" i="7"/>
  <c r="B55" i="7"/>
  <c r="B95" i="7"/>
  <c r="B88" i="7"/>
  <c r="B96" i="7"/>
  <c r="B57" i="7"/>
  <c r="B61" i="7"/>
  <c r="B81" i="7"/>
  <c r="B85" i="7"/>
  <c r="B89" i="7"/>
  <c r="B93" i="7"/>
  <c r="B97" i="7"/>
  <c r="B58" i="7"/>
  <c r="B78" i="7"/>
  <c r="B82" i="7"/>
  <c r="B86" i="7"/>
  <c r="B90" i="7"/>
  <c r="B94" i="7"/>
  <c r="B98" i="7"/>
  <c r="B59" i="7"/>
  <c r="B79" i="7"/>
  <c r="B83" i="7"/>
  <c r="B87" i="7"/>
  <c r="B91" i="7"/>
  <c r="B99" i="7"/>
  <c r="B56" i="7"/>
  <c r="B84" i="7"/>
  <c r="B69" i="7"/>
  <c r="B63" i="7"/>
  <c r="B65" i="7"/>
  <c r="B67" i="7"/>
  <c r="B68" i="7"/>
  <c r="B66" i="7"/>
  <c r="B64" i="7"/>
  <c r="B77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G7" i="8"/>
  <c r="C8" i="8"/>
  <c r="H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D8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E7" i="8"/>
  <c r="J7" i="8"/>
  <c r="E8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F7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G8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F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A97" i="7"/>
  <c r="C58" i="7"/>
  <c r="A10" i="7"/>
  <c r="B31" i="7"/>
  <c r="C83" i="7"/>
  <c r="A37" i="7"/>
  <c r="A4" i="7"/>
  <c r="B25" i="7"/>
  <c r="C46" i="7"/>
  <c r="C77" i="7"/>
  <c r="A99" i="7"/>
  <c r="C76" i="7"/>
  <c r="C23" i="7"/>
  <c r="A84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A89" i="7"/>
  <c r="B9" i="7"/>
  <c r="A83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A98" i="7"/>
  <c r="C60" i="7"/>
  <c r="A85" i="7"/>
  <c r="A19" i="7"/>
  <c r="A86" i="7"/>
  <c r="C25" i="7"/>
  <c r="A66" i="7"/>
  <c r="B10" i="7"/>
  <c r="C70" i="7"/>
  <c r="A14" i="7"/>
  <c r="C55" i="7"/>
  <c r="A33" i="7"/>
  <c r="C98" i="7"/>
  <c r="A24" i="7"/>
  <c r="C97" i="7"/>
  <c r="C84" i="7"/>
  <c r="C35" i="7"/>
  <c r="A96" i="7"/>
  <c r="A51" i="7"/>
  <c r="A6" i="7"/>
  <c r="C49" i="7"/>
  <c r="A11" i="7"/>
  <c r="A39" i="7"/>
  <c r="C43" i="7"/>
  <c r="C4" i="7"/>
  <c r="A26" i="7"/>
  <c r="A21" i="7"/>
  <c r="A20" i="7"/>
  <c r="C93" i="7"/>
  <c r="A9" i="7"/>
  <c r="A94" i="7"/>
  <c r="C32" i="7"/>
  <c r="A25" i="7"/>
  <c r="A48" i="7"/>
  <c r="A90" i="7"/>
  <c r="A3" i="7"/>
  <c r="B24" i="7"/>
  <c r="C52" i="7"/>
  <c r="C96" i="7"/>
  <c r="C51" i="7"/>
  <c r="B7" i="7"/>
  <c r="C28" i="7"/>
  <c r="A50" i="7"/>
  <c r="C75" i="7"/>
  <c r="A29" i="7"/>
  <c r="C6" i="7"/>
  <c r="A28" i="7"/>
  <c r="A82" i="7"/>
  <c r="C31" i="7"/>
  <c r="C17" i="7"/>
  <c r="C47" i="7"/>
  <c r="C99" i="7"/>
  <c r="C37" i="7"/>
  <c r="C88" i="7"/>
  <c r="B3" i="7"/>
  <c r="A46" i="7"/>
  <c r="A93" i="7"/>
  <c r="B13" i="7"/>
  <c r="C65" i="7"/>
  <c r="A87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A92" i="7"/>
  <c r="C42" i="7"/>
  <c r="B23" i="7"/>
  <c r="A91" i="7"/>
  <c r="C3" i="7"/>
  <c r="A95" i="7"/>
  <c r="C44" i="7"/>
  <c r="C22" i="7"/>
  <c r="B27" i="7"/>
  <c r="A88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80" i="7"/>
  <c r="A72" i="7"/>
  <c r="A75" i="7"/>
  <c r="A76" i="7"/>
  <c r="A74" i="7"/>
  <c r="A78" i="7"/>
  <c r="A81" i="7"/>
  <c r="A79" i="7"/>
  <c r="A77" i="7"/>
  <c r="A73" i="7"/>
  <c r="A71" i="7"/>
  <c r="A70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B2" i="13"/>
  <c r="A2" i="15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C35" i="10"/>
  <c r="F48" i="10"/>
  <c r="E37" i="10"/>
  <c r="G48" i="10"/>
  <c r="D57" i="10"/>
  <c r="D48" i="10"/>
  <c r="D99" i="10"/>
  <c r="F40" i="10"/>
  <c r="E50" i="10"/>
  <c r="F71" i="10"/>
  <c r="F90" i="10"/>
  <c r="E82" i="10"/>
  <c r="F68" i="10"/>
  <c r="C64" i="10"/>
  <c r="C39" i="10"/>
  <c r="D90" i="10"/>
  <c r="D39" i="10"/>
  <c r="F47" i="10"/>
  <c r="G98" i="10"/>
  <c r="G84" i="10"/>
  <c r="C47" i="10"/>
  <c r="F53" i="10"/>
  <c r="C62" i="10"/>
  <c r="E67" i="10"/>
  <c r="F50" i="10"/>
  <c r="C67" i="10"/>
  <c r="F80" i="10"/>
  <c r="E42" i="10"/>
  <c r="G50" i="10"/>
  <c r="F92" i="10"/>
  <c r="F46" i="10"/>
  <c r="F44" i="10"/>
  <c r="C71" i="10"/>
  <c r="D98" i="10"/>
  <c r="D41" i="10"/>
  <c r="E92" i="10"/>
  <c r="C49" i="10"/>
  <c r="F62" i="10"/>
  <c r="E34" i="10"/>
  <c r="G42" i="10"/>
  <c r="C94" i="10"/>
  <c r="E53" i="10"/>
  <c r="G89" i="10"/>
  <c r="F96" i="10"/>
  <c r="C50" i="10"/>
  <c r="C91" i="10"/>
  <c r="G53" i="10"/>
  <c r="F65" i="10"/>
  <c r="E46" i="10"/>
  <c r="C83" i="10"/>
  <c r="G76" i="10"/>
  <c r="D14" i="10"/>
  <c r="F18" i="10"/>
  <c r="G4" i="10"/>
  <c r="E14" i="10"/>
  <c r="C22" i="10"/>
  <c r="F25" i="10"/>
  <c r="D77" i="10"/>
  <c r="D3" i="10"/>
  <c r="E24" i="10"/>
  <c r="C78" i="10"/>
  <c r="E49" i="10"/>
  <c r="E70" i="10"/>
  <c r="G78" i="10"/>
  <c r="C88" i="10"/>
  <c r="G96" i="10"/>
  <c r="G86" i="10"/>
  <c r="D59" i="10"/>
  <c r="G36" i="10"/>
  <c r="E91" i="10"/>
  <c r="G16" i="10"/>
  <c r="F6" i="10"/>
  <c r="D56" i="10"/>
  <c r="E64" i="10"/>
  <c r="E17" i="10"/>
  <c r="D30" i="10"/>
  <c r="G17" i="10"/>
  <c r="D15" i="10"/>
  <c r="E22" i="10"/>
  <c r="C23" i="10"/>
  <c r="F39" i="10"/>
  <c r="E43" i="10"/>
  <c r="F57" i="10"/>
  <c r="D69" i="10"/>
  <c r="G85" i="10"/>
  <c r="F77" i="10"/>
  <c r="E48" i="10"/>
  <c r="C72" i="10"/>
  <c r="G39" i="10"/>
  <c r="F34" i="10"/>
  <c r="G14" i="10"/>
  <c r="F16" i="10"/>
  <c r="D43" i="10"/>
  <c r="F27" i="10"/>
  <c r="D12" i="10"/>
  <c r="E19" i="10"/>
  <c r="C19" i="10"/>
  <c r="E4" i="10"/>
  <c r="C18" i="10"/>
  <c r="G30" i="10"/>
  <c r="C44" i="10"/>
  <c r="D95" i="10"/>
  <c r="G44" i="10"/>
  <c r="F59" i="10"/>
  <c r="G57" i="10"/>
  <c r="C41" i="10"/>
  <c r="D46" i="10"/>
  <c r="E47" i="10"/>
  <c r="C69" i="10"/>
  <c r="C89" i="10"/>
  <c r="G3" i="10"/>
  <c r="F9" i="10"/>
  <c r="F51" i="10"/>
  <c r="G27" i="10"/>
  <c r="D20" i="10"/>
  <c r="F4" i="10"/>
  <c r="D23" i="10"/>
  <c r="F12" i="10"/>
  <c r="C3" i="10"/>
  <c r="F31" i="10"/>
  <c r="C29" i="10"/>
  <c r="C27" i="10"/>
  <c r="G47" i="10"/>
  <c r="E61" i="10"/>
  <c r="C63" i="10"/>
  <c r="F61" i="10"/>
  <c r="C70" i="10"/>
  <c r="E87" i="10"/>
  <c r="D79" i="10"/>
  <c r="D66" i="10"/>
  <c r="D63" i="10"/>
  <c r="E84" i="10"/>
  <c r="C77" i="10"/>
  <c r="C80" i="10"/>
  <c r="E85" i="10"/>
  <c r="D38" i="10"/>
  <c r="G51" i="10"/>
  <c r="G43" i="10"/>
  <c r="C52" i="10"/>
  <c r="E60" i="10"/>
  <c r="C61" i="10"/>
  <c r="D44" i="10"/>
  <c r="G71" i="10"/>
  <c r="E66" i="10"/>
  <c r="G74" i="10"/>
  <c r="C97" i="10"/>
  <c r="G88" i="10"/>
  <c r="D42" i="10"/>
  <c r="D50" i="10"/>
  <c r="D55" i="10"/>
  <c r="F63" i="10"/>
  <c r="G73" i="10"/>
  <c r="C57" i="10"/>
  <c r="E57" i="10"/>
  <c r="G83" i="10"/>
  <c r="F45" i="10"/>
  <c r="C54" i="10"/>
  <c r="E35" i="10"/>
  <c r="D80" i="10"/>
  <c r="D34" i="10"/>
  <c r="D47" i="10"/>
  <c r="F55" i="10"/>
  <c r="G41" i="10"/>
  <c r="G56" i="10"/>
  <c r="F100" i="10"/>
  <c r="C48" i="10"/>
  <c r="G62" i="10"/>
  <c r="F70" i="10"/>
  <c r="E90" i="10"/>
  <c r="C74" i="10"/>
  <c r="G54" i="10"/>
  <c r="D75" i="10"/>
  <c r="E39" i="10"/>
  <c r="G22" i="10"/>
  <c r="D32" i="10"/>
  <c r="C5" i="10"/>
  <c r="E2" i="10"/>
  <c r="F11" i="10"/>
  <c r="D9" i="10"/>
  <c r="E11" i="10"/>
  <c r="C21" i="10"/>
  <c r="F29" i="10"/>
  <c r="F81" i="10"/>
  <c r="F76" i="10"/>
  <c r="E40" i="10"/>
  <c r="F91" i="10"/>
  <c r="G45" i="10"/>
  <c r="C53" i="10"/>
  <c r="C93" i="10"/>
  <c r="F67" i="10"/>
  <c r="D45" i="10"/>
  <c r="E93" i="10"/>
  <c r="D10" i="10"/>
  <c r="E21" i="10"/>
  <c r="E7" i="10"/>
  <c r="G7" i="10"/>
  <c r="C16" i="10"/>
  <c r="F24" i="10"/>
  <c r="E71" i="10"/>
  <c r="G23" i="10"/>
  <c r="D29" i="10"/>
  <c r="E28" i="10"/>
  <c r="G90" i="10"/>
  <c r="G55" i="10"/>
  <c r="F73" i="10"/>
  <c r="C82" i="10"/>
  <c r="G49" i="10"/>
  <c r="G99" i="10"/>
  <c r="F99" i="10"/>
  <c r="E80" i="10"/>
  <c r="F49" i="10"/>
  <c r="G38" i="10"/>
  <c r="D6" i="10"/>
  <c r="E30" i="10"/>
  <c r="E10" i="10"/>
  <c r="D76" i="10"/>
  <c r="G20" i="10"/>
  <c r="D26" i="10"/>
  <c r="E32" i="10"/>
  <c r="G12" i="10"/>
  <c r="F19" i="10"/>
  <c r="G15" i="10"/>
  <c r="E52" i="10"/>
  <c r="F78" i="10"/>
  <c r="G60" i="10"/>
  <c r="E72" i="10"/>
  <c r="D92" i="10"/>
  <c r="C84" i="10"/>
  <c r="G52" i="10"/>
  <c r="C42" i="10"/>
  <c r="E65" i="10"/>
  <c r="G80" i="10"/>
  <c r="D18" i="10"/>
  <c r="G18" i="10"/>
  <c r="E12" i="10"/>
  <c r="F52" i="10"/>
  <c r="D8" i="10"/>
  <c r="E31" i="10"/>
  <c r="C11" i="10"/>
  <c r="G9" i="10"/>
  <c r="C9" i="10"/>
  <c r="G25" i="10"/>
  <c r="C25" i="10"/>
  <c r="C32" i="10"/>
  <c r="B80" i="10"/>
  <c r="B86" i="10"/>
  <c r="A60" i="10"/>
  <c r="B57" i="10"/>
  <c r="A35" i="10"/>
  <c r="G35" i="10"/>
  <c r="C87" i="10"/>
  <c r="C36" i="10"/>
  <c r="E44" i="10"/>
  <c r="F95" i="10"/>
  <c r="G61" i="10"/>
  <c r="D88" i="10"/>
  <c r="F37" i="10"/>
  <c r="G58" i="10"/>
  <c r="F54" i="10"/>
  <c r="G37" i="10"/>
  <c r="C43" i="10"/>
  <c r="D51" i="10"/>
  <c r="G63" i="10"/>
  <c r="E77" i="10"/>
  <c r="D86" i="10"/>
  <c r="G34" i="10"/>
  <c r="C86" i="10"/>
  <c r="F86" i="10"/>
  <c r="E86" i="10"/>
  <c r="G40" i="10"/>
  <c r="D49" i="10"/>
  <c r="E100" i="10"/>
  <c r="C96" i="10"/>
  <c r="D54" i="10"/>
  <c r="G67" i="10"/>
  <c r="G91" i="10"/>
  <c r="C38" i="10"/>
  <c r="D89" i="10"/>
  <c r="D36" i="10"/>
  <c r="C100" i="10"/>
  <c r="D58" i="10"/>
  <c r="D78" i="10"/>
  <c r="D71" i="10"/>
  <c r="F79" i="10"/>
  <c r="E94" i="10"/>
  <c r="E98" i="10"/>
  <c r="G79" i="10"/>
  <c r="G72" i="10"/>
  <c r="D81" i="10"/>
  <c r="E55" i="10"/>
  <c r="G77" i="10"/>
  <c r="F72" i="10"/>
  <c r="D37" i="10"/>
  <c r="E88" i="10"/>
  <c r="D40" i="10"/>
  <c r="D70" i="10"/>
  <c r="D87" i="10"/>
  <c r="C85" i="10"/>
  <c r="D72" i="10"/>
  <c r="G2" i="10"/>
  <c r="F22" i="10"/>
  <c r="D94" i="10"/>
  <c r="C56" i="10"/>
  <c r="D4" i="10"/>
  <c r="E27" i="10"/>
  <c r="G24" i="10"/>
  <c r="D22" i="10"/>
  <c r="F13" i="10"/>
  <c r="E20" i="10"/>
  <c r="F69" i="10"/>
  <c r="G92" i="10"/>
  <c r="E54" i="10"/>
  <c r="C66" i="10"/>
  <c r="E79" i="10"/>
  <c r="F66" i="10"/>
  <c r="F35" i="10"/>
  <c r="C59" i="10"/>
  <c r="C73" i="10"/>
  <c r="D68" i="10"/>
  <c r="E8" i="10"/>
  <c r="C17" i="10"/>
  <c r="G31" i="10"/>
  <c r="D31" i="10"/>
  <c r="D16" i="10"/>
  <c r="E23" i="10"/>
  <c r="G21" i="10"/>
  <c r="E3" i="10"/>
  <c r="F23" i="10"/>
  <c r="D21" i="10"/>
  <c r="C95" i="10"/>
  <c r="C76" i="10"/>
  <c r="F41" i="10"/>
  <c r="E56" i="10"/>
  <c r="C45" i="10"/>
  <c r="F94" i="10"/>
  <c r="C40" i="10"/>
  <c r="C79" i="10"/>
  <c r="E99" i="10"/>
  <c r="E51" i="10"/>
  <c r="G13" i="10"/>
  <c r="C8" i="10"/>
  <c r="G28" i="10"/>
  <c r="F8" i="10"/>
  <c r="G8" i="10"/>
  <c r="F20" i="10"/>
  <c r="G5" i="10"/>
  <c r="F93" i="10"/>
  <c r="G19" i="10"/>
  <c r="D25" i="10"/>
  <c r="F30" i="10"/>
  <c r="G65" i="10"/>
  <c r="E89" i="10"/>
  <c r="G46" i="10"/>
  <c r="C98" i="10"/>
  <c r="E78" i="10"/>
  <c r="D100" i="10"/>
  <c r="D64" i="10"/>
  <c r="D52" i="10"/>
  <c r="G70" i="10"/>
  <c r="F2" i="10"/>
  <c r="C20" i="10"/>
  <c r="F28" i="10"/>
  <c r="F15" i="10"/>
  <c r="E16" i="10"/>
  <c r="C10" i="10"/>
  <c r="G29" i="10"/>
  <c r="G68" i="10"/>
  <c r="D7" i="10"/>
  <c r="E29" i="10"/>
  <c r="F5" i="10"/>
  <c r="C28" i="10"/>
  <c r="C26" i="10"/>
  <c r="B37" i="10"/>
  <c r="A68" i="10"/>
  <c r="B19" i="10"/>
  <c r="A71" i="10"/>
  <c r="D82" i="10"/>
  <c r="C65" i="10"/>
  <c r="F74" i="10"/>
  <c r="F64" i="10"/>
  <c r="G93" i="10"/>
  <c r="F87" i="10"/>
  <c r="E73" i="10"/>
  <c r="C92" i="10"/>
  <c r="G66" i="10"/>
  <c r="C60" i="10"/>
  <c r="F36" i="10"/>
  <c r="F97" i="10"/>
  <c r="E5" i="10"/>
  <c r="E15" i="10"/>
  <c r="F10" i="10"/>
  <c r="G75" i="10"/>
  <c r="E97" i="10"/>
  <c r="F82" i="10"/>
  <c r="D28" i="10"/>
  <c r="E9" i="10"/>
  <c r="G94" i="10"/>
  <c r="C99" i="10"/>
  <c r="D24" i="10"/>
  <c r="G32" i="10"/>
  <c r="C7" i="10"/>
  <c r="D85" i="10"/>
  <c r="D93" i="10"/>
  <c r="E26" i="10"/>
  <c r="F26" i="10"/>
  <c r="D17" i="10"/>
  <c r="B54" i="10"/>
  <c r="A12" i="10"/>
  <c r="B60" i="10"/>
  <c r="A66" i="10"/>
  <c r="B14" i="10"/>
  <c r="B84" i="10"/>
  <c r="B26" i="10"/>
  <c r="B35" i="10"/>
  <c r="A49" i="10"/>
  <c r="A26" i="10"/>
  <c r="A24" i="10"/>
  <c r="B8" i="10"/>
  <c r="B68" i="10"/>
  <c r="B91" i="10"/>
  <c r="A81" i="10"/>
  <c r="B32" i="10"/>
  <c r="A97" i="10"/>
  <c r="B40" i="10"/>
  <c r="A94" i="10"/>
  <c r="B20" i="10"/>
  <c r="A45" i="10"/>
  <c r="B89" i="10"/>
  <c r="A91" i="10"/>
  <c r="A10" i="10"/>
  <c r="B97" i="10"/>
  <c r="B38" i="10"/>
  <c r="B66" i="10"/>
  <c r="A100" i="10"/>
  <c r="A37" i="10"/>
  <c r="B98" i="10"/>
  <c r="A96" i="10"/>
  <c r="B73" i="10"/>
  <c r="A21" i="10"/>
  <c r="B41" i="10"/>
  <c r="B16" i="10"/>
  <c r="E6" i="10"/>
  <c r="B87" i="10"/>
  <c r="B81" i="10"/>
  <c r="A25" i="10"/>
  <c r="A20" i="10"/>
  <c r="B27" i="10"/>
  <c r="A72" i="10"/>
  <c r="A14" i="10"/>
  <c r="B24" i="10"/>
  <c r="A47" i="10"/>
  <c r="B64" i="10"/>
  <c r="E74" i="10"/>
  <c r="F84" i="10"/>
  <c r="D96" i="10"/>
  <c r="E69" i="10"/>
  <c r="F85" i="10"/>
  <c r="G97" i="10"/>
  <c r="C68" i="10"/>
  <c r="E45" i="10"/>
  <c r="C81" i="10"/>
  <c r="E68" i="10"/>
  <c r="D67" i="10"/>
  <c r="E95" i="10"/>
  <c r="C14" i="10"/>
  <c r="F14" i="10"/>
  <c r="D5" i="10"/>
  <c r="E63" i="10"/>
  <c r="E75" i="10"/>
  <c r="E96" i="10"/>
  <c r="C13" i="10"/>
  <c r="G6" i="10"/>
  <c r="F42" i="10"/>
  <c r="F58" i="10"/>
  <c r="C58" i="10"/>
  <c r="D13" i="10"/>
  <c r="C75" i="10"/>
  <c r="G95" i="10"/>
  <c r="G81" i="10"/>
  <c r="E62" i="10"/>
  <c r="E18" i="10"/>
  <c r="D27" i="10"/>
  <c r="B43" i="10"/>
  <c r="B21" i="10"/>
  <c r="B70" i="10"/>
  <c r="A52" i="10"/>
  <c r="A22" i="10"/>
  <c r="B52" i="10"/>
  <c r="B88" i="10"/>
  <c r="A59" i="10"/>
  <c r="A6" i="10"/>
  <c r="B95" i="10"/>
  <c r="B75" i="10"/>
  <c r="A57" i="10"/>
  <c r="A58" i="10"/>
  <c r="A31" i="10"/>
  <c r="B18" i="10"/>
  <c r="B76" i="10"/>
  <c r="A89" i="10"/>
  <c r="B6" i="10"/>
  <c r="A9" i="10"/>
  <c r="B99" i="10"/>
  <c r="A67" i="10"/>
  <c r="B22" i="10"/>
  <c r="A39" i="10"/>
  <c r="B65" i="10"/>
  <c r="A65" i="10"/>
  <c r="A8" i="10"/>
  <c r="A78" i="10"/>
  <c r="B45" i="10"/>
  <c r="A88" i="10"/>
  <c r="B13" i="10"/>
  <c r="B34" i="10"/>
  <c r="B92" i="10"/>
  <c r="B46" i="10"/>
  <c r="A29" i="10"/>
  <c r="B44" i="10"/>
  <c r="A70" i="10"/>
  <c r="A5" i="10"/>
  <c r="A82" i="10"/>
  <c r="B79" i="10"/>
  <c r="A80" i="10"/>
  <c r="B28" i="10"/>
  <c r="A48" i="10"/>
  <c r="B51" i="10"/>
  <c r="A95" i="10"/>
  <c r="A17" i="10"/>
  <c r="F60" i="10"/>
  <c r="C46" i="10"/>
  <c r="E38" i="10"/>
  <c r="G64" i="10"/>
  <c r="E41" i="10"/>
  <c r="E76" i="10"/>
  <c r="G69" i="10"/>
  <c r="F75" i="10"/>
  <c r="F32" i="10"/>
  <c r="G87" i="10"/>
  <c r="G10" i="10"/>
  <c r="C15" i="10"/>
  <c r="E83" i="10"/>
  <c r="E13" i="10"/>
  <c r="D62" i="10"/>
  <c r="C90" i="10"/>
  <c r="G11" i="10"/>
  <c r="A42" i="10"/>
  <c r="B50" i="10"/>
  <c r="A93" i="10"/>
  <c r="A63" i="10"/>
  <c r="A11" i="10"/>
  <c r="B25" i="10"/>
  <c r="A99" i="10"/>
  <c r="A84" i="10"/>
  <c r="B69" i="10"/>
  <c r="A36" i="10"/>
  <c r="B58" i="10"/>
  <c r="B48" i="10"/>
  <c r="A44" i="10"/>
  <c r="B71" i="10"/>
  <c r="B3" i="10"/>
  <c r="B56" i="10"/>
  <c r="B90" i="10"/>
  <c r="B5" i="10"/>
  <c r="A30" i="10"/>
  <c r="A61" i="10"/>
  <c r="D74" i="10"/>
  <c r="E59" i="10"/>
  <c r="D97" i="10"/>
  <c r="C51" i="10"/>
  <c r="D73" i="10"/>
  <c r="E36" i="10"/>
  <c r="C55" i="10"/>
  <c r="G100" i="10"/>
  <c r="E58" i="10"/>
  <c r="G59" i="10"/>
  <c r="D65" i="10"/>
  <c r="F98" i="10"/>
  <c r="F83" i="10"/>
  <c r="F17" i="10"/>
  <c r="D19" i="10"/>
  <c r="D53" i="10"/>
  <c r="F89" i="10"/>
  <c r="C6" i="10"/>
  <c r="F7" i="10"/>
  <c r="G26" i="10"/>
  <c r="F43" i="10"/>
  <c r="D91" i="10"/>
  <c r="C2" i="10"/>
  <c r="C12" i="10"/>
  <c r="E25" i="10"/>
  <c r="C34" i="10"/>
  <c r="D61" i="10"/>
  <c r="D2" i="10"/>
  <c r="C4" i="10"/>
  <c r="F3" i="10"/>
  <c r="C30" i="10"/>
  <c r="C24" i="10"/>
  <c r="A83" i="10"/>
  <c r="B9" i="10"/>
  <c r="B93" i="10"/>
  <c r="A69" i="10"/>
  <c r="A32" i="10"/>
  <c r="A18" i="10"/>
  <c r="B67" i="10"/>
  <c r="A43" i="10"/>
  <c r="B29" i="10"/>
  <c r="A23" i="10"/>
  <c r="B78" i="10"/>
  <c r="B23" i="10"/>
  <c r="B63" i="10"/>
  <c r="A87" i="10"/>
  <c r="B10" i="10"/>
  <c r="A46" i="10"/>
  <c r="B49" i="10"/>
  <c r="A90" i="10"/>
  <c r="A19" i="10"/>
  <c r="B39" i="10"/>
  <c r="B85" i="10"/>
  <c r="A53" i="10"/>
  <c r="B15" i="10"/>
  <c r="A79" i="10"/>
  <c r="A62" i="10"/>
  <c r="B82" i="10"/>
  <c r="A98" i="10"/>
  <c r="A34" i="10"/>
  <c r="B17" i="10"/>
  <c r="B83" i="10"/>
  <c r="A56" i="10"/>
  <c r="B31" i="10"/>
  <c r="A76" i="10"/>
  <c r="B55" i="10"/>
  <c r="A74" i="10"/>
  <c r="B53" i="10"/>
  <c r="A77" i="10"/>
  <c r="B7" i="10"/>
  <c r="B94" i="10"/>
  <c r="B30" i="10"/>
  <c r="B74" i="10"/>
  <c r="A4" i="10"/>
  <c r="B36" i="10"/>
  <c r="B47" i="10"/>
  <c r="A75" i="10"/>
  <c r="B12" i="10"/>
  <c r="B62" i="10"/>
  <c r="A13" i="10"/>
  <c r="A51" i="10"/>
  <c r="A3" i="10"/>
  <c r="B4" i="10"/>
  <c r="B42" i="10"/>
  <c r="A7" i="10"/>
  <c r="B61" i="10"/>
  <c r="A40" i="10"/>
  <c r="A85" i="10"/>
  <c r="A38" i="10"/>
  <c r="A28" i="10"/>
  <c r="G82" i="10"/>
  <c r="F88" i="10"/>
  <c r="F56" i="10"/>
  <c r="D84" i="10"/>
  <c r="F38" i="10"/>
  <c r="F21" i="10"/>
  <c r="D35" i="10"/>
  <c r="C37" i="10"/>
  <c r="E81" i="10"/>
  <c r="D11" i="10"/>
  <c r="D83" i="10"/>
  <c r="D60" i="10"/>
  <c r="C31" i="10"/>
  <c r="B77" i="10"/>
  <c r="A15" i="10"/>
  <c r="A64" i="10"/>
  <c r="A41" i="10"/>
  <c r="B96" i="10"/>
  <c r="B11" i="10"/>
  <c r="B72" i="10"/>
  <c r="A54" i="10"/>
  <c r="A73" i="10"/>
  <c r="B100" i="10"/>
  <c r="A92" i="10"/>
  <c r="A55" i="10"/>
  <c r="A86" i="10"/>
  <c r="A50" i="10"/>
  <c r="B59" i="10"/>
  <c r="A16" i="10"/>
  <c r="A27" i="10"/>
  <c r="G33" i="10"/>
  <c r="F33" i="10"/>
  <c r="E33" i="10"/>
  <c r="D33" i="10"/>
  <c r="C33" i="10"/>
  <c r="B33" i="10"/>
  <c r="A33" i="10"/>
  <c r="M2" i="1" l="1"/>
  <c r="P2" i="1"/>
  <c r="A1" i="10" l="1"/>
  <c r="A2" i="10"/>
  <c r="B2" i="10"/>
  <c r="C2" i="7"/>
  <c r="A2" i="7"/>
  <c r="B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<sst xmlns="http://schemas.openxmlformats.org/spreadsheetml/2006/main" count="446" uniqueCount="270">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</sst>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71">
  <autoFilter ref="A1:C100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4" dataDxfId="43">
  <autoFilter ref="A1:G100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50" activePane="bottomLeft" state="frozen"/>
      <selection pane="bottomLeft" activeCell="C72" sqref="C72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221</v>
      </c>
      <c r="C4" s="14" t="s">
        <v>27</v>
      </c>
    </row>
    <row r="5" spans="1:3">
      <c r="A5" s="3">
        <v>1004</v>
      </c>
      <c r="B5" s="3" t="s">
        <v>222</v>
      </c>
      <c r="C5" s="14" t="s">
        <v>54</v>
      </c>
    </row>
    <row r="6" spans="1:3">
      <c r="A6" s="3">
        <v>1005</v>
      </c>
      <c r="B6" s="3" t="s">
        <v>223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127</v>
      </c>
      <c r="C18" s="18" t="s">
        <v>111</v>
      </c>
    </row>
    <row r="19" spans="1:3">
      <c r="A19" s="3">
        <v>2010</v>
      </c>
      <c r="B19" s="3" t="s">
        <v>128</v>
      </c>
      <c r="C19" s="18" t="s">
        <v>112</v>
      </c>
    </row>
    <row r="20" spans="1:3">
      <c r="A20" s="3">
        <v>2011</v>
      </c>
      <c r="B20" s="3" t="s">
        <v>129</v>
      </c>
      <c r="C20" s="18" t="s">
        <v>113</v>
      </c>
    </row>
    <row r="21" spans="1:3">
      <c r="A21" s="3">
        <v>2012</v>
      </c>
      <c r="B21" s="3" t="s">
        <v>130</v>
      </c>
      <c r="C21" s="18" t="s">
        <v>114</v>
      </c>
    </row>
    <row r="22" spans="1:3">
      <c r="A22" s="3">
        <v>2013</v>
      </c>
      <c r="B22" s="3" t="s">
        <v>131</v>
      </c>
      <c r="C22" s="18" t="s">
        <v>116</v>
      </c>
    </row>
    <row r="23" spans="1:3">
      <c r="A23" s="3">
        <v>2014</v>
      </c>
      <c r="B23" s="3" t="s">
        <v>132</v>
      </c>
      <c r="C23" s="14" t="s">
        <v>115</v>
      </c>
    </row>
    <row r="24" spans="1:3">
      <c r="A24" s="3">
        <v>2015</v>
      </c>
      <c r="B24" s="3" t="s">
        <v>136</v>
      </c>
      <c r="C24" s="14" t="s">
        <v>117</v>
      </c>
    </row>
    <row r="25" spans="1:3">
      <c r="A25" s="3">
        <v>2016</v>
      </c>
      <c r="B25" s="3" t="s">
        <v>133</v>
      </c>
      <c r="C25" s="14" t="s">
        <v>118</v>
      </c>
    </row>
    <row r="26" spans="1:3">
      <c r="A26" s="3">
        <v>2017</v>
      </c>
      <c r="B26" s="3" t="s">
        <v>141</v>
      </c>
      <c r="C26" s="14" t="s">
        <v>119</v>
      </c>
    </row>
    <row r="27" spans="1:3">
      <c r="A27" s="3">
        <v>2018</v>
      </c>
      <c r="B27" s="3" t="s">
        <v>137</v>
      </c>
      <c r="C27" s="14" t="s">
        <v>138</v>
      </c>
    </row>
    <row r="28" spans="1:3">
      <c r="A28" s="3">
        <v>2019</v>
      </c>
      <c r="B28" s="3" t="s">
        <v>134</v>
      </c>
      <c r="C28" s="14" t="s">
        <v>120</v>
      </c>
    </row>
    <row r="29" spans="1:3">
      <c r="A29" s="3">
        <v>2020</v>
      </c>
      <c r="B29" s="3" t="s">
        <v>135</v>
      </c>
      <c r="C29" s="14" t="s">
        <v>121</v>
      </c>
    </row>
    <row r="30" spans="1:3">
      <c r="A30" s="3">
        <v>2021</v>
      </c>
      <c r="B30" s="3" t="s">
        <v>153</v>
      </c>
      <c r="C30" s="14" t="s">
        <v>139</v>
      </c>
    </row>
    <row r="31" spans="1:3">
      <c r="A31" s="3">
        <v>2022</v>
      </c>
      <c r="B31" s="3" t="s">
        <v>154</v>
      </c>
      <c r="C31" s="14" t="s">
        <v>140</v>
      </c>
    </row>
    <row r="32" spans="1:3">
      <c r="A32" s="19">
        <v>3001</v>
      </c>
      <c r="B32" s="3" t="s">
        <v>239</v>
      </c>
      <c r="C32" s="22"/>
    </row>
    <row r="33" spans="1:3">
      <c r="A33" s="19">
        <v>3002</v>
      </c>
      <c r="B33" s="3" t="s">
        <v>240</v>
      </c>
      <c r="C33" s="22"/>
    </row>
    <row r="34" spans="1:3">
      <c r="A34" s="19">
        <v>3003</v>
      </c>
      <c r="B34" s="3" t="s">
        <v>241</v>
      </c>
      <c r="C34" s="22"/>
    </row>
    <row r="35" spans="1:3">
      <c r="A35" s="19">
        <v>3004</v>
      </c>
      <c r="B35" s="3" t="s">
        <v>242</v>
      </c>
      <c r="C35" s="22"/>
    </row>
    <row r="36" spans="1:3">
      <c r="A36" s="19">
        <v>3005</v>
      </c>
      <c r="B36" s="3" t="s">
        <v>243</v>
      </c>
      <c r="C36" s="22"/>
    </row>
    <row r="37" spans="1:3">
      <c r="A37" s="19">
        <v>3006</v>
      </c>
      <c r="B37" s="3" t="s">
        <v>244</v>
      </c>
      <c r="C37" s="18"/>
    </row>
    <row r="38" spans="1:3">
      <c r="A38" s="19">
        <v>3007</v>
      </c>
      <c r="B38" s="3" t="s">
        <v>245</v>
      </c>
      <c r="C38" s="18"/>
    </row>
    <row r="39" spans="1:3">
      <c r="A39" s="19">
        <v>3008</v>
      </c>
      <c r="B39" s="3" t="s">
        <v>246</v>
      </c>
      <c r="C39" s="18"/>
    </row>
    <row r="40" spans="1:3">
      <c r="A40" s="19">
        <v>3009</v>
      </c>
      <c r="B40" s="3" t="s">
        <v>247</v>
      </c>
      <c r="C40" s="18"/>
    </row>
    <row r="41" spans="1:3">
      <c r="A41" s="19">
        <v>3010</v>
      </c>
      <c r="B41" s="3" t="s">
        <v>248</v>
      </c>
      <c r="C41" s="18"/>
    </row>
    <row r="42" spans="1:3">
      <c r="A42" s="19">
        <v>3011</v>
      </c>
      <c r="B42" s="3" t="s">
        <v>249</v>
      </c>
      <c r="C42" s="18"/>
    </row>
    <row r="43" spans="1:3">
      <c r="A43" s="19">
        <v>3012</v>
      </c>
      <c r="B43" s="3" t="s">
        <v>250</v>
      </c>
      <c r="C43" s="18"/>
    </row>
    <row r="44" spans="1:3">
      <c r="A44" s="19">
        <v>3013</v>
      </c>
      <c r="B44" s="3" t="s">
        <v>251</v>
      </c>
      <c r="C44" s="18"/>
    </row>
    <row r="45" spans="1:3">
      <c r="A45" s="19">
        <v>3014</v>
      </c>
      <c r="B45" s="3" t="s">
        <v>252</v>
      </c>
      <c r="C45" s="18"/>
    </row>
    <row r="46" spans="1:3">
      <c r="A46" s="19">
        <v>3015</v>
      </c>
      <c r="B46" s="3" t="s">
        <v>253</v>
      </c>
      <c r="C46" s="18"/>
    </row>
    <row r="47" spans="1:3">
      <c r="A47" s="19">
        <v>3016</v>
      </c>
      <c r="B47" s="3" t="s">
        <v>254</v>
      </c>
      <c r="C47" s="14"/>
    </row>
    <row r="48" spans="1:3">
      <c r="A48" s="19">
        <v>3017</v>
      </c>
      <c r="B48" s="3" t="s">
        <v>255</v>
      </c>
      <c r="C48" s="14"/>
    </row>
    <row r="49" spans="1:3">
      <c r="A49" s="19">
        <v>3018</v>
      </c>
      <c r="B49" s="3" t="s">
        <v>256</v>
      </c>
      <c r="C49" s="14"/>
    </row>
    <row r="50" spans="1:3">
      <c r="A50" s="19">
        <v>3019</v>
      </c>
      <c r="B50" s="3" t="s">
        <v>257</v>
      </c>
      <c r="C50" s="14"/>
    </row>
    <row r="51" spans="1:3">
      <c r="A51" s="19">
        <v>3020</v>
      </c>
      <c r="B51" s="3" t="s">
        <v>258</v>
      </c>
      <c r="C51" s="14"/>
    </row>
    <row r="52" spans="1:3">
      <c r="A52" s="19">
        <v>3021</v>
      </c>
      <c r="B52" s="3" t="s">
        <v>259</v>
      </c>
      <c r="C52" s="14"/>
    </row>
    <row r="53" spans="1:3">
      <c r="A53" s="19">
        <v>3022</v>
      </c>
      <c r="B53" s="3" t="s">
        <v>260</v>
      </c>
      <c r="C53" s="14"/>
    </row>
    <row r="54" spans="1:3">
      <c r="A54" s="19">
        <v>4001</v>
      </c>
      <c r="B54" s="3" t="s">
        <v>224</v>
      </c>
      <c r="C54" s="14"/>
    </row>
    <row r="55" spans="1:3">
      <c r="A55" s="19">
        <v>4002</v>
      </c>
      <c r="B55" s="3" t="s">
        <v>225</v>
      </c>
      <c r="C55" s="14"/>
    </row>
    <row r="56" spans="1:3">
      <c r="A56" s="19">
        <v>4003</v>
      </c>
      <c r="B56" s="3" t="s">
        <v>226</v>
      </c>
      <c r="C56" s="14"/>
    </row>
    <row r="57" spans="1:3">
      <c r="A57" s="19">
        <v>4004</v>
      </c>
      <c r="B57" s="3" t="s">
        <v>227</v>
      </c>
      <c r="C57" s="14"/>
    </row>
    <row r="58" spans="1:3">
      <c r="A58" s="19">
        <v>4005</v>
      </c>
      <c r="B58" s="3" t="s">
        <v>228</v>
      </c>
      <c r="C58" s="14"/>
    </row>
    <row r="59" spans="1:3">
      <c r="A59" s="19">
        <v>4006</v>
      </c>
      <c r="B59" s="3" t="s">
        <v>229</v>
      </c>
      <c r="C59" s="14"/>
    </row>
    <row r="60" spans="1:3">
      <c r="A60" s="19">
        <v>4007</v>
      </c>
      <c r="B60" s="3" t="s">
        <v>230</v>
      </c>
      <c r="C60" s="14"/>
    </row>
    <row r="61" spans="1:3">
      <c r="A61" s="19">
        <v>4008</v>
      </c>
      <c r="B61" s="3" t="s">
        <v>231</v>
      </c>
      <c r="C61" s="14"/>
    </row>
    <row r="62" spans="1:3">
      <c r="A62" s="19">
        <v>5001</v>
      </c>
      <c r="B62" s="3" t="s">
        <v>261</v>
      </c>
      <c r="C62" s="14"/>
    </row>
    <row r="63" spans="1:3">
      <c r="A63" s="19">
        <v>5002</v>
      </c>
      <c r="B63" s="3" t="s">
        <v>232</v>
      </c>
      <c r="C63" s="14"/>
    </row>
    <row r="64" spans="1:3">
      <c r="A64" s="19">
        <v>5003</v>
      </c>
      <c r="B64" s="3" t="s">
        <v>233</v>
      </c>
      <c r="C64" s="14"/>
    </row>
    <row r="65" spans="1:3">
      <c r="A65" s="19">
        <v>5004</v>
      </c>
      <c r="B65" s="3" t="s">
        <v>234</v>
      </c>
      <c r="C65" s="14"/>
    </row>
    <row r="66" spans="1:3">
      <c r="A66" s="19">
        <v>5005</v>
      </c>
      <c r="B66" s="3" t="s">
        <v>235</v>
      </c>
      <c r="C66" s="14"/>
    </row>
    <row r="67" spans="1:3">
      <c r="A67" s="19">
        <v>5006</v>
      </c>
      <c r="B67" s="3" t="s">
        <v>236</v>
      </c>
      <c r="C67" s="14"/>
    </row>
    <row r="68" spans="1:3">
      <c r="A68" s="19">
        <v>5007</v>
      </c>
      <c r="B68" s="3" t="s">
        <v>237</v>
      </c>
      <c r="C68" s="14"/>
    </row>
    <row r="69" spans="1:3">
      <c r="A69" s="19">
        <v>5008</v>
      </c>
      <c r="B69" s="3" t="s">
        <v>238</v>
      </c>
      <c r="C69" s="14"/>
    </row>
    <row r="70" spans="1:3">
      <c r="A70" s="19">
        <v>6001</v>
      </c>
      <c r="B70" s="3" t="s">
        <v>262</v>
      </c>
      <c r="C70" s="14"/>
    </row>
    <row r="71" spans="1:3">
      <c r="A71" s="19">
        <v>6002</v>
      </c>
      <c r="B71" s="3" t="s">
        <v>263</v>
      </c>
      <c r="C71" s="14"/>
    </row>
    <row r="72" spans="1:3">
      <c r="A72" s="19">
        <v>6003</v>
      </c>
      <c r="B72" s="3" t="s">
        <v>264</v>
      </c>
      <c r="C72" s="14"/>
    </row>
    <row r="73" spans="1:3">
      <c r="A73" s="19">
        <v>6004</v>
      </c>
      <c r="B73" s="3" t="s">
        <v>265</v>
      </c>
      <c r="C73" s="14"/>
    </row>
    <row r="74" spans="1:3">
      <c r="A74" s="19">
        <v>6005</v>
      </c>
      <c r="B74" s="3" t="s">
        <v>266</v>
      </c>
      <c r="C74" s="14"/>
    </row>
    <row r="75" spans="1:3">
      <c r="A75" s="19">
        <v>6006</v>
      </c>
      <c r="B75" s="3" t="s">
        <v>267</v>
      </c>
      <c r="C75" s="14"/>
    </row>
    <row r="76" spans="1:3">
      <c r="A76" s="19">
        <v>6007</v>
      </c>
      <c r="B76" s="3" t="s">
        <v>268</v>
      </c>
      <c r="C76" s="14"/>
    </row>
    <row r="77" spans="1:3">
      <c r="A77" s="19">
        <v>6008</v>
      </c>
      <c r="B77" s="3" t="s">
        <v>269</v>
      </c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6"/>
      <c r="B96" s="20"/>
      <c r="C96" s="15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C1" workbookViewId="0">
      <pane ySplit="1" topLeftCell="A2" activePane="bottomLeft" state="frozen"/>
      <selection pane="bottomLeft" activeCell="B3" sqref="B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109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124</v>
      </c>
      <c r="L3" s="3" t="s">
        <v>206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10</v>
      </c>
      <c r="F7" s="3">
        <v>20</v>
      </c>
      <c r="G7" s="3">
        <v>0.2</v>
      </c>
      <c r="H7" s="3">
        <v>0.5</v>
      </c>
      <c r="I7" s="3" t="s">
        <v>14</v>
      </c>
      <c r="J7" s="3" t="s">
        <v>20</v>
      </c>
      <c r="L7" s="3" t="s">
        <v>57</v>
      </c>
      <c r="M7" s="13">
        <f>IF(裝備!H7&gt;0,1/裝備!H7,0)</f>
        <v>2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40</v>
      </c>
      <c r="G8" s="3">
        <v>0.35</v>
      </c>
      <c r="H8" s="3">
        <v>1</v>
      </c>
      <c r="I8" s="3" t="s">
        <v>14</v>
      </c>
      <c r="J8" s="3" t="s">
        <v>20</v>
      </c>
      <c r="L8" s="3" t="s">
        <v>58</v>
      </c>
      <c r="M8" s="13">
        <f>IF(裝備!H8&gt;0,1/裝備!H8,0)</f>
        <v>1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109</v>
      </c>
      <c r="E1" s="2" t="s">
        <v>78</v>
      </c>
      <c r="F1" s="2" t="s">
        <v>37</v>
      </c>
      <c r="G1" s="2" t="s">
        <v>33</v>
      </c>
      <c r="H1" s="26" t="s">
        <v>95</v>
      </c>
      <c r="J1" s="17" t="s">
        <v>34</v>
      </c>
    </row>
    <row r="2" spans="1:10">
      <c r="A2" s="3">
        <v>1</v>
      </c>
      <c r="B2" s="3">
        <v>2001</v>
      </c>
      <c r="C2" s="3" t="s">
        <v>97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97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97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97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99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99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99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99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101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111</v>
      </c>
    </row>
    <row r="11" spans="1:10">
      <c r="A11" s="3">
        <v>10</v>
      </c>
      <c r="B11" s="3">
        <v>2010</v>
      </c>
      <c r="C11" s="3" t="s">
        <v>101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112</v>
      </c>
    </row>
    <row r="12" spans="1:10">
      <c r="A12" s="3">
        <v>11</v>
      </c>
      <c r="B12" s="3">
        <v>2011</v>
      </c>
      <c r="C12" s="3" t="s">
        <v>101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113</v>
      </c>
    </row>
    <row r="13" spans="1:10">
      <c r="A13" s="3">
        <v>12</v>
      </c>
      <c r="B13" s="3">
        <v>2012</v>
      </c>
      <c r="C13" s="3" t="s">
        <v>101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114</v>
      </c>
    </row>
    <row r="14" spans="1:10">
      <c r="A14" s="3">
        <v>13</v>
      </c>
      <c r="B14" s="3">
        <v>2013</v>
      </c>
      <c r="C14" s="3" t="s">
        <v>103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116</v>
      </c>
    </row>
    <row r="15" spans="1:10">
      <c r="A15" s="3">
        <v>14</v>
      </c>
      <c r="B15" s="3">
        <v>2014</v>
      </c>
      <c r="C15" s="3" t="s">
        <v>103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115</v>
      </c>
    </row>
    <row r="16" spans="1:10">
      <c r="A16" s="3">
        <v>15</v>
      </c>
      <c r="B16" s="3">
        <v>2015</v>
      </c>
      <c r="C16" s="3" t="s">
        <v>105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117</v>
      </c>
    </row>
    <row r="17" spans="1:10">
      <c r="A17" s="3">
        <v>16</v>
      </c>
      <c r="B17" s="3">
        <v>2016</v>
      </c>
      <c r="C17" s="3" t="s">
        <v>105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118</v>
      </c>
    </row>
    <row r="18" spans="1:10">
      <c r="A18" s="3">
        <v>17</v>
      </c>
      <c r="B18" s="3">
        <v>2017</v>
      </c>
      <c r="C18" s="3" t="s">
        <v>106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119</v>
      </c>
    </row>
    <row r="19" spans="1:10">
      <c r="A19" s="3">
        <v>18</v>
      </c>
      <c r="B19" s="3">
        <v>2018</v>
      </c>
      <c r="C19" s="3" t="s">
        <v>106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125</v>
      </c>
    </row>
    <row r="20" spans="1:10">
      <c r="A20" s="3">
        <v>19</v>
      </c>
      <c r="B20" s="3">
        <v>2019</v>
      </c>
      <c r="C20" s="3" t="s">
        <v>107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120</v>
      </c>
    </row>
    <row r="21" spans="1:10">
      <c r="A21" s="3">
        <v>20</v>
      </c>
      <c r="B21" s="3">
        <v>2020</v>
      </c>
      <c r="C21" s="3" t="s">
        <v>107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121</v>
      </c>
    </row>
    <row r="22" spans="1:10">
      <c r="A22" s="3">
        <v>21</v>
      </c>
      <c r="B22" s="3">
        <v>2021</v>
      </c>
      <c r="C22" s="3" t="s">
        <v>124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122</v>
      </c>
    </row>
    <row r="23" spans="1:10">
      <c r="A23" s="3">
        <v>22</v>
      </c>
      <c r="B23" s="3">
        <v>2022</v>
      </c>
      <c r="C23" s="3" t="s">
        <v>124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123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0"/>
  <sheetViews>
    <sheetView workbookViewId="0">
      <pane ySplit="1" topLeftCell="A2" activePane="bottomLeft" state="frozen"/>
      <selection pane="bottomLeft" activeCell="I12" sqref="I12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96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88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89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90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91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92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93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94</v>
      </c>
      <c r="J16" s="6"/>
    </row>
    <row r="17" spans="1:10">
      <c r="A17" s="7">
        <v>31</v>
      </c>
      <c r="B17" s="6" t="s">
        <v>143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144</v>
      </c>
      <c r="J17" s="6"/>
    </row>
    <row r="18" spans="1:10">
      <c r="A18" s="7">
        <v>32</v>
      </c>
      <c r="B18" s="6" t="s">
        <v>143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145</v>
      </c>
      <c r="J18" s="6"/>
    </row>
    <row r="19" spans="1:10">
      <c r="A19" s="7">
        <v>41</v>
      </c>
      <c r="B19" s="6" t="s">
        <v>151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146</v>
      </c>
      <c r="J19" s="6"/>
    </row>
    <row r="20" spans="1:10">
      <c r="A20" s="7">
        <v>42</v>
      </c>
      <c r="B20" s="6" t="s">
        <v>151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147</v>
      </c>
      <c r="J20" s="6"/>
    </row>
    <row r="21" spans="1:10">
      <c r="A21" s="7">
        <v>43</v>
      </c>
      <c r="B21" s="6" t="s">
        <v>151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148</v>
      </c>
      <c r="J21" s="6"/>
    </row>
    <row r="22" spans="1:10">
      <c r="A22" s="7">
        <v>44</v>
      </c>
      <c r="B22" s="6" t="s">
        <v>151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149</v>
      </c>
      <c r="J22" s="6"/>
    </row>
    <row r="23" spans="1:10">
      <c r="A23" s="7">
        <v>45</v>
      </c>
      <c r="B23" s="6" t="s">
        <v>151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150</v>
      </c>
      <c r="J23" s="6"/>
    </row>
    <row r="24" spans="1:10">
      <c r="A24" s="7">
        <v>1001</v>
      </c>
      <c r="B24" s="6" t="s">
        <v>155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157</v>
      </c>
      <c r="J24" s="6"/>
    </row>
    <row r="25" spans="1:10">
      <c r="A25" s="7">
        <v>1002</v>
      </c>
      <c r="B25" s="6" t="s">
        <v>155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158</v>
      </c>
      <c r="J25" s="6"/>
    </row>
    <row r="26" spans="1:10">
      <c r="A26" s="7">
        <v>1003</v>
      </c>
      <c r="B26" s="6" t="s">
        <v>155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159</v>
      </c>
      <c r="J26" s="6"/>
    </row>
    <row r="27" spans="1:10">
      <c r="A27" s="7">
        <v>1004</v>
      </c>
      <c r="B27" s="6" t="s">
        <v>155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160</v>
      </c>
      <c r="J27" s="6"/>
    </row>
    <row r="28" spans="1:10">
      <c r="A28" s="7">
        <v>1005</v>
      </c>
      <c r="B28" s="6" t="s">
        <v>155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161</v>
      </c>
      <c r="J28" s="6"/>
    </row>
    <row r="29" spans="1:10">
      <c r="A29" s="7">
        <v>1006</v>
      </c>
      <c r="B29" s="6" t="s">
        <v>155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162</v>
      </c>
      <c r="J29" s="6"/>
    </row>
    <row r="30" spans="1:10">
      <c r="A30" s="7">
        <v>1007</v>
      </c>
      <c r="B30" s="6" t="s">
        <v>155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163</v>
      </c>
      <c r="J30" s="6"/>
    </row>
    <row r="31" spans="1:10">
      <c r="A31" s="7">
        <v>1008</v>
      </c>
      <c r="B31" s="6" t="s">
        <v>155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164</v>
      </c>
      <c r="J31" s="6"/>
    </row>
    <row r="32" spans="1:10">
      <c r="A32" s="7">
        <v>1009</v>
      </c>
      <c r="B32" s="6" t="s">
        <v>155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165</v>
      </c>
      <c r="J32" s="6"/>
    </row>
    <row r="33" spans="1:10">
      <c r="A33" s="7">
        <v>2001</v>
      </c>
      <c r="B33" s="6" t="s">
        <v>46</v>
      </c>
      <c r="C33" s="9">
        <v>5</v>
      </c>
      <c r="D33" s="9">
        <v>9999</v>
      </c>
      <c r="E33" s="9">
        <v>9999</v>
      </c>
      <c r="F33" s="9">
        <v>30</v>
      </c>
      <c r="G33" s="9">
        <v>0.28000000000000003</v>
      </c>
      <c r="H33" s="21"/>
      <c r="I33" s="6" t="s">
        <v>220</v>
      </c>
      <c r="J33" s="6"/>
    </row>
    <row r="34" spans="1:10">
      <c r="H34" s="21"/>
      <c r="J34" s="6"/>
    </row>
    <row r="35" spans="1:10">
      <c r="H35" s="21"/>
      <c r="J35" s="6"/>
    </row>
    <row r="36" spans="1:10">
      <c r="H36" s="21"/>
      <c r="J36" s="6"/>
    </row>
    <row r="37" spans="1:10">
      <c r="H37" s="21"/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167</v>
      </c>
      <c r="B1" s="32" t="s">
        <v>173</v>
      </c>
      <c r="C1" s="32" t="s">
        <v>207</v>
      </c>
      <c r="D1" s="32" t="s">
        <v>189</v>
      </c>
      <c r="E1" s="32" t="s">
        <v>190</v>
      </c>
      <c r="F1" s="32" t="s">
        <v>191</v>
      </c>
      <c r="G1" s="32" t="s">
        <v>192</v>
      </c>
      <c r="H1" s="32" t="s">
        <v>193</v>
      </c>
      <c r="I1" s="32" t="s">
        <v>194</v>
      </c>
      <c r="J1" s="32" t="s">
        <v>195</v>
      </c>
      <c r="K1" s="32" t="s">
        <v>196</v>
      </c>
      <c r="L1" s="32" t="s">
        <v>197</v>
      </c>
      <c r="M1" s="32" t="s">
        <v>198</v>
      </c>
      <c r="N1" s="32" t="s">
        <v>199</v>
      </c>
      <c r="O1" s="32" t="s">
        <v>200</v>
      </c>
    </row>
    <row r="2" spans="1:15">
      <c r="A2" s="43" t="s">
        <v>170</v>
      </c>
      <c r="B2" s="9">
        <v>0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181</v>
      </c>
      <c r="B3" s="9">
        <v>0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182</v>
      </c>
      <c r="B4" s="9">
        <v>0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183</v>
      </c>
      <c r="B5" s="9">
        <v>0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184</v>
      </c>
      <c r="B6" s="9">
        <v>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171</v>
      </c>
      <c r="B7" s="9">
        <v>0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185</v>
      </c>
      <c r="B8" s="9">
        <v>0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186</v>
      </c>
      <c r="B9" s="9">
        <v>0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187</v>
      </c>
      <c r="B10" s="9">
        <v>0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188</v>
      </c>
      <c r="B11" s="9">
        <v>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172</v>
      </c>
      <c r="B12" s="9">
        <v>0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201</v>
      </c>
      <c r="C1" s="49" t="s">
        <v>196</v>
      </c>
      <c r="D1" s="49" t="s">
        <v>197</v>
      </c>
      <c r="E1" s="49" t="s">
        <v>198</v>
      </c>
      <c r="F1" s="49" t="s">
        <v>199</v>
      </c>
      <c r="G1" s="49" t="s">
        <v>200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204</v>
      </c>
      <c r="B1" s="2" t="s">
        <v>205</v>
      </c>
      <c r="C1" s="2" t="s">
        <v>174</v>
      </c>
      <c r="D1" s="2" t="s">
        <v>203</v>
      </c>
      <c r="F1" s="2" t="s">
        <v>208</v>
      </c>
    </row>
    <row r="2" spans="1:6">
      <c r="A2" s="3">
        <v>1</v>
      </c>
      <c r="B2" s="3">
        <v>1</v>
      </c>
      <c r="C2" s="3" t="s">
        <v>175</v>
      </c>
      <c r="D2" s="3">
        <v>10</v>
      </c>
      <c r="F2" s="47" t="s">
        <v>209</v>
      </c>
    </row>
    <row r="3" spans="1:6">
      <c r="A3" s="3">
        <v>2</v>
      </c>
      <c r="B3" s="3">
        <v>1</v>
      </c>
      <c r="C3" s="3" t="s">
        <v>175</v>
      </c>
      <c r="D3" s="3">
        <v>11</v>
      </c>
      <c r="F3" s="47" t="s">
        <v>210</v>
      </c>
    </row>
    <row r="4" spans="1:6">
      <c r="A4" s="3">
        <v>3</v>
      </c>
      <c r="B4" s="3">
        <v>1</v>
      </c>
      <c r="C4" s="3" t="s">
        <v>175</v>
      </c>
      <c r="D4" s="3">
        <v>12</v>
      </c>
      <c r="F4" s="47" t="s">
        <v>211</v>
      </c>
    </row>
    <row r="5" spans="1:6">
      <c r="A5" s="3">
        <v>4</v>
      </c>
      <c r="B5" s="3">
        <v>1</v>
      </c>
      <c r="C5" s="3" t="s">
        <v>175</v>
      </c>
      <c r="D5" s="3">
        <v>13</v>
      </c>
      <c r="F5" s="47" t="s">
        <v>212</v>
      </c>
    </row>
    <row r="6" spans="1:6">
      <c r="A6" s="3">
        <v>5</v>
      </c>
      <c r="B6" s="3">
        <v>1</v>
      </c>
      <c r="C6" s="3" t="s">
        <v>175</v>
      </c>
      <c r="D6" s="3">
        <v>14</v>
      </c>
      <c r="F6" s="47" t="s">
        <v>213</v>
      </c>
    </row>
    <row r="7" spans="1:6">
      <c r="A7" s="3">
        <v>6</v>
      </c>
      <c r="B7" s="3">
        <v>1</v>
      </c>
      <c r="C7" s="3" t="s">
        <v>175</v>
      </c>
      <c r="D7" s="3">
        <v>25</v>
      </c>
      <c r="F7" s="47" t="s">
        <v>214</v>
      </c>
    </row>
    <row r="8" spans="1:6">
      <c r="A8" s="3">
        <v>7</v>
      </c>
      <c r="B8" s="3">
        <v>1</v>
      </c>
      <c r="C8" s="3" t="s">
        <v>175</v>
      </c>
      <c r="D8" s="3">
        <v>26</v>
      </c>
      <c r="F8" s="47" t="s">
        <v>215</v>
      </c>
    </row>
    <row r="9" spans="1:6">
      <c r="A9" s="3">
        <v>8</v>
      </c>
      <c r="B9" s="3">
        <v>1</v>
      </c>
      <c r="C9" s="3" t="s">
        <v>175</v>
      </c>
      <c r="D9" s="3">
        <v>27</v>
      </c>
      <c r="F9" s="47" t="s">
        <v>216</v>
      </c>
    </row>
    <row r="10" spans="1:6">
      <c r="A10" s="3">
        <v>9</v>
      </c>
      <c r="B10" s="3">
        <v>1</v>
      </c>
      <c r="C10" s="3" t="s">
        <v>175</v>
      </c>
      <c r="D10" s="3">
        <v>28</v>
      </c>
      <c r="F10" s="47" t="s">
        <v>217</v>
      </c>
    </row>
    <row r="11" spans="1:6">
      <c r="A11" s="3">
        <v>10</v>
      </c>
      <c r="B11" s="3">
        <v>1</v>
      </c>
      <c r="C11" s="3" t="s">
        <v>175</v>
      </c>
      <c r="D11" s="3">
        <v>29</v>
      </c>
      <c r="F11" s="47" t="s">
        <v>218</v>
      </c>
    </row>
    <row r="12" spans="1:6">
      <c r="A12" s="3">
        <v>100</v>
      </c>
      <c r="B12" s="3">
        <v>2</v>
      </c>
      <c r="C12" s="3" t="s">
        <v>176</v>
      </c>
      <c r="D12" s="3">
        <v>100</v>
      </c>
      <c r="F12" s="48" t="s">
        <v>171</v>
      </c>
    </row>
    <row r="13" spans="1:6">
      <c r="A13" s="3">
        <v>101</v>
      </c>
      <c r="B13" s="3">
        <v>2</v>
      </c>
      <c r="C13" s="3" t="s">
        <v>176</v>
      </c>
      <c r="D13" s="3">
        <v>100</v>
      </c>
      <c r="F13" s="48" t="s">
        <v>171</v>
      </c>
    </row>
    <row r="14" spans="1:6">
      <c r="A14" s="3">
        <v>102</v>
      </c>
      <c r="B14" s="3">
        <v>2</v>
      </c>
      <c r="C14" s="3" t="s">
        <v>176</v>
      </c>
      <c r="D14" s="3">
        <v>100</v>
      </c>
      <c r="F14" s="48" t="s">
        <v>171</v>
      </c>
    </row>
    <row r="15" spans="1:6">
      <c r="A15" s="3">
        <v>103</v>
      </c>
      <c r="B15" s="3">
        <v>2</v>
      </c>
      <c r="C15" s="3" t="s">
        <v>176</v>
      </c>
      <c r="D15" s="3">
        <v>100</v>
      </c>
      <c r="F15" s="48" t="s">
        <v>171</v>
      </c>
    </row>
    <row r="16" spans="1:6">
      <c r="A16" s="3">
        <v>104</v>
      </c>
      <c r="B16" s="3">
        <v>2</v>
      </c>
      <c r="C16" s="3" t="s">
        <v>176</v>
      </c>
      <c r="D16" s="3">
        <v>100</v>
      </c>
      <c r="F16" s="48" t="s">
        <v>171</v>
      </c>
    </row>
    <row r="17" spans="1:6">
      <c r="A17" s="3">
        <v>105</v>
      </c>
      <c r="B17" s="3">
        <v>2</v>
      </c>
      <c r="C17" s="3" t="s">
        <v>176</v>
      </c>
      <c r="D17" s="3">
        <v>100</v>
      </c>
      <c r="F17" s="48" t="s">
        <v>171</v>
      </c>
    </row>
    <row r="18" spans="1:6">
      <c r="A18" s="3">
        <v>200</v>
      </c>
      <c r="B18" s="3">
        <v>3</v>
      </c>
      <c r="C18" s="3" t="s">
        <v>177</v>
      </c>
      <c r="D18" s="3">
        <v>30</v>
      </c>
      <c r="F18" s="48" t="s">
        <v>185</v>
      </c>
    </row>
    <row r="19" spans="1:6">
      <c r="A19" s="3">
        <v>201</v>
      </c>
      <c r="B19" s="3">
        <v>3</v>
      </c>
      <c r="C19" s="3" t="s">
        <v>177</v>
      </c>
      <c r="D19" s="3">
        <v>30</v>
      </c>
      <c r="F19" s="48" t="s">
        <v>185</v>
      </c>
    </row>
    <row r="20" spans="1:6">
      <c r="A20" s="3">
        <v>202</v>
      </c>
      <c r="B20" s="3">
        <v>3</v>
      </c>
      <c r="C20" s="3" t="s">
        <v>177</v>
      </c>
      <c r="D20" s="3">
        <v>30</v>
      </c>
      <c r="F20" s="48" t="s">
        <v>185</v>
      </c>
    </row>
    <row r="21" spans="1:6">
      <c r="A21" s="3">
        <v>203</v>
      </c>
      <c r="B21" s="3">
        <v>3</v>
      </c>
      <c r="C21" s="3" t="s">
        <v>177</v>
      </c>
      <c r="D21" s="3">
        <v>30</v>
      </c>
      <c r="F21" s="48" t="s">
        <v>185</v>
      </c>
    </row>
    <row r="22" spans="1:6">
      <c r="A22" s="3">
        <v>204</v>
      </c>
      <c r="B22" s="3">
        <v>3</v>
      </c>
      <c r="C22" s="3" t="s">
        <v>177</v>
      </c>
      <c r="D22" s="3">
        <v>30</v>
      </c>
      <c r="F22" s="48" t="s">
        <v>185</v>
      </c>
    </row>
    <row r="23" spans="1:6">
      <c r="A23" s="3">
        <v>205</v>
      </c>
      <c r="B23" s="3">
        <v>3</v>
      </c>
      <c r="C23" s="3" t="s">
        <v>177</v>
      </c>
      <c r="D23" s="3">
        <v>30</v>
      </c>
      <c r="F23" s="48" t="s">
        <v>185</v>
      </c>
    </row>
    <row r="24" spans="1:6">
      <c r="A24" s="3">
        <v>300</v>
      </c>
      <c r="B24" s="3">
        <v>4</v>
      </c>
      <c r="C24" s="3" t="s">
        <v>178</v>
      </c>
      <c r="D24" s="3">
        <v>30</v>
      </c>
      <c r="F24" s="48" t="s">
        <v>186</v>
      </c>
    </row>
    <row r="25" spans="1:6">
      <c r="A25" s="3">
        <v>301</v>
      </c>
      <c r="B25" s="3">
        <v>4</v>
      </c>
      <c r="C25" s="3" t="s">
        <v>178</v>
      </c>
      <c r="D25" s="3">
        <v>30</v>
      </c>
      <c r="F25" s="48" t="s">
        <v>186</v>
      </c>
    </row>
    <row r="26" spans="1:6">
      <c r="A26" s="3">
        <v>302</v>
      </c>
      <c r="B26" s="3">
        <v>4</v>
      </c>
      <c r="C26" s="3" t="s">
        <v>178</v>
      </c>
      <c r="D26" s="3">
        <v>30</v>
      </c>
      <c r="F26" s="48" t="s">
        <v>186</v>
      </c>
    </row>
    <row r="27" spans="1:6">
      <c r="A27" s="3">
        <v>303</v>
      </c>
      <c r="B27" s="3">
        <v>4</v>
      </c>
      <c r="C27" s="3" t="s">
        <v>178</v>
      </c>
      <c r="D27" s="3">
        <v>30</v>
      </c>
      <c r="F27" s="48" t="s">
        <v>186</v>
      </c>
    </row>
    <row r="28" spans="1:6">
      <c r="A28" s="3">
        <v>304</v>
      </c>
      <c r="B28" s="3">
        <v>4</v>
      </c>
      <c r="C28" s="3" t="s">
        <v>178</v>
      </c>
      <c r="D28" s="3">
        <v>30</v>
      </c>
      <c r="F28" s="48" t="s">
        <v>186</v>
      </c>
    </row>
    <row r="29" spans="1:6">
      <c r="A29" s="3">
        <v>305</v>
      </c>
      <c r="B29" s="3">
        <v>4</v>
      </c>
      <c r="C29" s="3" t="s">
        <v>178</v>
      </c>
      <c r="D29" s="3">
        <v>30</v>
      </c>
      <c r="F29" s="48" t="s">
        <v>186</v>
      </c>
    </row>
    <row r="30" spans="1:6">
      <c r="A30" s="3">
        <v>400</v>
      </c>
      <c r="B30" s="3">
        <v>5</v>
      </c>
      <c r="C30" s="3" t="s">
        <v>219</v>
      </c>
      <c r="D30" s="3">
        <v>30</v>
      </c>
      <c r="F30" s="48" t="s">
        <v>187</v>
      </c>
    </row>
    <row r="31" spans="1:6">
      <c r="A31" s="3">
        <v>401</v>
      </c>
      <c r="B31" s="3">
        <v>5</v>
      </c>
      <c r="C31" s="3" t="s">
        <v>219</v>
      </c>
      <c r="D31" s="3">
        <v>30</v>
      </c>
      <c r="F31" s="48" t="s">
        <v>187</v>
      </c>
    </row>
    <row r="32" spans="1:6">
      <c r="A32" s="3">
        <v>402</v>
      </c>
      <c r="B32" s="3">
        <v>5</v>
      </c>
      <c r="C32" s="3" t="s">
        <v>219</v>
      </c>
      <c r="D32" s="3">
        <v>30</v>
      </c>
      <c r="F32" s="48" t="s">
        <v>187</v>
      </c>
    </row>
    <row r="33" spans="1:6">
      <c r="A33" s="3">
        <v>403</v>
      </c>
      <c r="B33" s="3">
        <v>5</v>
      </c>
      <c r="C33" s="3" t="s">
        <v>219</v>
      </c>
      <c r="D33" s="3">
        <v>30</v>
      </c>
      <c r="F33" s="48" t="s">
        <v>187</v>
      </c>
    </row>
    <row r="34" spans="1:6">
      <c r="A34" s="3">
        <v>404</v>
      </c>
      <c r="B34" s="3">
        <v>5</v>
      </c>
      <c r="C34" s="3" t="s">
        <v>219</v>
      </c>
      <c r="D34" s="3">
        <v>30</v>
      </c>
      <c r="F34" s="48" t="s">
        <v>187</v>
      </c>
    </row>
    <row r="35" spans="1:6">
      <c r="A35" s="3">
        <v>405</v>
      </c>
      <c r="B35" s="3">
        <v>5</v>
      </c>
      <c r="C35" s="3" t="s">
        <v>219</v>
      </c>
      <c r="D35" s="3">
        <v>30</v>
      </c>
      <c r="F35" s="48" t="s">
        <v>187</v>
      </c>
    </row>
    <row r="36" spans="1:6">
      <c r="A36" s="3">
        <v>500</v>
      </c>
      <c r="B36" s="3">
        <v>6</v>
      </c>
      <c r="C36" s="3" t="s">
        <v>180</v>
      </c>
      <c r="D36" s="3">
        <v>1</v>
      </c>
      <c r="F36" s="48" t="s">
        <v>188</v>
      </c>
    </row>
    <row r="37" spans="1:6">
      <c r="A37" s="3">
        <v>501</v>
      </c>
      <c r="B37" s="3">
        <v>6</v>
      </c>
      <c r="C37" s="3" t="s">
        <v>180</v>
      </c>
      <c r="D37" s="3">
        <v>1</v>
      </c>
      <c r="F37" s="48" t="s">
        <v>188</v>
      </c>
    </row>
    <row r="38" spans="1:6">
      <c r="A38" s="3">
        <v>502</v>
      </c>
      <c r="B38" s="3">
        <v>6</v>
      </c>
      <c r="C38" s="3" t="s">
        <v>180</v>
      </c>
      <c r="D38" s="3">
        <v>1</v>
      </c>
      <c r="F38" s="48" t="s">
        <v>188</v>
      </c>
    </row>
    <row r="39" spans="1:6">
      <c r="A39" s="3">
        <v>503</v>
      </c>
      <c r="B39" s="3">
        <v>6</v>
      </c>
      <c r="C39" s="3" t="s">
        <v>180</v>
      </c>
      <c r="D39" s="3">
        <v>1</v>
      </c>
      <c r="F39" s="48" t="s">
        <v>188</v>
      </c>
    </row>
    <row r="40" spans="1:6">
      <c r="F40" s="47"/>
    </row>
    <row r="41" spans="1:6">
      <c r="F41" s="47"/>
    </row>
    <row r="42" spans="1:6">
      <c r="F42" s="47"/>
    </row>
    <row r="43" spans="1:6">
      <c r="F43" s="47"/>
    </row>
    <row r="44" spans="1:6">
      <c r="F44" s="47"/>
    </row>
    <row r="45" spans="1:6">
      <c r="F45" s="47"/>
    </row>
    <row r="46" spans="1:6">
      <c r="F46" s="47"/>
    </row>
    <row r="47" spans="1:6">
      <c r="F47" s="47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L5" sqref="L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8" t="s">
        <v>10</v>
      </c>
      <c r="B1" s="58"/>
      <c r="C1" s="58" t="s">
        <v>16</v>
      </c>
      <c r="D1" s="58"/>
      <c r="E1" s="58" t="s">
        <v>36</v>
      </c>
      <c r="F1" s="61"/>
      <c r="G1" s="58" t="s">
        <v>35</v>
      </c>
      <c r="H1" s="61"/>
      <c r="I1" s="58" t="s">
        <v>44</v>
      </c>
      <c r="J1" s="61"/>
      <c r="K1" s="58" t="s">
        <v>168</v>
      </c>
      <c r="L1" s="60"/>
      <c r="M1" s="58" t="s">
        <v>202</v>
      </c>
      <c r="N1" s="59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169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98</v>
      </c>
      <c r="H3" s="30">
        <v>1</v>
      </c>
      <c r="I3" s="30" t="s">
        <v>47</v>
      </c>
      <c r="J3" s="30">
        <v>1</v>
      </c>
      <c r="K3" s="39" t="s">
        <v>175</v>
      </c>
      <c r="L3" s="30">
        <v>1</v>
      </c>
      <c r="M3" s="39" t="s">
        <v>170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100</v>
      </c>
      <c r="H4" s="30">
        <v>2</v>
      </c>
      <c r="I4" s="30" t="s">
        <v>142</v>
      </c>
      <c r="J4" s="30">
        <v>2</v>
      </c>
      <c r="K4" s="39" t="s">
        <v>176</v>
      </c>
      <c r="L4" s="57">
        <v>2</v>
      </c>
      <c r="M4" s="39" t="s">
        <v>181</v>
      </c>
      <c r="N4" s="30">
        <v>2</v>
      </c>
    </row>
    <row r="5" spans="1:18">
      <c r="E5" s="29" t="s">
        <v>21</v>
      </c>
      <c r="F5" s="30">
        <v>3</v>
      </c>
      <c r="G5" s="30" t="s">
        <v>102</v>
      </c>
      <c r="H5" s="30">
        <v>3</v>
      </c>
      <c r="I5" s="30" t="s">
        <v>152</v>
      </c>
      <c r="J5" s="30">
        <v>3</v>
      </c>
      <c r="K5" s="39" t="s">
        <v>177</v>
      </c>
      <c r="L5" s="57">
        <v>3</v>
      </c>
      <c r="M5" s="39" t="s">
        <v>182</v>
      </c>
      <c r="N5" s="30">
        <v>3</v>
      </c>
    </row>
    <row r="6" spans="1:18">
      <c r="G6" s="30" t="s">
        <v>104</v>
      </c>
      <c r="H6" s="30">
        <v>4</v>
      </c>
      <c r="I6" s="30" t="s">
        <v>156</v>
      </c>
      <c r="J6" s="30">
        <v>4</v>
      </c>
      <c r="K6" s="39" t="s">
        <v>178</v>
      </c>
      <c r="L6" s="57">
        <v>4</v>
      </c>
      <c r="M6" s="39" t="s">
        <v>183</v>
      </c>
      <c r="N6" s="30">
        <v>4</v>
      </c>
    </row>
    <row r="7" spans="1:18">
      <c r="G7" s="34" t="s">
        <v>110</v>
      </c>
      <c r="H7" s="30">
        <v>5</v>
      </c>
      <c r="K7" s="39" t="s">
        <v>179</v>
      </c>
      <c r="L7" s="57">
        <v>5</v>
      </c>
      <c r="M7" s="39" t="s">
        <v>184</v>
      </c>
      <c r="N7" s="30">
        <v>5</v>
      </c>
    </row>
    <row r="8" spans="1:18">
      <c r="G8" s="34" t="s">
        <v>106</v>
      </c>
      <c r="H8" s="30">
        <v>6</v>
      </c>
      <c r="K8" s="39" t="s">
        <v>180</v>
      </c>
      <c r="L8" s="57">
        <v>6</v>
      </c>
      <c r="M8" s="39" t="s">
        <v>171</v>
      </c>
      <c r="N8" s="30">
        <v>6</v>
      </c>
    </row>
    <row r="9" spans="1:18">
      <c r="G9" s="34" t="s">
        <v>107</v>
      </c>
      <c r="H9" s="30">
        <v>7</v>
      </c>
      <c r="M9" s="39" t="s">
        <v>185</v>
      </c>
      <c r="N9" s="30">
        <v>7</v>
      </c>
    </row>
    <row r="10" spans="1:18">
      <c r="G10" s="34" t="s">
        <v>108</v>
      </c>
      <c r="H10" s="30">
        <v>8</v>
      </c>
      <c r="M10" s="39" t="s">
        <v>186</v>
      </c>
      <c r="N10" s="30">
        <v>8</v>
      </c>
    </row>
    <row r="11" spans="1:18">
      <c r="M11" s="39" t="s">
        <v>187</v>
      </c>
      <c r="N11" s="30">
        <v>9</v>
      </c>
    </row>
    <row r="12" spans="1:18">
      <c r="M12" s="39" t="s">
        <v>188</v>
      </c>
      <c r="N12" s="30">
        <v>10</v>
      </c>
    </row>
    <row r="13" spans="1:18">
      <c r="M13" s="39" t="s">
        <v>172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99"/>
  <sheetViews>
    <sheetView topLeftCell="A59" workbookViewId="0">
      <selection activeCell="C95" sqref="C95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10</v>
      </c>
      <c r="F7" t="str">
        <f>ToResult(裝備!F7)</f>
        <v>20</v>
      </c>
      <c r="G7" t="str">
        <f>ToResult(裝備!G7)</f>
        <v>0.2</v>
      </c>
      <c r="H7" t="str">
        <f>ToResult(裝備!H7)</f>
        <v>0.5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40</v>
      </c>
      <c r="G8" t="str">
        <f>ToResult(裝備!G8)</f>
        <v>0.35</v>
      </c>
      <c r="H8" t="str">
        <f>ToResult(裝備!H8)</f>
        <v>1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>2001</v>
      </c>
      <c r="B33" t="str">
        <f>ToMonsterMode(怪物!B33)</f>
        <v>1</v>
      </c>
      <c r="C33" t="str">
        <f>ToResult(怪物!C33)</f>
        <v>5</v>
      </c>
      <c r="D33" t="str">
        <f>ToResult(怪物!D33)</f>
        <v>9999</v>
      </c>
      <c r="E33" t="str">
        <f>ToResult(怪物!E33)</f>
        <v>9999</v>
      </c>
      <c r="F33" t="str">
        <f>ToResult(怪物!F33)</f>
        <v>30</v>
      </c>
      <c r="G33" t="str">
        <f>ToResult(怪物!G33)</f>
        <v>0.28</v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0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0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0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0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0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0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0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0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0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0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tabSelected="1" topLeftCell="A10" workbookViewId="0">
      <selection activeCell="F29" sqref="F29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2015-08-26T03:41:01Z</dcterms:modified>
</cp:coreProperties>
</file>