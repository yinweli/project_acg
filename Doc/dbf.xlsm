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D1" i="10"/>
  <c r="E1" i="10"/>
  <c r="F1" i="10"/>
  <c r="G1" i="10"/>
  <c r="C3" i="10"/>
  <c r="G3" i="10"/>
  <c r="F4" i="10"/>
  <c r="E5" i="10"/>
  <c r="D6" i="10"/>
  <c r="C7" i="10"/>
  <c r="G7" i="10"/>
  <c r="F8" i="10"/>
  <c r="E9" i="10"/>
  <c r="D10" i="10"/>
  <c r="C11" i="10"/>
  <c r="G11" i="10"/>
  <c r="F12" i="10"/>
  <c r="E13" i="10"/>
  <c r="D14" i="10"/>
  <c r="C15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C91" i="10"/>
  <c r="G91" i="10"/>
  <c r="F92" i="10"/>
  <c r="E93" i="10"/>
  <c r="D94" i="10"/>
  <c r="C95" i="10"/>
  <c r="G95" i="10"/>
  <c r="F96" i="10"/>
  <c r="E97" i="10"/>
  <c r="D98" i="10"/>
  <c r="C99" i="10"/>
  <c r="G99" i="10"/>
  <c r="F100" i="10"/>
  <c r="D3" i="10"/>
  <c r="C4" i="10"/>
  <c r="G4" i="10"/>
  <c r="F5" i="10"/>
  <c r="E6" i="10"/>
  <c r="D7" i="10"/>
  <c r="C8" i="10"/>
  <c r="G8" i="10"/>
  <c r="F9" i="10"/>
  <c r="E10" i="10"/>
  <c r="D11" i="10"/>
  <c r="C12" i="10"/>
  <c r="G12" i="10"/>
  <c r="F13" i="10"/>
  <c r="E14" i="10"/>
  <c r="D15" i="10"/>
  <c r="C16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C76" i="10"/>
  <c r="G76" i="10"/>
  <c r="F77" i="10"/>
  <c r="E78" i="10"/>
  <c r="D79" i="10"/>
  <c r="C80" i="10"/>
  <c r="G80" i="10"/>
  <c r="F81" i="10"/>
  <c r="E82" i="10"/>
  <c r="D83" i="10"/>
  <c r="C84" i="10"/>
  <c r="G84" i="10"/>
  <c r="F85" i="10"/>
  <c r="E86" i="10"/>
  <c r="D87" i="10"/>
  <c r="C88" i="10"/>
  <c r="G88" i="10"/>
  <c r="F89" i="10"/>
  <c r="E90" i="10"/>
  <c r="D91" i="10"/>
  <c r="C92" i="10"/>
  <c r="G92" i="10"/>
  <c r="F93" i="10"/>
  <c r="E94" i="10"/>
  <c r="D95" i="10"/>
  <c r="C96" i="10"/>
  <c r="G96" i="10"/>
  <c r="F97" i="10"/>
  <c r="E98" i="10"/>
  <c r="D99" i="10"/>
  <c r="C100" i="10"/>
  <c r="G100" i="10"/>
  <c r="E3" i="10"/>
  <c r="D4" i="10"/>
  <c r="C5" i="10"/>
  <c r="G5" i="10"/>
  <c r="F3" i="10"/>
  <c r="F6" i="10"/>
  <c r="D8" i="10"/>
  <c r="G9" i="10"/>
  <c r="E11" i="10"/>
  <c r="C13" i="10"/>
  <c r="F14" i="10"/>
  <c r="D16" i="10"/>
  <c r="G17" i="10"/>
  <c r="E19" i="10"/>
  <c r="C21" i="10"/>
  <c r="F22" i="10"/>
  <c r="D24" i="10"/>
  <c r="G25" i="10"/>
  <c r="E27" i="10"/>
  <c r="C29" i="10"/>
  <c r="F30" i="10"/>
  <c r="D32" i="10"/>
  <c r="G33" i="10"/>
  <c r="E35" i="10"/>
  <c r="C37" i="10"/>
  <c r="F38" i="10"/>
  <c r="D40" i="10"/>
  <c r="G41" i="10"/>
  <c r="E43" i="10"/>
  <c r="C45" i="10"/>
  <c r="F46" i="10"/>
  <c r="D48" i="10"/>
  <c r="G49" i="10"/>
  <c r="E51" i="10"/>
  <c r="C53" i="10"/>
  <c r="F54" i="10"/>
  <c r="D56" i="10"/>
  <c r="G57" i="10"/>
  <c r="E59" i="10"/>
  <c r="C61" i="10"/>
  <c r="F62" i="10"/>
  <c r="D64" i="10"/>
  <c r="G65" i="10"/>
  <c r="E67" i="10"/>
  <c r="C69" i="10"/>
  <c r="F70" i="10"/>
  <c r="D72" i="10"/>
  <c r="G73" i="10"/>
  <c r="E75" i="10"/>
  <c r="C77" i="10"/>
  <c r="F78" i="10"/>
  <c r="D80" i="10"/>
  <c r="G81" i="10"/>
  <c r="C85" i="10"/>
  <c r="F86" i="10"/>
  <c r="G89" i="10"/>
  <c r="D96" i="10"/>
  <c r="E99" i="10"/>
  <c r="G6" i="10"/>
  <c r="E8" i="10"/>
  <c r="C10" i="10"/>
  <c r="F11" i="10"/>
  <c r="D13" i="10"/>
  <c r="D5" i="10"/>
  <c r="E7" i="10"/>
  <c r="C9" i="10"/>
  <c r="F10" i="10"/>
  <c r="D12" i="10"/>
  <c r="G13" i="10"/>
  <c r="E15" i="10"/>
  <c r="C17" i="10"/>
  <c r="F18" i="10"/>
  <c r="D20" i="10"/>
  <c r="G21" i="10"/>
  <c r="E23" i="10"/>
  <c r="C25" i="10"/>
  <c r="F26" i="10"/>
  <c r="D28" i="10"/>
  <c r="G29" i="10"/>
  <c r="E31" i="10"/>
  <c r="C33" i="10"/>
  <c r="F34" i="10"/>
  <c r="D36" i="10"/>
  <c r="G37" i="10"/>
  <c r="E39" i="10"/>
  <c r="C41" i="10"/>
  <c r="F42" i="10"/>
  <c r="D44" i="10"/>
  <c r="G45" i="10"/>
  <c r="E47" i="10"/>
  <c r="C49" i="10"/>
  <c r="F50" i="10"/>
  <c r="D52" i="10"/>
  <c r="G53" i="10"/>
  <c r="E55" i="10"/>
  <c r="C57" i="10"/>
  <c r="F58" i="10"/>
  <c r="D60" i="10"/>
  <c r="G61" i="10"/>
  <c r="E63" i="10"/>
  <c r="C65" i="10"/>
  <c r="F66" i="10"/>
  <c r="D68" i="10"/>
  <c r="G69" i="10"/>
  <c r="E71" i="10"/>
  <c r="C73" i="10"/>
  <c r="F74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D100" i="10"/>
  <c r="C6" i="10"/>
  <c r="F7" i="10"/>
  <c r="D9" i="10"/>
  <c r="G10" i="10"/>
  <c r="E12" i="10"/>
  <c r="C14" i="10"/>
  <c r="F15" i="10"/>
  <c r="D17" i="10"/>
  <c r="G18" i="10"/>
  <c r="E20" i="10"/>
  <c r="C22" i="10"/>
  <c r="F23" i="10"/>
  <c r="D25" i="10"/>
  <c r="G26" i="10"/>
  <c r="E28" i="10"/>
  <c r="C30" i="10"/>
  <c r="F31" i="10"/>
  <c r="D33" i="10"/>
  <c r="G34" i="10"/>
  <c r="E36" i="10"/>
  <c r="C38" i="10"/>
  <c r="F39" i="10"/>
  <c r="D41" i="10"/>
  <c r="G42" i="10"/>
  <c r="E44" i="10"/>
  <c r="C46" i="10"/>
  <c r="F47" i="10"/>
  <c r="D49" i="10"/>
  <c r="G50" i="10"/>
  <c r="E52" i="10"/>
  <c r="C54" i="10"/>
  <c r="F55" i="10"/>
  <c r="D57" i="10"/>
  <c r="G58" i="10"/>
  <c r="E60" i="10"/>
  <c r="C62" i="10"/>
  <c r="F63" i="10"/>
  <c r="D65" i="10"/>
  <c r="G66" i="10"/>
  <c r="E68" i="10"/>
  <c r="C70" i="10"/>
  <c r="F71" i="10"/>
  <c r="D73" i="10"/>
  <c r="G74" i="10"/>
  <c r="E76" i="10"/>
  <c r="C78" i="10"/>
  <c r="F79" i="10"/>
  <c r="D81" i="10"/>
  <c r="G82" i="10"/>
  <c r="E84" i="10"/>
  <c r="C86" i="10"/>
  <c r="F87" i="10"/>
  <c r="D89" i="10"/>
  <c r="G90" i="10"/>
  <c r="E92" i="10"/>
  <c r="C94" i="10"/>
  <c r="F95" i="10"/>
  <c r="D97" i="10"/>
  <c r="G98" i="10"/>
  <c r="E100" i="10"/>
  <c r="E83" i="10"/>
  <c r="D88" i="10"/>
  <c r="E91" i="10"/>
  <c r="C93" i="10"/>
  <c r="F94" i="10"/>
  <c r="G97" i="10"/>
  <c r="E4" i="10"/>
  <c r="E16" i="10"/>
  <c r="G22" i="10"/>
  <c r="D29" i="10"/>
  <c r="F35" i="10"/>
  <c r="C42" i="10"/>
  <c r="E48" i="10"/>
  <c r="G54" i="10"/>
  <c r="D61" i="10"/>
  <c r="F67" i="10"/>
  <c r="C74" i="10"/>
  <c r="E80" i="10"/>
  <c r="G86" i="10"/>
  <c r="D93" i="10"/>
  <c r="F99" i="10"/>
  <c r="C18" i="10"/>
  <c r="E24" i="10"/>
  <c r="G30" i="10"/>
  <c r="D37" i="10"/>
  <c r="F43" i="10"/>
  <c r="C50" i="10"/>
  <c r="E56" i="10"/>
  <c r="G62" i="10"/>
  <c r="D69" i="10"/>
  <c r="F75" i="10"/>
  <c r="C82" i="10"/>
  <c r="E88" i="10"/>
  <c r="G94" i="10"/>
  <c r="F19" i="10"/>
  <c r="C26" i="10"/>
  <c r="E32" i="10"/>
  <c r="G38" i="10"/>
  <c r="D45" i="10"/>
  <c r="F51" i="10"/>
  <c r="C58" i="10"/>
  <c r="E64" i="10"/>
  <c r="G70" i="10"/>
  <c r="D77" i="10"/>
  <c r="F83" i="10"/>
  <c r="C90" i="10"/>
  <c r="E96" i="10"/>
  <c r="G14" i="10"/>
  <c r="D21" i="10"/>
  <c r="F27" i="10"/>
  <c r="C34" i="10"/>
  <c r="E40" i="10"/>
  <c r="G46" i="10"/>
  <c r="D53" i="10"/>
  <c r="F59" i="10"/>
  <c r="C66" i="10"/>
  <c r="E72" i="10"/>
  <c r="G78" i="10"/>
  <c r="D85" i="10"/>
  <c r="F91" i="10"/>
  <c r="C98" i="10"/>
  <c r="G2" i="10"/>
  <c r="D2" i="10"/>
  <c r="E2" i="10"/>
  <c r="F2" i="10"/>
  <c r="J1" i="9" l="1"/>
  <c r="J44" i="9"/>
  <c r="J17" i="9"/>
  <c r="J29" i="9"/>
  <c r="J41" i="9"/>
  <c r="J49" i="9"/>
  <c r="J57" i="9"/>
  <c r="J65" i="9"/>
  <c r="J73" i="9"/>
  <c r="J81" i="9"/>
  <c r="J89" i="9"/>
  <c r="J97" i="9"/>
  <c r="J4" i="9"/>
  <c r="J8" i="9"/>
  <c r="J12" i="9"/>
  <c r="J16" i="9"/>
  <c r="J20" i="9"/>
  <c r="J6" i="9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86" i="9"/>
  <c r="J90" i="9"/>
  <c r="J94" i="9"/>
  <c r="J98" i="9"/>
  <c r="J3" i="9"/>
  <c r="J7" i="9"/>
  <c r="J11" i="9"/>
  <c r="J15" i="9"/>
  <c r="J19" i="9"/>
  <c r="J23" i="9"/>
  <c r="J27" i="9"/>
  <c r="J31" i="9"/>
  <c r="J35" i="9"/>
  <c r="J39" i="9"/>
  <c r="J43" i="9"/>
  <c r="J47" i="9"/>
  <c r="J51" i="9"/>
  <c r="J55" i="9"/>
  <c r="J59" i="9"/>
  <c r="J63" i="9"/>
  <c r="J67" i="9"/>
  <c r="J71" i="9"/>
  <c r="J75" i="9"/>
  <c r="J79" i="9"/>
  <c r="J83" i="9"/>
  <c r="J87" i="9"/>
  <c r="J91" i="9"/>
  <c r="J95" i="9"/>
  <c r="J99" i="9"/>
  <c r="J24" i="9"/>
  <c r="J28" i="9"/>
  <c r="J32" i="9"/>
  <c r="J36" i="9"/>
  <c r="J40" i="9"/>
  <c r="J48" i="9"/>
  <c r="J52" i="9"/>
  <c r="J56" i="9"/>
  <c r="J60" i="9"/>
  <c r="J64" i="9"/>
  <c r="J68" i="9"/>
  <c r="J72" i="9"/>
  <c r="J76" i="9"/>
  <c r="J80" i="9"/>
  <c r="J84" i="9"/>
  <c r="J88" i="9"/>
  <c r="J92" i="9"/>
  <c r="J96" i="9"/>
  <c r="J100" i="9"/>
  <c r="J5" i="9"/>
  <c r="J9" i="9"/>
  <c r="J13" i="9"/>
  <c r="J21" i="9"/>
  <c r="J25" i="9"/>
  <c r="J33" i="9"/>
  <c r="J37" i="9"/>
  <c r="J45" i="9"/>
  <c r="J53" i="9"/>
  <c r="J61" i="9"/>
  <c r="J69" i="9"/>
  <c r="J77" i="9"/>
  <c r="J85" i="9"/>
  <c r="J93" i="9"/>
  <c r="J2" i="9"/>
  <c r="N3" i="2" l="1"/>
  <c r="O3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39" i="2"/>
  <c r="O39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1" i="2"/>
  <c r="O51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O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O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O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O99" i="2"/>
  <c r="N100" i="2"/>
  <c r="O100" i="2"/>
  <c r="O2" i="2"/>
  <c r="N2" i="2"/>
  <c r="B11" i="10"/>
  <c r="B100" i="10"/>
  <c r="B77" i="10"/>
  <c r="B30" i="10"/>
  <c r="B78" i="10"/>
  <c r="B19" i="10"/>
  <c r="B83" i="10"/>
  <c r="B24" i="10"/>
  <c r="B72" i="10"/>
  <c r="B21" i="10"/>
  <c r="B53" i="10"/>
  <c r="B6" i="10"/>
  <c r="B54" i="10"/>
  <c r="B15" i="10"/>
  <c r="B31" i="10"/>
  <c r="B47" i="10"/>
  <c r="B63" i="10"/>
  <c r="B79" i="10"/>
  <c r="B95" i="10"/>
  <c r="B4" i="10"/>
  <c r="B20" i="10"/>
  <c r="B36" i="10"/>
  <c r="B52" i="10"/>
  <c r="B68" i="10"/>
  <c r="B84" i="10"/>
  <c r="B98" i="10"/>
  <c r="B17" i="10"/>
  <c r="B33" i="10"/>
  <c r="B49" i="10"/>
  <c r="B65" i="10"/>
  <c r="B81" i="10"/>
  <c r="B97" i="10"/>
  <c r="B18" i="10"/>
  <c r="B34" i="10"/>
  <c r="B50" i="10"/>
  <c r="B82" i="10"/>
  <c r="B35" i="10"/>
  <c r="B67" i="10"/>
  <c r="B99" i="10"/>
  <c r="B40" i="10"/>
  <c r="B5" i="10"/>
  <c r="B69" i="10"/>
  <c r="B22" i="10"/>
  <c r="B86" i="10"/>
  <c r="B7" i="10"/>
  <c r="B23" i="10"/>
  <c r="B39" i="10"/>
  <c r="B55" i="10"/>
  <c r="B71" i="10"/>
  <c r="B87" i="10"/>
  <c r="B96" i="10"/>
  <c r="B12" i="10"/>
  <c r="B28" i="10"/>
  <c r="B44" i="10"/>
  <c r="B60" i="10"/>
  <c r="B76" i="10"/>
  <c r="B92" i="10"/>
  <c r="B9" i="10"/>
  <c r="B25" i="10"/>
  <c r="B41" i="10"/>
  <c r="B57" i="10"/>
  <c r="B73" i="10"/>
  <c r="B89" i="10"/>
  <c r="B10" i="10"/>
  <c r="B26" i="10"/>
  <c r="B42" i="10"/>
  <c r="B58" i="10"/>
  <c r="B74" i="10"/>
  <c r="B90" i="10"/>
  <c r="B27" i="10"/>
  <c r="B43" i="10"/>
  <c r="B59" i="10"/>
  <c r="B75" i="10"/>
  <c r="B91" i="10"/>
  <c r="B94" i="10"/>
  <c r="B16" i="10"/>
  <c r="B32" i="10"/>
  <c r="B48" i="10"/>
  <c r="B64" i="10"/>
  <c r="B80" i="10"/>
  <c r="B13" i="10"/>
  <c r="B29" i="10"/>
  <c r="B45" i="10"/>
  <c r="B61" i="10"/>
  <c r="B93" i="10"/>
  <c r="B14" i="10"/>
  <c r="B46" i="10"/>
  <c r="B62" i="10"/>
  <c r="B66" i="10"/>
  <c r="B3" i="10"/>
  <c r="B51" i="10"/>
  <c r="B8" i="10"/>
  <c r="B56" i="10"/>
  <c r="B88" i="10"/>
  <c r="B37" i="10"/>
  <c r="B85" i="10"/>
  <c r="B38" i="10"/>
  <c r="B70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A19" i="10"/>
  <c r="A29" i="10"/>
  <c r="A37" i="10"/>
  <c r="A45" i="10"/>
  <c r="A53" i="10"/>
  <c r="A61" i="10"/>
  <c r="A69" i="10"/>
  <c r="A77" i="10"/>
  <c r="A3" i="10"/>
  <c r="A25" i="10"/>
  <c r="A33" i="10"/>
  <c r="A41" i="10"/>
  <c r="A49" i="10"/>
  <c r="A57" i="10"/>
  <c r="A65" i="10"/>
  <c r="A73" i="10"/>
  <c r="A81" i="10"/>
  <c r="A20" i="10"/>
  <c r="A26" i="10"/>
  <c r="A34" i="10"/>
  <c r="A42" i="10"/>
  <c r="A50" i="10"/>
  <c r="A58" i="10"/>
  <c r="A66" i="10"/>
  <c r="A72" i="10"/>
  <c r="A80" i="10"/>
  <c r="A93" i="10"/>
  <c r="A74" i="10"/>
  <c r="A92" i="10"/>
  <c r="A100" i="10"/>
  <c r="A6" i="10"/>
  <c r="A14" i="10"/>
  <c r="A10" i="10"/>
  <c r="A85" i="10"/>
  <c r="A17" i="10"/>
  <c r="A23" i="10"/>
  <c r="A31" i="10"/>
  <c r="A39" i="10"/>
  <c r="A47" i="10"/>
  <c r="A55" i="10"/>
  <c r="A63" i="10"/>
  <c r="A71" i="10"/>
  <c r="A79" i="10"/>
  <c r="A87" i="10"/>
  <c r="A24" i="10"/>
  <c r="A32" i="10"/>
  <c r="A40" i="10"/>
  <c r="A48" i="10"/>
  <c r="A56" i="10"/>
  <c r="A64" i="10"/>
  <c r="A91" i="10"/>
  <c r="A99" i="10"/>
  <c r="A90" i="10"/>
  <c r="A98" i="10"/>
  <c r="C2" i="10"/>
  <c r="A13" i="10"/>
  <c r="A9" i="10"/>
  <c r="A35" i="10"/>
  <c r="A67" i="10"/>
  <c r="A4" i="10"/>
  <c r="A30" i="10"/>
  <c r="A46" i="10"/>
  <c r="A62" i="10"/>
  <c r="A86" i="10"/>
  <c r="A97" i="10"/>
  <c r="A96" i="10"/>
  <c r="A5" i="10"/>
  <c r="A11" i="10"/>
  <c r="A22" i="10"/>
  <c r="A54" i="10"/>
  <c r="A76" i="10"/>
  <c r="A15" i="10"/>
  <c r="A21" i="10"/>
  <c r="A43" i="10"/>
  <c r="A83" i="10"/>
  <c r="A44" i="10"/>
  <c r="A12" i="10"/>
  <c r="A27" i="10"/>
  <c r="A59" i="10"/>
  <c r="A18" i="10"/>
  <c r="A36" i="10"/>
  <c r="A52" i="10"/>
  <c r="A68" i="10"/>
  <c r="A84" i="10"/>
  <c r="A78" i="10"/>
  <c r="A16" i="10"/>
  <c r="A8" i="10"/>
  <c r="A51" i="10"/>
  <c r="A38" i="10"/>
  <c r="A70" i="10"/>
  <c r="A89" i="10"/>
  <c r="A88" i="10"/>
  <c r="A7" i="10"/>
  <c r="A75" i="10"/>
  <c r="A28" i="10"/>
  <c r="A60" i="10"/>
  <c r="A95" i="10"/>
  <c r="A82" i="10"/>
  <c r="A94" i="10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7" l="1"/>
  <c r="A2" i="7"/>
  <c r="C2" i="7"/>
  <c r="B2" i="9"/>
  <c r="C2" i="9"/>
  <c r="A2" i="9"/>
  <c r="I2" i="9"/>
  <c r="A2" i="10"/>
  <c r="B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<sst xmlns="http://schemas.openxmlformats.org/spreadsheetml/2006/main" count="283" uniqueCount="184">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</sst>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0" dataDxfId="13">
  <autoFilter ref="A1:G100"/>
  <tableColumns count="7">
    <tableColumn id="1" name="GUID" dataDxfId="12"/>
    <tableColumn id="3" name="Mode" dataDxfId="11"/>
    <tableColumn id="7" name="StageID" dataDxfId="10"/>
    <tableColumn id="2" name="Enegry" dataDxfId="1"/>
    <tableColumn id="4" name="HP" dataDxfId="9"/>
    <tableColumn id="5" name="MoveSpeed" dataDxfId="8"/>
    <tableColumn id="6" name="Threat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6">
  <autoFilter ref="A1:D100"/>
  <tableColumns count="4">
    <tableColumn id="1" name="名稱" dataDxfId="5"/>
    <tableColumn id="6" name="隊伍移動" dataDxfId="4"/>
    <tableColumn id="5" name="手電筒行為" dataDxfId="3"/>
    <tableColumn id="7" name="裝備行為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C1" workbookViewId="0">
      <pane ySplit="1" topLeftCell="A2" activePane="bottomLeft" state="frozen"/>
      <selection pane="bottomLeft" activeCell="N2" sqref="N2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37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6">
        <v>3001</v>
      </c>
      <c r="L2" s="22" t="s">
        <v>93</v>
      </c>
      <c r="M2" s="22" t="s">
        <v>152</v>
      </c>
      <c r="N2" s="27">
        <f>E2/(SUM(E:E) * 2)*100</f>
        <v>5.1724137931034484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6">
        <v>3002</v>
      </c>
      <c r="L3" s="22" t="s">
        <v>94</v>
      </c>
      <c r="M3" s="22" t="s">
        <v>153</v>
      </c>
      <c r="N3" s="27">
        <f t="shared" ref="N3:N66" si="0">E3/(SUM(E:E) * 2)*100</f>
        <v>1.7241379310344827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6">
        <v>3003</v>
      </c>
      <c r="L4" s="22" t="s">
        <v>95</v>
      </c>
      <c r="M4" s="22" t="s">
        <v>154</v>
      </c>
      <c r="N4" s="27">
        <f t="shared" si="0"/>
        <v>6.8965517241379306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6">
        <v>3004</v>
      </c>
      <c r="L5" s="22" t="s">
        <v>96</v>
      </c>
      <c r="M5" s="22" t="s">
        <v>155</v>
      </c>
      <c r="N5" s="27">
        <f t="shared" si="0"/>
        <v>3.4482758620689653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6">
        <v>3005</v>
      </c>
      <c r="L6" s="22" t="s">
        <v>97</v>
      </c>
      <c r="M6" s="22" t="s">
        <v>156</v>
      </c>
      <c r="N6" s="27">
        <f t="shared" si="0"/>
        <v>1.7241379310344827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6">
        <v>3006</v>
      </c>
      <c r="L7" s="22" t="s">
        <v>98</v>
      </c>
      <c r="M7" s="22" t="s">
        <v>157</v>
      </c>
      <c r="N7" s="27">
        <f t="shared" si="0"/>
        <v>1.7241379310344827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6">
        <v>3007</v>
      </c>
      <c r="L8" s="22" t="s">
        <v>99</v>
      </c>
      <c r="M8" s="22" t="s">
        <v>158</v>
      </c>
      <c r="N8" s="27">
        <f t="shared" si="0"/>
        <v>6.8965517241379306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6">
        <v>3008</v>
      </c>
      <c r="L9" s="22" t="s">
        <v>100</v>
      </c>
      <c r="M9" s="22" t="s">
        <v>159</v>
      </c>
      <c r="N9" s="27">
        <f t="shared" si="0"/>
        <v>5.1724137931034484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6">
        <v>3009</v>
      </c>
      <c r="L10" s="22" t="s">
        <v>121</v>
      </c>
      <c r="M10" s="22" t="s">
        <v>160</v>
      </c>
      <c r="N10" s="27">
        <f t="shared" si="0"/>
        <v>1.7241379310344827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6">
        <v>3010</v>
      </c>
      <c r="L11" s="22" t="s">
        <v>122</v>
      </c>
      <c r="M11" s="22" t="s">
        <v>161</v>
      </c>
      <c r="N11" s="27">
        <f t="shared" si="0"/>
        <v>1.7241379310344827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J12" s="36">
        <v>3011</v>
      </c>
      <c r="L12" s="22" t="s">
        <v>102</v>
      </c>
      <c r="M12" s="22" t="s">
        <v>162</v>
      </c>
      <c r="N12" s="27">
        <f t="shared" si="0"/>
        <v>5.1724137931034484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J13" s="36">
        <v>3012</v>
      </c>
      <c r="L13" s="22" t="s">
        <v>103</v>
      </c>
      <c r="M13" s="22" t="s">
        <v>163</v>
      </c>
      <c r="N13" s="27">
        <f t="shared" si="0"/>
        <v>3.4482758620689653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J14" s="36">
        <v>3013</v>
      </c>
      <c r="L14" s="22" t="s">
        <v>104</v>
      </c>
      <c r="M14" s="22" t="s">
        <v>164</v>
      </c>
      <c r="N14" s="27">
        <f t="shared" si="0"/>
        <v>1.7241379310344827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J15" s="36">
        <v>3014</v>
      </c>
      <c r="L15" s="22" t="s">
        <v>105</v>
      </c>
      <c r="M15" s="22" t="s">
        <v>165</v>
      </c>
      <c r="N15" s="27">
        <f t="shared" si="0"/>
        <v>1.7241379310344827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J16" s="36">
        <v>3015</v>
      </c>
      <c r="L16" s="22" t="s">
        <v>106</v>
      </c>
      <c r="M16" s="22" t="s">
        <v>166</v>
      </c>
      <c r="N16" s="27">
        <f t="shared" si="0"/>
        <v>1.7241379310344827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2)*100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3"/>
      <c r="I96" s="18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0"/>
      <c r="B97" s="24"/>
      <c r="C97" s="24"/>
      <c r="D97" s="24"/>
      <c r="E97" s="24"/>
      <c r="F97" s="24"/>
      <c r="G97" s="24"/>
      <c r="H97" s="24"/>
      <c r="I97" s="19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3"/>
      <c r="I99" s="18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I9" sqref="I9"/>
    </sheetView>
  </sheetViews>
  <sheetFormatPr defaultRowHeight="16.5" x14ac:dyDescent="0.25"/>
  <cols>
    <col min="1" max="1" width="15.625" style="11" customWidth="1"/>
    <col min="2" max="2" width="15.625" style="10" customWidth="1"/>
    <col min="3" max="7" width="15.625" style="13" customWidth="1"/>
    <col min="8" max="8" width="3.125" style="10" customWidth="1"/>
    <col min="9" max="9" width="40.625" style="25" customWidth="1"/>
    <col min="10" max="16384" width="9" style="10"/>
  </cols>
  <sheetData>
    <row r="1" spans="1:13" s="2" customFormat="1" x14ac:dyDescent="0.25">
      <c r="A1" s="12" t="s">
        <v>42</v>
      </c>
      <c r="B1" s="2" t="s">
        <v>43</v>
      </c>
      <c r="C1" s="2" t="s">
        <v>46</v>
      </c>
      <c r="D1" s="2" t="s">
        <v>183</v>
      </c>
      <c r="E1" s="2" t="s">
        <v>44</v>
      </c>
      <c r="F1" s="2" t="s">
        <v>92</v>
      </c>
      <c r="G1" s="2" t="s">
        <v>45</v>
      </c>
      <c r="I1" s="21" t="s">
        <v>47</v>
      </c>
      <c r="J1" s="31"/>
      <c r="K1" s="31"/>
      <c r="L1" s="31"/>
      <c r="M1" s="31"/>
    </row>
    <row r="2" spans="1:13" x14ac:dyDescent="0.25">
      <c r="A2" s="11">
        <v>1</v>
      </c>
      <c r="B2" s="10" t="s">
        <v>50</v>
      </c>
      <c r="C2" s="13">
        <v>1</v>
      </c>
      <c r="D2" s="13">
        <v>1</v>
      </c>
      <c r="E2" s="13">
        <v>6</v>
      </c>
      <c r="F2" s="13">
        <v>0.3</v>
      </c>
      <c r="G2" s="13">
        <v>1</v>
      </c>
      <c r="H2" s="25"/>
      <c r="I2" s="10" t="s">
        <v>136</v>
      </c>
      <c r="J2" s="32"/>
      <c r="K2" s="32"/>
      <c r="L2" s="32"/>
      <c r="M2" s="32"/>
    </row>
    <row r="3" spans="1:13" x14ac:dyDescent="0.25">
      <c r="A3" s="11">
        <v>2</v>
      </c>
      <c r="B3" s="10" t="s">
        <v>50</v>
      </c>
      <c r="C3" s="13">
        <v>1</v>
      </c>
      <c r="D3" s="13">
        <v>2</v>
      </c>
      <c r="E3" s="13">
        <v>8</v>
      </c>
      <c r="F3" s="13">
        <v>0.3</v>
      </c>
      <c r="G3" s="13">
        <v>1</v>
      </c>
      <c r="H3" s="25"/>
      <c r="I3" s="10" t="s">
        <v>137</v>
      </c>
      <c r="J3" s="32"/>
      <c r="K3" s="32"/>
      <c r="L3" s="32"/>
      <c r="M3" s="32"/>
    </row>
    <row r="4" spans="1:13" x14ac:dyDescent="0.25">
      <c r="A4" s="11">
        <v>3</v>
      </c>
      <c r="B4" s="10" t="s">
        <v>50</v>
      </c>
      <c r="C4" s="13">
        <v>1</v>
      </c>
      <c r="D4" s="13">
        <v>3</v>
      </c>
      <c r="E4" s="13">
        <v>10</v>
      </c>
      <c r="F4" s="13">
        <v>0.3</v>
      </c>
      <c r="G4" s="13">
        <v>1</v>
      </c>
      <c r="H4" s="25"/>
      <c r="I4" s="10" t="s">
        <v>138</v>
      </c>
      <c r="J4" s="32"/>
      <c r="K4" s="32"/>
      <c r="L4" s="32"/>
      <c r="M4" s="32"/>
    </row>
    <row r="5" spans="1:13" x14ac:dyDescent="0.25">
      <c r="A5" s="11">
        <v>4</v>
      </c>
      <c r="B5" s="10" t="s">
        <v>50</v>
      </c>
      <c r="C5" s="13">
        <v>1</v>
      </c>
      <c r="D5" s="13">
        <v>4</v>
      </c>
      <c r="E5" s="13">
        <v>12</v>
      </c>
      <c r="F5" s="13">
        <v>0.3</v>
      </c>
      <c r="G5" s="13">
        <v>1</v>
      </c>
      <c r="H5" s="25"/>
      <c r="I5" s="10" t="s">
        <v>139</v>
      </c>
      <c r="J5" s="33"/>
      <c r="K5" s="34"/>
      <c r="L5" s="32"/>
      <c r="M5" s="32"/>
    </row>
    <row r="6" spans="1:13" x14ac:dyDescent="0.25">
      <c r="A6" s="11">
        <v>5</v>
      </c>
      <c r="B6" s="10" t="s">
        <v>50</v>
      </c>
      <c r="C6" s="13">
        <v>1</v>
      </c>
      <c r="D6" s="13">
        <v>5</v>
      </c>
      <c r="E6" s="13">
        <v>14</v>
      </c>
      <c r="F6" s="13">
        <v>0.3</v>
      </c>
      <c r="G6" s="13">
        <v>1</v>
      </c>
      <c r="H6" s="25"/>
      <c r="I6" s="10" t="s">
        <v>140</v>
      </c>
      <c r="J6" s="35"/>
      <c r="K6" s="34"/>
      <c r="L6" s="32"/>
      <c r="M6" s="32"/>
    </row>
    <row r="7" spans="1:13" x14ac:dyDescent="0.25">
      <c r="A7" s="11">
        <v>11</v>
      </c>
      <c r="B7" s="10" t="s">
        <v>50</v>
      </c>
      <c r="C7" s="13">
        <v>1</v>
      </c>
      <c r="D7" s="13">
        <v>2</v>
      </c>
      <c r="E7" s="13">
        <v>16</v>
      </c>
      <c r="F7" s="13">
        <v>0.25</v>
      </c>
      <c r="G7" s="13">
        <v>2</v>
      </c>
      <c r="H7" s="25"/>
      <c r="I7" s="10" t="s">
        <v>141</v>
      </c>
      <c r="J7" s="33"/>
      <c r="K7" s="34"/>
      <c r="L7" s="32"/>
      <c r="M7" s="32"/>
    </row>
    <row r="8" spans="1:13" x14ac:dyDescent="0.25">
      <c r="A8" s="11">
        <v>12</v>
      </c>
      <c r="B8" s="10" t="s">
        <v>50</v>
      </c>
      <c r="C8" s="13">
        <v>1</v>
      </c>
      <c r="D8" s="13">
        <v>3</v>
      </c>
      <c r="E8" s="13">
        <v>24</v>
      </c>
      <c r="F8" s="13">
        <v>0.25</v>
      </c>
      <c r="G8" s="13">
        <v>2</v>
      </c>
      <c r="H8" s="25"/>
      <c r="I8" s="10" t="s">
        <v>142</v>
      </c>
      <c r="J8" s="35"/>
      <c r="K8" s="34"/>
      <c r="L8" s="32"/>
      <c r="M8" s="32"/>
    </row>
    <row r="9" spans="1:13" x14ac:dyDescent="0.25">
      <c r="A9" s="11">
        <v>13</v>
      </c>
      <c r="B9" s="10" t="s">
        <v>50</v>
      </c>
      <c r="C9" s="13">
        <v>1</v>
      </c>
      <c r="D9" s="13">
        <v>4</v>
      </c>
      <c r="E9" s="13">
        <v>32</v>
      </c>
      <c r="F9" s="13">
        <v>0.25</v>
      </c>
      <c r="G9" s="13">
        <v>2</v>
      </c>
      <c r="H9" s="25"/>
      <c r="I9" s="10" t="s">
        <v>143</v>
      </c>
      <c r="J9" s="33"/>
      <c r="K9" s="34"/>
      <c r="L9" s="32"/>
      <c r="M9" s="32"/>
    </row>
    <row r="10" spans="1:13" x14ac:dyDescent="0.25">
      <c r="A10" s="11">
        <v>14</v>
      </c>
      <c r="B10" s="10" t="s">
        <v>50</v>
      </c>
      <c r="C10" s="13">
        <v>1</v>
      </c>
      <c r="D10" s="13">
        <v>5</v>
      </c>
      <c r="E10" s="13">
        <v>40</v>
      </c>
      <c r="F10" s="13">
        <v>0.25</v>
      </c>
      <c r="G10" s="13">
        <v>2</v>
      </c>
      <c r="H10" s="25"/>
      <c r="I10" s="10" t="s">
        <v>144</v>
      </c>
      <c r="J10" s="35"/>
      <c r="K10" s="34"/>
      <c r="L10" s="32"/>
      <c r="M10" s="32"/>
    </row>
    <row r="11" spans="1:13" x14ac:dyDescent="0.25">
      <c r="A11" s="11">
        <v>15</v>
      </c>
      <c r="B11" s="10" t="s">
        <v>50</v>
      </c>
      <c r="C11" s="13">
        <v>1</v>
      </c>
      <c r="D11" s="13">
        <v>6</v>
      </c>
      <c r="E11" s="13">
        <v>48</v>
      </c>
      <c r="F11" s="13">
        <v>0.25</v>
      </c>
      <c r="G11" s="13">
        <v>2</v>
      </c>
      <c r="H11" s="25"/>
      <c r="I11" s="10" t="s">
        <v>145</v>
      </c>
      <c r="J11" s="32"/>
      <c r="K11" s="32"/>
      <c r="L11" s="32"/>
      <c r="M11" s="32"/>
    </row>
    <row r="12" spans="1:13" x14ac:dyDescent="0.25">
      <c r="A12" s="11">
        <v>21</v>
      </c>
      <c r="B12" s="10" t="s">
        <v>50</v>
      </c>
      <c r="C12" s="13">
        <v>1</v>
      </c>
      <c r="D12" s="13">
        <v>3</v>
      </c>
      <c r="E12" s="13">
        <v>6</v>
      </c>
      <c r="F12" s="13">
        <v>0.8</v>
      </c>
      <c r="G12" s="13">
        <v>3</v>
      </c>
      <c r="H12" s="25"/>
      <c r="I12" s="10" t="s">
        <v>146</v>
      </c>
      <c r="J12" s="32"/>
      <c r="K12" s="32"/>
      <c r="L12" s="32"/>
      <c r="M12" s="32"/>
    </row>
    <row r="13" spans="1:13" x14ac:dyDescent="0.25">
      <c r="A13" s="11">
        <v>22</v>
      </c>
      <c r="B13" s="10" t="s">
        <v>50</v>
      </c>
      <c r="C13" s="13">
        <v>1</v>
      </c>
      <c r="D13" s="13">
        <v>4</v>
      </c>
      <c r="E13" s="13">
        <v>7</v>
      </c>
      <c r="F13" s="13">
        <v>0.8</v>
      </c>
      <c r="G13" s="13">
        <v>3</v>
      </c>
      <c r="H13" s="25"/>
      <c r="I13" s="10" t="s">
        <v>147</v>
      </c>
    </row>
    <row r="14" spans="1:13" x14ac:dyDescent="0.25">
      <c r="A14" s="11">
        <v>23</v>
      </c>
      <c r="B14" s="10" t="s">
        <v>50</v>
      </c>
      <c r="C14" s="13">
        <v>1</v>
      </c>
      <c r="D14" s="13">
        <v>5</v>
      </c>
      <c r="E14" s="13">
        <v>8</v>
      </c>
      <c r="F14" s="13">
        <v>0.8</v>
      </c>
      <c r="G14" s="13">
        <v>3</v>
      </c>
      <c r="H14" s="25"/>
      <c r="I14" s="10" t="s">
        <v>148</v>
      </c>
    </row>
    <row r="15" spans="1:13" x14ac:dyDescent="0.25">
      <c r="A15" s="11">
        <v>24</v>
      </c>
      <c r="B15" s="10" t="s">
        <v>50</v>
      </c>
      <c r="C15" s="13">
        <v>1</v>
      </c>
      <c r="D15" s="13">
        <v>6</v>
      </c>
      <c r="E15" s="13">
        <v>9</v>
      </c>
      <c r="F15" s="13">
        <v>0.8</v>
      </c>
      <c r="G15" s="13">
        <v>3</v>
      </c>
      <c r="H15" s="25"/>
      <c r="I15" s="10" t="s">
        <v>149</v>
      </c>
    </row>
    <row r="16" spans="1:13" x14ac:dyDescent="0.25">
      <c r="A16" s="11">
        <v>25</v>
      </c>
      <c r="B16" s="10" t="s">
        <v>50</v>
      </c>
      <c r="C16" s="13">
        <v>1</v>
      </c>
      <c r="D16" s="13">
        <v>7</v>
      </c>
      <c r="E16" s="13">
        <v>10</v>
      </c>
      <c r="F16" s="13">
        <v>0.8</v>
      </c>
      <c r="G16" s="13">
        <v>3</v>
      </c>
      <c r="H16" s="25"/>
      <c r="I16" s="10" t="s">
        <v>150</v>
      </c>
    </row>
    <row r="17" spans="8:9" x14ac:dyDescent="0.25">
      <c r="H17" s="25"/>
      <c r="I17" s="10"/>
    </row>
    <row r="18" spans="8:9" x14ac:dyDescent="0.25">
      <c r="H18" s="25"/>
      <c r="I18" s="10"/>
    </row>
    <row r="19" spans="8:9" x14ac:dyDescent="0.25">
      <c r="H19" s="25"/>
      <c r="I19" s="10"/>
    </row>
    <row r="20" spans="8:9" x14ac:dyDescent="0.25">
      <c r="H20" s="25"/>
      <c r="I20" s="10"/>
    </row>
    <row r="21" spans="8:9" x14ac:dyDescent="0.25">
      <c r="H21" s="25"/>
      <c r="I21" s="10"/>
    </row>
    <row r="22" spans="8:9" x14ac:dyDescent="0.25">
      <c r="H22" s="25"/>
      <c r="I22" s="10"/>
    </row>
    <row r="23" spans="8:9" x14ac:dyDescent="0.25">
      <c r="H23" s="25"/>
      <c r="I23" s="10"/>
    </row>
    <row r="24" spans="8:9" x14ac:dyDescent="0.25">
      <c r="H24" s="25"/>
      <c r="I24" s="10"/>
    </row>
    <row r="25" spans="8:9" x14ac:dyDescent="0.25">
      <c r="H25" s="25"/>
      <c r="I25" s="10"/>
    </row>
    <row r="26" spans="8:9" x14ac:dyDescent="0.25">
      <c r="H26" s="25"/>
      <c r="I26" s="10"/>
    </row>
    <row r="27" spans="8:9" x14ac:dyDescent="0.25">
      <c r="H27" s="25"/>
      <c r="I27" s="10"/>
    </row>
    <row r="28" spans="8:9" x14ac:dyDescent="0.25">
      <c r="H28" s="25"/>
      <c r="I28" s="10"/>
    </row>
    <row r="29" spans="8:9" x14ac:dyDescent="0.25">
      <c r="H29" s="25"/>
      <c r="I29" s="10"/>
    </row>
    <row r="30" spans="8:9" x14ac:dyDescent="0.25">
      <c r="H30" s="25"/>
      <c r="I30" s="10"/>
    </row>
    <row r="31" spans="8:9" x14ac:dyDescent="0.25">
      <c r="H31" s="25"/>
      <c r="I31" s="10"/>
    </row>
    <row r="32" spans="8:9" x14ac:dyDescent="0.25">
      <c r="H32" s="25"/>
      <c r="I32" s="10"/>
    </row>
    <row r="33" spans="8:9" x14ac:dyDescent="0.25">
      <c r="H33" s="25"/>
      <c r="I33" s="10"/>
    </row>
    <row r="34" spans="8:9" x14ac:dyDescent="0.25">
      <c r="H34" s="25"/>
      <c r="I34" s="10"/>
    </row>
    <row r="35" spans="8:9" x14ac:dyDescent="0.25">
      <c r="H35" s="25"/>
      <c r="I35" s="10"/>
    </row>
    <row r="36" spans="8:9" x14ac:dyDescent="0.25">
      <c r="H36" s="25"/>
      <c r="I36" s="10"/>
    </row>
    <row r="37" spans="8:9" x14ac:dyDescent="0.25">
      <c r="H37" s="25"/>
      <c r="I37" s="10"/>
    </row>
    <row r="38" spans="8:9" x14ac:dyDescent="0.25">
      <c r="H38" s="25"/>
      <c r="I38" s="10"/>
    </row>
    <row r="39" spans="8:9" x14ac:dyDescent="0.25">
      <c r="H39" s="25"/>
      <c r="I39" s="10"/>
    </row>
    <row r="40" spans="8:9" x14ac:dyDescent="0.25">
      <c r="H40" s="25"/>
      <c r="I40" s="10"/>
    </row>
    <row r="41" spans="8:9" x14ac:dyDescent="0.25">
      <c r="H41" s="25"/>
      <c r="I41" s="10"/>
    </row>
    <row r="42" spans="8:9" x14ac:dyDescent="0.25">
      <c r="H42" s="25"/>
      <c r="I42" s="10"/>
    </row>
    <row r="43" spans="8:9" x14ac:dyDescent="0.25">
      <c r="H43" s="25"/>
      <c r="I43" s="10"/>
    </row>
    <row r="44" spans="8:9" x14ac:dyDescent="0.25">
      <c r="H44" s="25"/>
      <c r="I44" s="10"/>
    </row>
    <row r="45" spans="8:9" x14ac:dyDescent="0.25">
      <c r="H45" s="25"/>
      <c r="I45" s="10"/>
    </row>
    <row r="46" spans="8:9" x14ac:dyDescent="0.25">
      <c r="H46" s="25"/>
      <c r="I46" s="10"/>
    </row>
    <row r="47" spans="8:9" x14ac:dyDescent="0.25">
      <c r="H47" s="25"/>
      <c r="I47" s="10"/>
    </row>
    <row r="48" spans="8:9" x14ac:dyDescent="0.25">
      <c r="H48" s="25"/>
      <c r="I48" s="10"/>
    </row>
    <row r="49" spans="8:9" x14ac:dyDescent="0.25">
      <c r="H49" s="25"/>
      <c r="I49" s="10"/>
    </row>
    <row r="50" spans="8:9" x14ac:dyDescent="0.25">
      <c r="H50" s="25"/>
      <c r="I50" s="10"/>
    </row>
    <row r="51" spans="8:9" x14ac:dyDescent="0.25">
      <c r="H51" s="25"/>
      <c r="I51" s="10"/>
    </row>
    <row r="52" spans="8:9" x14ac:dyDescent="0.25">
      <c r="H52" s="25"/>
      <c r="I52" s="10"/>
    </row>
    <row r="53" spans="8:9" x14ac:dyDescent="0.25">
      <c r="H53" s="25"/>
      <c r="I53" s="10"/>
    </row>
    <row r="54" spans="8:9" x14ac:dyDescent="0.25">
      <c r="H54" s="25"/>
      <c r="I54" s="10"/>
    </row>
    <row r="55" spans="8:9" x14ac:dyDescent="0.25">
      <c r="H55" s="25"/>
      <c r="I55" s="10"/>
    </row>
    <row r="56" spans="8:9" x14ac:dyDescent="0.25">
      <c r="H56" s="25"/>
      <c r="I56" s="10"/>
    </row>
    <row r="57" spans="8:9" x14ac:dyDescent="0.25">
      <c r="H57" s="25"/>
      <c r="I57" s="10"/>
    </row>
    <row r="58" spans="8:9" x14ac:dyDescent="0.25">
      <c r="H58" s="25"/>
      <c r="I58" s="10"/>
    </row>
    <row r="59" spans="8:9" x14ac:dyDescent="0.25">
      <c r="H59" s="25"/>
      <c r="I59" s="10"/>
    </row>
    <row r="60" spans="8:9" x14ac:dyDescent="0.25">
      <c r="H60" s="25"/>
      <c r="I60" s="10"/>
    </row>
    <row r="61" spans="8:9" x14ac:dyDescent="0.25">
      <c r="H61" s="25"/>
      <c r="I61" s="10"/>
    </row>
    <row r="62" spans="8:9" x14ac:dyDescent="0.25">
      <c r="H62" s="25"/>
      <c r="I62" s="10"/>
    </row>
    <row r="63" spans="8:9" x14ac:dyDescent="0.25">
      <c r="H63" s="25"/>
      <c r="I63" s="10"/>
    </row>
    <row r="64" spans="8:9" x14ac:dyDescent="0.25">
      <c r="H64" s="25"/>
      <c r="I64" s="10"/>
    </row>
    <row r="65" spans="8:9" x14ac:dyDescent="0.25">
      <c r="H65" s="25"/>
      <c r="I65" s="10"/>
    </row>
    <row r="66" spans="8:9" x14ac:dyDescent="0.25">
      <c r="H66" s="25"/>
      <c r="I66" s="10"/>
    </row>
    <row r="67" spans="8:9" x14ac:dyDescent="0.25">
      <c r="H67" s="25"/>
      <c r="I67" s="10"/>
    </row>
    <row r="68" spans="8:9" x14ac:dyDescent="0.25">
      <c r="H68" s="25"/>
      <c r="I68" s="10"/>
    </row>
    <row r="69" spans="8:9" x14ac:dyDescent="0.25">
      <c r="H69" s="25"/>
      <c r="I69" s="10"/>
    </row>
    <row r="70" spans="8:9" x14ac:dyDescent="0.25">
      <c r="H70" s="25"/>
      <c r="I70" s="10"/>
    </row>
    <row r="71" spans="8:9" x14ac:dyDescent="0.25">
      <c r="H71" s="25"/>
      <c r="I71" s="10"/>
    </row>
    <row r="72" spans="8:9" x14ac:dyDescent="0.25">
      <c r="H72" s="25"/>
      <c r="I72" s="10"/>
    </row>
    <row r="73" spans="8:9" x14ac:dyDescent="0.25">
      <c r="H73" s="25"/>
      <c r="I73" s="10"/>
    </row>
    <row r="74" spans="8:9" x14ac:dyDescent="0.25">
      <c r="H74" s="25"/>
      <c r="I74" s="10"/>
    </row>
    <row r="75" spans="8:9" x14ac:dyDescent="0.25">
      <c r="H75" s="25"/>
      <c r="I75" s="10"/>
    </row>
    <row r="76" spans="8:9" x14ac:dyDescent="0.25">
      <c r="H76" s="25"/>
      <c r="I76" s="10"/>
    </row>
    <row r="77" spans="8:9" x14ac:dyDescent="0.25">
      <c r="H77" s="25"/>
      <c r="I77" s="10"/>
    </row>
    <row r="78" spans="8:9" x14ac:dyDescent="0.25">
      <c r="H78" s="25"/>
      <c r="I78" s="10"/>
    </row>
    <row r="79" spans="8:9" x14ac:dyDescent="0.25">
      <c r="H79" s="25"/>
      <c r="I79" s="10"/>
    </row>
    <row r="80" spans="8:9" x14ac:dyDescent="0.25">
      <c r="H80" s="25"/>
      <c r="I80" s="10"/>
    </row>
    <row r="81" spans="8:9" x14ac:dyDescent="0.25">
      <c r="H81" s="25"/>
      <c r="I81" s="10"/>
    </row>
    <row r="82" spans="8:9" x14ac:dyDescent="0.25">
      <c r="H82" s="25"/>
      <c r="I82" s="10"/>
    </row>
    <row r="83" spans="8:9" x14ac:dyDescent="0.25">
      <c r="H83" s="25"/>
      <c r="I83" s="10"/>
    </row>
    <row r="84" spans="8:9" x14ac:dyDescent="0.25">
      <c r="H84" s="25"/>
      <c r="I84" s="10"/>
    </row>
    <row r="85" spans="8:9" x14ac:dyDescent="0.25">
      <c r="H85" s="25"/>
      <c r="I85" s="10"/>
    </row>
    <row r="86" spans="8:9" x14ac:dyDescent="0.25">
      <c r="H86" s="25"/>
      <c r="I86" s="10"/>
    </row>
    <row r="87" spans="8:9" x14ac:dyDescent="0.25">
      <c r="H87" s="25"/>
      <c r="I87" s="10"/>
    </row>
    <row r="88" spans="8:9" x14ac:dyDescent="0.25">
      <c r="H88" s="25"/>
      <c r="I88" s="10"/>
    </row>
    <row r="89" spans="8:9" x14ac:dyDescent="0.25">
      <c r="H89" s="25"/>
      <c r="I89" s="10"/>
    </row>
    <row r="90" spans="8:9" x14ac:dyDescent="0.25">
      <c r="H90" s="25"/>
      <c r="I90" s="10"/>
    </row>
    <row r="91" spans="8:9" x14ac:dyDescent="0.25">
      <c r="H91" s="25"/>
      <c r="I91" s="10"/>
    </row>
    <row r="92" spans="8:9" x14ac:dyDescent="0.25">
      <c r="H92" s="25"/>
      <c r="I92" s="10"/>
    </row>
    <row r="93" spans="8:9" x14ac:dyDescent="0.25">
      <c r="H93" s="25"/>
      <c r="I93" s="10"/>
    </row>
    <row r="94" spans="8:9" x14ac:dyDescent="0.25">
      <c r="H94" s="25"/>
      <c r="I94" s="10"/>
    </row>
    <row r="95" spans="8:9" x14ac:dyDescent="0.25">
      <c r="H95" s="25"/>
      <c r="I95" s="10"/>
    </row>
    <row r="96" spans="8:9" x14ac:dyDescent="0.25">
      <c r="H96" s="25"/>
      <c r="I96" s="10"/>
    </row>
    <row r="97" spans="8:9" x14ac:dyDescent="0.25">
      <c r="H97" s="25"/>
      <c r="I97" s="10"/>
    </row>
    <row r="98" spans="8:9" x14ac:dyDescent="0.25">
      <c r="H98" s="25"/>
      <c r="I98" s="10"/>
    </row>
    <row r="99" spans="8:9" x14ac:dyDescent="0.25">
      <c r="H99" s="25"/>
      <c r="I99" s="10"/>
    </row>
    <row r="100" spans="8:9" x14ac:dyDescent="0.25">
      <c r="H100" s="25"/>
      <c r="I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40" t="s">
        <v>10</v>
      </c>
      <c r="B1" s="40"/>
      <c r="C1" s="40" t="s">
        <v>17</v>
      </c>
      <c r="D1" s="40"/>
      <c r="E1" s="40" t="s">
        <v>40</v>
      </c>
      <c r="F1" s="41"/>
      <c r="G1" s="40" t="s">
        <v>39</v>
      </c>
      <c r="H1" s="41"/>
      <c r="I1" s="40" t="s">
        <v>48</v>
      </c>
      <c r="J1" s="41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topLeftCell="B1" workbookViewId="0">
      <selection activeCell="J5" sqref="J5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  <c r="J1" s="38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39" t="str">
        <f>怪物!B1</f>
        <v>Mode</v>
      </c>
      <c r="C1" s="39" t="str">
        <f>怪物!C1</f>
        <v>StageID</v>
      </c>
      <c r="D1" s="39" t="str">
        <f>怪物!D1</f>
        <v>Enegry</v>
      </c>
      <c r="E1" s="39" t="str">
        <f>怪物!E1</f>
        <v>HP</v>
      </c>
      <c r="F1" s="39" t="str">
        <f>怪物!F1</f>
        <v>MoveSpeed</v>
      </c>
      <c r="G1" s="39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1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1</v>
      </c>
      <c r="D8" t="str">
        <f>ToResult(怪物!D8)</f>
        <v>3</v>
      </c>
      <c r="E8" t="str">
        <f>ToResult(怪物!E8)</f>
        <v>24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</v>
      </c>
      <c r="D9" t="str">
        <f>ToResult(怪物!D9)</f>
        <v>4</v>
      </c>
      <c r="E9" t="str">
        <f>ToResult(怪物!E9)</f>
        <v>32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</v>
      </c>
      <c r="D10" t="str">
        <f>ToResult(怪物!D10)</f>
        <v>5</v>
      </c>
      <c r="E10" t="str">
        <f>ToResult(怪物!E10)</f>
        <v>40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</v>
      </c>
      <c r="D11" t="str">
        <f>ToResult(怪物!D11)</f>
        <v>6</v>
      </c>
      <c r="E11" t="str">
        <f>ToResult(怪物!E11)</f>
        <v>48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1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1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2015-04-12T09:32:37Z</dcterms:modified>
</cp:coreProperties>
</file>