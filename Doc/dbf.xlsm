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799" activeTab="3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9" l="1"/>
  <c r="C1" i="9"/>
  <c r="D1" i="9"/>
  <c r="E1" i="9"/>
  <c r="F1" i="9"/>
  <c r="G1" i="9"/>
  <c r="B1" i="8"/>
  <c r="C1" i="8"/>
  <c r="D1" i="8"/>
  <c r="E1" i="8"/>
  <c r="F1" i="8"/>
  <c r="G1" i="8"/>
  <c r="H1" i="8"/>
  <c r="I1" i="8"/>
  <c r="C3" i="9"/>
  <c r="C5" i="9"/>
  <c r="C9" i="9"/>
  <c r="C13" i="9"/>
  <c r="C7" i="9"/>
  <c r="C4" i="9"/>
  <c r="C12" i="9"/>
  <c r="C6" i="9"/>
  <c r="C10" i="9"/>
  <c r="C14" i="9"/>
  <c r="C11" i="9"/>
  <c r="C8" i="9"/>
  <c r="A3" i="9"/>
  <c r="E3" i="9"/>
  <c r="B4" i="9"/>
  <c r="F4" i="9"/>
  <c r="G5" i="9"/>
  <c r="D6" i="9"/>
  <c r="A7" i="9"/>
  <c r="E7" i="9"/>
  <c r="B8" i="9"/>
  <c r="F8" i="9"/>
  <c r="G9" i="9"/>
  <c r="D10" i="9"/>
  <c r="A11" i="9"/>
  <c r="E11" i="9"/>
  <c r="B12" i="9"/>
  <c r="F12" i="9"/>
  <c r="G13" i="9"/>
  <c r="D14" i="9"/>
  <c r="A15" i="9"/>
  <c r="E15" i="9"/>
  <c r="B16" i="9"/>
  <c r="F16" i="9"/>
  <c r="C17" i="9"/>
  <c r="G17" i="9"/>
  <c r="D18" i="9"/>
  <c r="A19" i="9"/>
  <c r="E19" i="9"/>
  <c r="B20" i="9"/>
  <c r="F20" i="9"/>
  <c r="C21" i="9"/>
  <c r="G21" i="9"/>
  <c r="D22" i="9"/>
  <c r="A23" i="9"/>
  <c r="E23" i="9"/>
  <c r="B24" i="9"/>
  <c r="F24" i="9"/>
  <c r="C25" i="9"/>
  <c r="G25" i="9"/>
  <c r="D26" i="9"/>
  <c r="A27" i="9"/>
  <c r="E27" i="9"/>
  <c r="B28" i="9"/>
  <c r="F28" i="9"/>
  <c r="C29" i="9"/>
  <c r="G29" i="9"/>
  <c r="D30" i="9"/>
  <c r="A31" i="9"/>
  <c r="E31" i="9"/>
  <c r="B32" i="9"/>
  <c r="F32" i="9"/>
  <c r="C33" i="9"/>
  <c r="G33" i="9"/>
  <c r="D34" i="9"/>
  <c r="A35" i="9"/>
  <c r="E35" i="9"/>
  <c r="B36" i="9"/>
  <c r="F36" i="9"/>
  <c r="C37" i="9"/>
  <c r="G37" i="9"/>
  <c r="D38" i="9"/>
  <c r="A39" i="9"/>
  <c r="E39" i="9"/>
  <c r="B40" i="9"/>
  <c r="F40" i="9"/>
  <c r="C41" i="9"/>
  <c r="G41" i="9"/>
  <c r="D42" i="9"/>
  <c r="A43" i="9"/>
  <c r="E43" i="9"/>
  <c r="B44" i="9"/>
  <c r="F44" i="9"/>
  <c r="C45" i="9"/>
  <c r="G45" i="9"/>
  <c r="D46" i="9"/>
  <c r="A47" i="9"/>
  <c r="E47" i="9"/>
  <c r="B48" i="9"/>
  <c r="F48" i="9"/>
  <c r="C49" i="9"/>
  <c r="G49" i="9"/>
  <c r="D50" i="9"/>
  <c r="A51" i="9"/>
  <c r="E51" i="9"/>
  <c r="B52" i="9"/>
  <c r="F52" i="9"/>
  <c r="C53" i="9"/>
  <c r="G53" i="9"/>
  <c r="D54" i="9"/>
  <c r="A55" i="9"/>
  <c r="E55" i="9"/>
  <c r="B56" i="9"/>
  <c r="F56" i="9"/>
  <c r="C57" i="9"/>
  <c r="G57" i="9"/>
  <c r="D58" i="9"/>
  <c r="A59" i="9"/>
  <c r="E59" i="9"/>
  <c r="B60" i="9"/>
  <c r="F60" i="9"/>
  <c r="C61" i="9"/>
  <c r="G61" i="9"/>
  <c r="D62" i="9"/>
  <c r="A63" i="9"/>
  <c r="E63" i="9"/>
  <c r="B64" i="9"/>
  <c r="F64" i="9"/>
  <c r="C65" i="9"/>
  <c r="G65" i="9"/>
  <c r="B3" i="9"/>
  <c r="F3" i="9"/>
  <c r="G4" i="9"/>
  <c r="D5" i="9"/>
  <c r="A6" i="9"/>
  <c r="E6" i="9"/>
  <c r="B7" i="9"/>
  <c r="F7" i="9"/>
  <c r="G8" i="9"/>
  <c r="D9" i="9"/>
  <c r="A10" i="9"/>
  <c r="E10" i="9"/>
  <c r="B11" i="9"/>
  <c r="F11" i="9"/>
  <c r="G12" i="9"/>
  <c r="D13" i="9"/>
  <c r="A14" i="9"/>
  <c r="E14" i="9"/>
  <c r="B15" i="9"/>
  <c r="F15" i="9"/>
  <c r="C16" i="9"/>
  <c r="G16" i="9"/>
  <c r="D17" i="9"/>
  <c r="A18" i="9"/>
  <c r="E18" i="9"/>
  <c r="B19" i="9"/>
  <c r="F19" i="9"/>
  <c r="C20" i="9"/>
  <c r="G20" i="9"/>
  <c r="D21" i="9"/>
  <c r="A22" i="9"/>
  <c r="E22" i="9"/>
  <c r="B23" i="9"/>
  <c r="F23" i="9"/>
  <c r="C24" i="9"/>
  <c r="G24" i="9"/>
  <c r="D25" i="9"/>
  <c r="A26" i="9"/>
  <c r="E26" i="9"/>
  <c r="B27" i="9"/>
  <c r="F27" i="9"/>
  <c r="C28" i="9"/>
  <c r="G28" i="9"/>
  <c r="D29" i="9"/>
  <c r="A30" i="9"/>
  <c r="E30" i="9"/>
  <c r="B31" i="9"/>
  <c r="F31" i="9"/>
  <c r="C32" i="9"/>
  <c r="G32" i="9"/>
  <c r="D33" i="9"/>
  <c r="A34" i="9"/>
  <c r="E34" i="9"/>
  <c r="B35" i="9"/>
  <c r="F35" i="9"/>
  <c r="C36" i="9"/>
  <c r="G36" i="9"/>
  <c r="D37" i="9"/>
  <c r="A38" i="9"/>
  <c r="E38" i="9"/>
  <c r="B39" i="9"/>
  <c r="F39" i="9"/>
  <c r="C40" i="9"/>
  <c r="G40" i="9"/>
  <c r="D41" i="9"/>
  <c r="A42" i="9"/>
  <c r="E42" i="9"/>
  <c r="B43" i="9"/>
  <c r="F43" i="9"/>
  <c r="C44" i="9"/>
  <c r="G44" i="9"/>
  <c r="D45" i="9"/>
  <c r="A46" i="9"/>
  <c r="E46" i="9"/>
  <c r="B47" i="9"/>
  <c r="F47" i="9"/>
  <c r="C48" i="9"/>
  <c r="G48" i="9"/>
  <c r="D49" i="9"/>
  <c r="A50" i="9"/>
  <c r="E50" i="9"/>
  <c r="B51" i="9"/>
  <c r="F51" i="9"/>
  <c r="C52" i="9"/>
  <c r="G52" i="9"/>
  <c r="D53" i="9"/>
  <c r="A54" i="9"/>
  <c r="E54" i="9"/>
  <c r="B55" i="9"/>
  <c r="F55" i="9"/>
  <c r="C56" i="9"/>
  <c r="G56" i="9"/>
  <c r="D57" i="9"/>
  <c r="A58" i="9"/>
  <c r="E58" i="9"/>
  <c r="B59" i="9"/>
  <c r="F59" i="9"/>
  <c r="C60" i="9"/>
  <c r="G60" i="9"/>
  <c r="D61" i="9"/>
  <c r="A62" i="9"/>
  <c r="E62" i="9"/>
  <c r="B63" i="9"/>
  <c r="F63" i="9"/>
  <c r="C64" i="9"/>
  <c r="G64" i="9"/>
  <c r="D65" i="9"/>
  <c r="G3" i="9"/>
  <c r="D4" i="9"/>
  <c r="A5" i="9"/>
  <c r="E5" i="9"/>
  <c r="B6" i="9"/>
  <c r="F6" i="9"/>
  <c r="G7" i="9"/>
  <c r="D8" i="9"/>
  <c r="A9" i="9"/>
  <c r="E9" i="9"/>
  <c r="B10" i="9"/>
  <c r="F10" i="9"/>
  <c r="G11" i="9"/>
  <c r="D12" i="9"/>
  <c r="A13" i="9"/>
  <c r="E13" i="9"/>
  <c r="B14" i="9"/>
  <c r="F14" i="9"/>
  <c r="C15" i="9"/>
  <c r="G15" i="9"/>
  <c r="D16" i="9"/>
  <c r="A17" i="9"/>
  <c r="E17" i="9"/>
  <c r="B18" i="9"/>
  <c r="F18" i="9"/>
  <c r="C19" i="9"/>
  <c r="G19" i="9"/>
  <c r="D20" i="9"/>
  <c r="A21" i="9"/>
  <c r="E21" i="9"/>
  <c r="B22" i="9"/>
  <c r="F22" i="9"/>
  <c r="C23" i="9"/>
  <c r="G23" i="9"/>
  <c r="D24" i="9"/>
  <c r="A25" i="9"/>
  <c r="E25" i="9"/>
  <c r="B26" i="9"/>
  <c r="F26" i="9"/>
  <c r="C27" i="9"/>
  <c r="G27" i="9"/>
  <c r="D28" i="9"/>
  <c r="A29" i="9"/>
  <c r="E29" i="9"/>
  <c r="B30" i="9"/>
  <c r="F30" i="9"/>
  <c r="C31" i="9"/>
  <c r="G31" i="9"/>
  <c r="D32" i="9"/>
  <c r="A33" i="9"/>
  <c r="E33" i="9"/>
  <c r="B34" i="9"/>
  <c r="F34" i="9"/>
  <c r="C35" i="9"/>
  <c r="G35" i="9"/>
  <c r="D36" i="9"/>
  <c r="A37" i="9"/>
  <c r="E37" i="9"/>
  <c r="B38" i="9"/>
  <c r="F38" i="9"/>
  <c r="C39" i="9"/>
  <c r="G39" i="9"/>
  <c r="D40" i="9"/>
  <c r="A41" i="9"/>
  <c r="E41" i="9"/>
  <c r="B42" i="9"/>
  <c r="F42" i="9"/>
  <c r="C43" i="9"/>
  <c r="G43" i="9"/>
  <c r="D44" i="9"/>
  <c r="A45" i="9"/>
  <c r="E45" i="9"/>
  <c r="B46" i="9"/>
  <c r="F46" i="9"/>
  <c r="C47" i="9"/>
  <c r="G47" i="9"/>
  <c r="D48" i="9"/>
  <c r="A49" i="9"/>
  <c r="E49" i="9"/>
  <c r="B50" i="9"/>
  <c r="F50" i="9"/>
  <c r="C51" i="9"/>
  <c r="G51" i="9"/>
  <c r="D52" i="9"/>
  <c r="A53" i="9"/>
  <c r="E53" i="9"/>
  <c r="B54" i="9"/>
  <c r="F54" i="9"/>
  <c r="C55" i="9"/>
  <c r="G55" i="9"/>
  <c r="D56" i="9"/>
  <c r="A57" i="9"/>
  <c r="E57" i="9"/>
  <c r="B58" i="9"/>
  <c r="F58" i="9"/>
  <c r="C59" i="9"/>
  <c r="G59" i="9"/>
  <c r="D60" i="9"/>
  <c r="A61" i="9"/>
  <c r="E61" i="9"/>
  <c r="B62" i="9"/>
  <c r="F62" i="9"/>
  <c r="C63" i="9"/>
  <c r="G63" i="9"/>
  <c r="D64" i="9"/>
  <c r="A65" i="9"/>
  <c r="E65" i="9"/>
  <c r="B66" i="9"/>
  <c r="F66" i="9"/>
  <c r="C67" i="9"/>
  <c r="G67" i="9"/>
  <c r="D68" i="9"/>
  <c r="A69" i="9"/>
  <c r="E69" i="9"/>
  <c r="B70" i="9"/>
  <c r="F70" i="9"/>
  <c r="C71" i="9"/>
  <c r="G71" i="9"/>
  <c r="D72" i="9"/>
  <c r="A73" i="9"/>
  <c r="E73" i="9"/>
  <c r="B74" i="9"/>
  <c r="F74" i="9"/>
  <c r="C75" i="9"/>
  <c r="D3" i="9"/>
  <c r="F5" i="9"/>
  <c r="A8" i="9"/>
  <c r="E12" i="9"/>
  <c r="G14" i="9"/>
  <c r="B17" i="9"/>
  <c r="D19" i="9"/>
  <c r="F21" i="9"/>
  <c r="A24" i="9"/>
  <c r="C26" i="9"/>
  <c r="E28" i="9"/>
  <c r="G30" i="9"/>
  <c r="B33" i="9"/>
  <c r="D35" i="9"/>
  <c r="F37" i="9"/>
  <c r="A40" i="9"/>
  <c r="C42" i="9"/>
  <c r="E44" i="9"/>
  <c r="G46" i="9"/>
  <c r="B49" i="9"/>
  <c r="D51" i="9"/>
  <c r="F53" i="9"/>
  <c r="A56" i="9"/>
  <c r="C58" i="9"/>
  <c r="E60" i="9"/>
  <c r="G62" i="9"/>
  <c r="B65" i="9"/>
  <c r="D66" i="9"/>
  <c r="B67" i="9"/>
  <c r="A68" i="9"/>
  <c r="F68" i="9"/>
  <c r="D69" i="9"/>
  <c r="C70" i="9"/>
  <c r="A71" i="9"/>
  <c r="F71" i="9"/>
  <c r="E72" i="9"/>
  <c r="C73" i="9"/>
  <c r="A74" i="9"/>
  <c r="G74" i="9"/>
  <c r="E75" i="9"/>
  <c r="B76" i="9"/>
  <c r="F76" i="9"/>
  <c r="C77" i="9"/>
  <c r="G77" i="9"/>
  <c r="D78" i="9"/>
  <c r="A79" i="9"/>
  <c r="E79" i="9"/>
  <c r="B80" i="9"/>
  <c r="F80" i="9"/>
  <c r="C81" i="9"/>
  <c r="G81" i="9"/>
  <c r="D82" i="9"/>
  <c r="A83" i="9"/>
  <c r="E83" i="9"/>
  <c r="B84" i="9"/>
  <c r="F84" i="9"/>
  <c r="C85" i="9"/>
  <c r="G85" i="9"/>
  <c r="D86" i="9"/>
  <c r="A87" i="9"/>
  <c r="E87" i="9"/>
  <c r="B88" i="9"/>
  <c r="F88" i="9"/>
  <c r="C89" i="9"/>
  <c r="G89" i="9"/>
  <c r="D90" i="9"/>
  <c r="A91" i="9"/>
  <c r="E91" i="9"/>
  <c r="B92" i="9"/>
  <c r="F92" i="9"/>
  <c r="C93" i="9"/>
  <c r="G93" i="9"/>
  <c r="D94" i="9"/>
  <c r="A95" i="9"/>
  <c r="E95" i="9"/>
  <c r="B96" i="9"/>
  <c r="F96" i="9"/>
  <c r="C97" i="9"/>
  <c r="G97" i="9"/>
  <c r="D98" i="9"/>
  <c r="A99" i="9"/>
  <c r="E99" i="9"/>
  <c r="B100" i="9"/>
  <c r="F100" i="9"/>
  <c r="D85" i="9"/>
  <c r="E86" i="9"/>
  <c r="F87" i="9"/>
  <c r="G88" i="9"/>
  <c r="A90" i="9"/>
  <c r="B91" i="9"/>
  <c r="C92" i="9"/>
  <c r="D93" i="9"/>
  <c r="E94" i="9"/>
  <c r="F95" i="9"/>
  <c r="G96" i="9"/>
  <c r="A98" i="9"/>
  <c r="B99" i="9"/>
  <c r="C100" i="9"/>
  <c r="E80" i="9"/>
  <c r="G82" i="9"/>
  <c r="B85" i="9"/>
  <c r="G86" i="9"/>
  <c r="E88" i="9"/>
  <c r="C90" i="9"/>
  <c r="A92" i="9"/>
  <c r="F93" i="9"/>
  <c r="D95" i="9"/>
  <c r="B97" i="9"/>
  <c r="G98" i="9"/>
  <c r="E100" i="9"/>
  <c r="A4" i="9"/>
  <c r="E8" i="9"/>
  <c r="G10" i="9"/>
  <c r="B13" i="9"/>
  <c r="D15" i="9"/>
  <c r="F17" i="9"/>
  <c r="A20" i="9"/>
  <c r="C22" i="9"/>
  <c r="E24" i="9"/>
  <c r="G26" i="9"/>
  <c r="B29" i="9"/>
  <c r="D31" i="9"/>
  <c r="F33" i="9"/>
  <c r="A36" i="9"/>
  <c r="C38" i="9"/>
  <c r="E40" i="9"/>
  <c r="G42" i="9"/>
  <c r="B45" i="9"/>
  <c r="D47" i="9"/>
  <c r="F49" i="9"/>
  <c r="A52" i="9"/>
  <c r="C54" i="9"/>
  <c r="E56" i="9"/>
  <c r="G58" i="9"/>
  <c r="B61" i="9"/>
  <c r="D63" i="9"/>
  <c r="F65" i="9"/>
  <c r="E66" i="9"/>
  <c r="D67" i="9"/>
  <c r="B68" i="9"/>
  <c r="G68" i="9"/>
  <c r="F69" i="9"/>
  <c r="D70" i="9"/>
  <c r="B71" i="9"/>
  <c r="A72" i="9"/>
  <c r="F72" i="9"/>
  <c r="D73" i="9"/>
  <c r="C74" i="9"/>
  <c r="A75" i="9"/>
  <c r="F75" i="9"/>
  <c r="C76" i="9"/>
  <c r="G76" i="9"/>
  <c r="D77" i="9"/>
  <c r="A78" i="9"/>
  <c r="E78" i="9"/>
  <c r="B79" i="9"/>
  <c r="F79" i="9"/>
  <c r="C80" i="9"/>
  <c r="G80" i="9"/>
  <c r="D81" i="9"/>
  <c r="A82" i="9"/>
  <c r="E82" i="9"/>
  <c r="B83" i="9"/>
  <c r="F83" i="9"/>
  <c r="C84" i="9"/>
  <c r="G84" i="9"/>
  <c r="A86" i="9"/>
  <c r="B87" i="9"/>
  <c r="C88" i="9"/>
  <c r="D89" i="9"/>
  <c r="E90" i="9"/>
  <c r="F91" i="9"/>
  <c r="G92" i="9"/>
  <c r="A94" i="9"/>
  <c r="B95" i="9"/>
  <c r="C96" i="9"/>
  <c r="D97" i="9"/>
  <c r="E98" i="9"/>
  <c r="F99" i="9"/>
  <c r="G100" i="9"/>
  <c r="F81" i="9"/>
  <c r="A84" i="9"/>
  <c r="F85" i="9"/>
  <c r="D87" i="9"/>
  <c r="B89" i="9"/>
  <c r="G90" i="9"/>
  <c r="E92" i="9"/>
  <c r="C94" i="9"/>
  <c r="A96" i="9"/>
  <c r="F97" i="9"/>
  <c r="D99" i="9"/>
  <c r="E4" i="9"/>
  <c r="G6" i="9"/>
  <c r="B9" i="9"/>
  <c r="D11" i="9"/>
  <c r="F13" i="9"/>
  <c r="A16" i="9"/>
  <c r="C18" i="9"/>
  <c r="E20" i="9"/>
  <c r="G22" i="9"/>
  <c r="B25" i="9"/>
  <c r="D27" i="9"/>
  <c r="F29" i="9"/>
  <c r="A32" i="9"/>
  <c r="C34" i="9"/>
  <c r="E36" i="9"/>
  <c r="G38" i="9"/>
  <c r="B41" i="9"/>
  <c r="D43" i="9"/>
  <c r="F45" i="9"/>
  <c r="A48" i="9"/>
  <c r="C50" i="9"/>
  <c r="E52" i="9"/>
  <c r="G54" i="9"/>
  <c r="B57" i="9"/>
  <c r="D59" i="9"/>
  <c r="F61" i="9"/>
  <c r="A64" i="9"/>
  <c r="A66" i="9"/>
  <c r="G66" i="9"/>
  <c r="E67" i="9"/>
  <c r="C68" i="9"/>
  <c r="B69" i="9"/>
  <c r="G69" i="9"/>
  <c r="E70" i="9"/>
  <c r="D71" i="9"/>
  <c r="B72" i="9"/>
  <c r="G72" i="9"/>
  <c r="F73" i="9"/>
  <c r="D74" i="9"/>
  <c r="B75" i="9"/>
  <c r="G75" i="9"/>
  <c r="D76" i="9"/>
  <c r="A77" i="9"/>
  <c r="E77" i="9"/>
  <c r="B78" i="9"/>
  <c r="F78" i="9"/>
  <c r="C79" i="9"/>
  <c r="G79" i="9"/>
  <c r="D80" i="9"/>
  <c r="A81" i="9"/>
  <c r="E81" i="9"/>
  <c r="B82" i="9"/>
  <c r="F82" i="9"/>
  <c r="C83" i="9"/>
  <c r="G83" i="9"/>
  <c r="D84" i="9"/>
  <c r="A85" i="9"/>
  <c r="E85" i="9"/>
  <c r="B86" i="9"/>
  <c r="F86" i="9"/>
  <c r="C87" i="9"/>
  <c r="G87" i="9"/>
  <c r="D88" i="9"/>
  <c r="A89" i="9"/>
  <c r="E89" i="9"/>
  <c r="B90" i="9"/>
  <c r="F90" i="9"/>
  <c r="C91" i="9"/>
  <c r="G91" i="9"/>
  <c r="D92" i="9"/>
  <c r="A93" i="9"/>
  <c r="E93" i="9"/>
  <c r="B94" i="9"/>
  <c r="F94" i="9"/>
  <c r="C95" i="9"/>
  <c r="G95" i="9"/>
  <c r="D96" i="9"/>
  <c r="A97" i="9"/>
  <c r="E97" i="9"/>
  <c r="B98" i="9"/>
  <c r="F98" i="9"/>
  <c r="C99" i="9"/>
  <c r="G99" i="9"/>
  <c r="D100" i="9"/>
  <c r="B5" i="9"/>
  <c r="D7" i="9"/>
  <c r="F9" i="9"/>
  <c r="A12" i="9"/>
  <c r="E16" i="9"/>
  <c r="G18" i="9"/>
  <c r="B21" i="9"/>
  <c r="D23" i="9"/>
  <c r="F25" i="9"/>
  <c r="A28" i="9"/>
  <c r="C30" i="9"/>
  <c r="E32" i="9"/>
  <c r="G34" i="9"/>
  <c r="B37" i="9"/>
  <c r="D39" i="9"/>
  <c r="F41" i="9"/>
  <c r="A44" i="9"/>
  <c r="C46" i="9"/>
  <c r="E48" i="9"/>
  <c r="G50" i="9"/>
  <c r="B53" i="9"/>
  <c r="D55" i="9"/>
  <c r="F57" i="9"/>
  <c r="A60" i="9"/>
  <c r="C62" i="9"/>
  <c r="E64" i="9"/>
  <c r="C66" i="9"/>
  <c r="A67" i="9"/>
  <c r="F67" i="9"/>
  <c r="E68" i="9"/>
  <c r="C69" i="9"/>
  <c r="A70" i="9"/>
  <c r="G70" i="9"/>
  <c r="E71" i="9"/>
  <c r="C72" i="9"/>
  <c r="B73" i="9"/>
  <c r="G73" i="9"/>
  <c r="E74" i="9"/>
  <c r="D75" i="9"/>
  <c r="A76" i="9"/>
  <c r="E76" i="9"/>
  <c r="B77" i="9"/>
  <c r="F77" i="9"/>
  <c r="C78" i="9"/>
  <c r="G78" i="9"/>
  <c r="D79" i="9"/>
  <c r="A80" i="9"/>
  <c r="B81" i="9"/>
  <c r="C82" i="9"/>
  <c r="D83" i="9"/>
  <c r="E84" i="9"/>
  <c r="C86" i="9"/>
  <c r="A88" i="9"/>
  <c r="F89" i="9"/>
  <c r="D91" i="9"/>
  <c r="B93" i="9"/>
  <c r="G94" i="9"/>
  <c r="E96" i="9"/>
  <c r="C98" i="9"/>
  <c r="A100" i="9"/>
  <c r="A3" i="8"/>
  <c r="E3" i="8"/>
  <c r="I3" i="8"/>
  <c r="D4" i="8"/>
  <c r="H4" i="8"/>
  <c r="C5" i="8"/>
  <c r="G5" i="8"/>
  <c r="B6" i="8"/>
  <c r="F6" i="8"/>
  <c r="A7" i="8"/>
  <c r="E7" i="8"/>
  <c r="I7" i="8"/>
  <c r="D8" i="8"/>
  <c r="H8" i="8"/>
  <c r="C9" i="8"/>
  <c r="G9" i="8"/>
  <c r="B10" i="8"/>
  <c r="F10" i="8"/>
  <c r="A11" i="8"/>
  <c r="E11" i="8"/>
  <c r="I11" i="8"/>
  <c r="D12" i="8"/>
  <c r="H12" i="8"/>
  <c r="C13" i="8"/>
  <c r="G13" i="8"/>
  <c r="B14" i="8"/>
  <c r="F14" i="8"/>
  <c r="A15" i="8"/>
  <c r="E15" i="8"/>
  <c r="I15" i="8"/>
  <c r="D16" i="8"/>
  <c r="H16" i="8"/>
  <c r="C17" i="8"/>
  <c r="G17" i="8"/>
  <c r="B18" i="8"/>
  <c r="F18" i="8"/>
  <c r="A19" i="8"/>
  <c r="E19" i="8"/>
  <c r="I19" i="8"/>
  <c r="D20" i="8"/>
  <c r="H20" i="8"/>
  <c r="C21" i="8"/>
  <c r="G21" i="8"/>
  <c r="B22" i="8"/>
  <c r="F22" i="8"/>
  <c r="A23" i="8"/>
  <c r="E23" i="8"/>
  <c r="I23" i="8"/>
  <c r="D24" i="8"/>
  <c r="H24" i="8"/>
  <c r="C25" i="8"/>
  <c r="G25" i="8"/>
  <c r="B26" i="8"/>
  <c r="F26" i="8"/>
  <c r="A27" i="8"/>
  <c r="E27" i="8"/>
  <c r="I27" i="8"/>
  <c r="D28" i="8"/>
  <c r="H28" i="8"/>
  <c r="C29" i="8"/>
  <c r="G29" i="8"/>
  <c r="B30" i="8"/>
  <c r="F30" i="8"/>
  <c r="A31" i="8"/>
  <c r="E31" i="8"/>
  <c r="I31" i="8"/>
  <c r="D32" i="8"/>
  <c r="H32" i="8"/>
  <c r="C33" i="8"/>
  <c r="G33" i="8"/>
  <c r="B34" i="8"/>
  <c r="F34" i="8"/>
  <c r="A35" i="8"/>
  <c r="E35" i="8"/>
  <c r="I35" i="8"/>
  <c r="D36" i="8"/>
  <c r="H36" i="8"/>
  <c r="C37" i="8"/>
  <c r="G37" i="8"/>
  <c r="B38" i="8"/>
  <c r="F38" i="8"/>
  <c r="A39" i="8"/>
  <c r="E39" i="8"/>
  <c r="I39" i="8"/>
  <c r="D40" i="8"/>
  <c r="H40" i="8"/>
  <c r="C41" i="8"/>
  <c r="G41" i="8"/>
  <c r="B42" i="8"/>
  <c r="F42" i="8"/>
  <c r="A43" i="8"/>
  <c r="E43" i="8"/>
  <c r="I43" i="8"/>
  <c r="D44" i="8"/>
  <c r="H44" i="8"/>
  <c r="C45" i="8"/>
  <c r="G45" i="8"/>
  <c r="B46" i="8"/>
  <c r="F46" i="8"/>
  <c r="A47" i="8"/>
  <c r="E47" i="8"/>
  <c r="I47" i="8"/>
  <c r="D48" i="8"/>
  <c r="H48" i="8"/>
  <c r="C49" i="8"/>
  <c r="G49" i="8"/>
  <c r="B50" i="8"/>
  <c r="F50" i="8"/>
  <c r="A51" i="8"/>
  <c r="E51" i="8"/>
  <c r="I51" i="8"/>
  <c r="D52" i="8"/>
  <c r="H52" i="8"/>
  <c r="C53" i="8"/>
  <c r="G53" i="8"/>
  <c r="B54" i="8"/>
  <c r="F54" i="8"/>
  <c r="A55" i="8"/>
  <c r="E55" i="8"/>
  <c r="I55" i="8"/>
  <c r="D56" i="8"/>
  <c r="H56" i="8"/>
  <c r="C57" i="8"/>
  <c r="G57" i="8"/>
  <c r="B58" i="8"/>
  <c r="F58" i="8"/>
  <c r="A59" i="8"/>
  <c r="B3" i="8"/>
  <c r="F3" i="8"/>
  <c r="A4" i="8"/>
  <c r="E4" i="8"/>
  <c r="I4" i="8"/>
  <c r="D5" i="8"/>
  <c r="H5" i="8"/>
  <c r="C6" i="8"/>
  <c r="G6" i="8"/>
  <c r="B7" i="8"/>
  <c r="F7" i="8"/>
  <c r="A8" i="8"/>
  <c r="E8" i="8"/>
  <c r="I8" i="8"/>
  <c r="D9" i="8"/>
  <c r="H9" i="8"/>
  <c r="C10" i="8"/>
  <c r="G10" i="8"/>
  <c r="B11" i="8"/>
  <c r="F11" i="8"/>
  <c r="A12" i="8"/>
  <c r="E12" i="8"/>
  <c r="I12" i="8"/>
  <c r="D13" i="8"/>
  <c r="H13" i="8"/>
  <c r="C14" i="8"/>
  <c r="G14" i="8"/>
  <c r="B15" i="8"/>
  <c r="F15" i="8"/>
  <c r="A16" i="8"/>
  <c r="E16" i="8"/>
  <c r="I16" i="8"/>
  <c r="D17" i="8"/>
  <c r="H17" i="8"/>
  <c r="C18" i="8"/>
  <c r="G18" i="8"/>
  <c r="B19" i="8"/>
  <c r="F19" i="8"/>
  <c r="A20" i="8"/>
  <c r="E20" i="8"/>
  <c r="I20" i="8"/>
  <c r="D21" i="8"/>
  <c r="H21" i="8"/>
  <c r="C22" i="8"/>
  <c r="G22" i="8"/>
  <c r="B23" i="8"/>
  <c r="F23" i="8"/>
  <c r="A24" i="8"/>
  <c r="E24" i="8"/>
  <c r="I24" i="8"/>
  <c r="D25" i="8"/>
  <c r="H25" i="8"/>
  <c r="C26" i="8"/>
  <c r="G26" i="8"/>
  <c r="B27" i="8"/>
  <c r="F27" i="8"/>
  <c r="A28" i="8"/>
  <c r="E28" i="8"/>
  <c r="I28" i="8"/>
  <c r="D29" i="8"/>
  <c r="H29" i="8"/>
  <c r="C30" i="8"/>
  <c r="G30" i="8"/>
  <c r="B31" i="8"/>
  <c r="F31" i="8"/>
  <c r="A32" i="8"/>
  <c r="E32" i="8"/>
  <c r="I32" i="8"/>
  <c r="D33" i="8"/>
  <c r="H33" i="8"/>
  <c r="C34" i="8"/>
  <c r="G34" i="8"/>
  <c r="B35" i="8"/>
  <c r="F35" i="8"/>
  <c r="A36" i="8"/>
  <c r="E36" i="8"/>
  <c r="I36" i="8"/>
  <c r="D37" i="8"/>
  <c r="H37" i="8"/>
  <c r="C38" i="8"/>
  <c r="G38" i="8"/>
  <c r="B39" i="8"/>
  <c r="F39" i="8"/>
  <c r="A40" i="8"/>
  <c r="E40" i="8"/>
  <c r="I40" i="8"/>
  <c r="D41" i="8"/>
  <c r="H41" i="8"/>
  <c r="C42" i="8"/>
  <c r="G42" i="8"/>
  <c r="B43" i="8"/>
  <c r="F43" i="8"/>
  <c r="A44" i="8"/>
  <c r="E44" i="8"/>
  <c r="I44" i="8"/>
  <c r="D45" i="8"/>
  <c r="H45" i="8"/>
  <c r="C46" i="8"/>
  <c r="G46" i="8"/>
  <c r="B47" i="8"/>
  <c r="F47" i="8"/>
  <c r="A48" i="8"/>
  <c r="E48" i="8"/>
  <c r="I48" i="8"/>
  <c r="D49" i="8"/>
  <c r="H49" i="8"/>
  <c r="C50" i="8"/>
  <c r="G50" i="8"/>
  <c r="B51" i="8"/>
  <c r="F51" i="8"/>
  <c r="A52" i="8"/>
  <c r="E52" i="8"/>
  <c r="I52" i="8"/>
  <c r="D53" i="8"/>
  <c r="H53" i="8"/>
  <c r="C54" i="8"/>
  <c r="G54" i="8"/>
  <c r="B55" i="8"/>
  <c r="F55" i="8"/>
  <c r="A56" i="8"/>
  <c r="E56" i="8"/>
  <c r="I56" i="8"/>
  <c r="D57" i="8"/>
  <c r="H57" i="8"/>
  <c r="C58" i="8"/>
  <c r="G58" i="8"/>
  <c r="B59" i="8"/>
  <c r="D3" i="8"/>
  <c r="H3" i="8"/>
  <c r="C4" i="8"/>
  <c r="G4" i="8"/>
  <c r="B5" i="8"/>
  <c r="F5" i="8"/>
  <c r="A6" i="8"/>
  <c r="E6" i="8"/>
  <c r="I6" i="8"/>
  <c r="D7" i="8"/>
  <c r="H7" i="8"/>
  <c r="C8" i="8"/>
  <c r="G8" i="8"/>
  <c r="B9" i="8"/>
  <c r="F9" i="8"/>
  <c r="A10" i="8"/>
  <c r="E10" i="8"/>
  <c r="I10" i="8"/>
  <c r="D11" i="8"/>
  <c r="H11" i="8"/>
  <c r="C12" i="8"/>
  <c r="G12" i="8"/>
  <c r="B13" i="8"/>
  <c r="F13" i="8"/>
  <c r="A14" i="8"/>
  <c r="E14" i="8"/>
  <c r="I14" i="8"/>
  <c r="D15" i="8"/>
  <c r="H15" i="8"/>
  <c r="C16" i="8"/>
  <c r="G16" i="8"/>
  <c r="B17" i="8"/>
  <c r="F17" i="8"/>
  <c r="A18" i="8"/>
  <c r="E18" i="8"/>
  <c r="I18" i="8"/>
  <c r="D19" i="8"/>
  <c r="H19" i="8"/>
  <c r="C20" i="8"/>
  <c r="G20" i="8"/>
  <c r="B21" i="8"/>
  <c r="F21" i="8"/>
  <c r="A22" i="8"/>
  <c r="E22" i="8"/>
  <c r="I22" i="8"/>
  <c r="D23" i="8"/>
  <c r="H23" i="8"/>
  <c r="C24" i="8"/>
  <c r="G24" i="8"/>
  <c r="B25" i="8"/>
  <c r="F25" i="8"/>
  <c r="A26" i="8"/>
  <c r="E26" i="8"/>
  <c r="I26" i="8"/>
  <c r="D27" i="8"/>
  <c r="H27" i="8"/>
  <c r="C28" i="8"/>
  <c r="G28" i="8"/>
  <c r="B29" i="8"/>
  <c r="F29" i="8"/>
  <c r="A30" i="8"/>
  <c r="E30" i="8"/>
  <c r="I30" i="8"/>
  <c r="D31" i="8"/>
  <c r="H31" i="8"/>
  <c r="C32" i="8"/>
  <c r="G32" i="8"/>
  <c r="B33" i="8"/>
  <c r="F33" i="8"/>
  <c r="A34" i="8"/>
  <c r="E34" i="8"/>
  <c r="I34" i="8"/>
  <c r="D35" i="8"/>
  <c r="H35" i="8"/>
  <c r="C36" i="8"/>
  <c r="G36" i="8"/>
  <c r="B37" i="8"/>
  <c r="F37" i="8"/>
  <c r="A38" i="8"/>
  <c r="E38" i="8"/>
  <c r="I38" i="8"/>
  <c r="D39" i="8"/>
  <c r="H39" i="8"/>
  <c r="C40" i="8"/>
  <c r="G40" i="8"/>
  <c r="B41" i="8"/>
  <c r="F41" i="8"/>
  <c r="A42" i="8"/>
  <c r="E42" i="8"/>
  <c r="I42" i="8"/>
  <c r="D43" i="8"/>
  <c r="H43" i="8"/>
  <c r="C44" i="8"/>
  <c r="G44" i="8"/>
  <c r="B45" i="8"/>
  <c r="F45" i="8"/>
  <c r="A46" i="8"/>
  <c r="E46" i="8"/>
  <c r="I46" i="8"/>
  <c r="D47" i="8"/>
  <c r="H47" i="8"/>
  <c r="C48" i="8"/>
  <c r="G48" i="8"/>
  <c r="B49" i="8"/>
  <c r="F49" i="8"/>
  <c r="A50" i="8"/>
  <c r="E50" i="8"/>
  <c r="I50" i="8"/>
  <c r="D51" i="8"/>
  <c r="H51" i="8"/>
  <c r="C52" i="8"/>
  <c r="G52" i="8"/>
  <c r="B53" i="8"/>
  <c r="F53" i="8"/>
  <c r="A54" i="8"/>
  <c r="E54" i="8"/>
  <c r="I54" i="8"/>
  <c r="D55" i="8"/>
  <c r="H55" i="8"/>
  <c r="C56" i="8"/>
  <c r="G56" i="8"/>
  <c r="B57" i="8"/>
  <c r="F57" i="8"/>
  <c r="A58" i="8"/>
  <c r="E58" i="8"/>
  <c r="I58" i="8"/>
  <c r="D59" i="8"/>
  <c r="C3" i="8"/>
  <c r="A5" i="8"/>
  <c r="H6" i="8"/>
  <c r="F8" i="8"/>
  <c r="D10" i="8"/>
  <c r="B12" i="8"/>
  <c r="I13" i="8"/>
  <c r="G15" i="8"/>
  <c r="E17" i="8"/>
  <c r="C19" i="8"/>
  <c r="A21" i="8"/>
  <c r="H22" i="8"/>
  <c r="F24" i="8"/>
  <c r="D26" i="8"/>
  <c r="B28" i="8"/>
  <c r="I29" i="8"/>
  <c r="G31" i="8"/>
  <c r="E33" i="8"/>
  <c r="C35" i="8"/>
  <c r="A37" i="8"/>
  <c r="H38" i="8"/>
  <c r="F40" i="8"/>
  <c r="D42" i="8"/>
  <c r="B44" i="8"/>
  <c r="I45" i="8"/>
  <c r="G47" i="8"/>
  <c r="E49" i="8"/>
  <c r="C51" i="8"/>
  <c r="A53" i="8"/>
  <c r="H54" i="8"/>
  <c r="F56" i="8"/>
  <c r="D58" i="8"/>
  <c r="F59" i="8"/>
  <c r="A60" i="8"/>
  <c r="E60" i="8"/>
  <c r="I60" i="8"/>
  <c r="D61" i="8"/>
  <c r="H61" i="8"/>
  <c r="C62" i="8"/>
  <c r="G62" i="8"/>
  <c r="B63" i="8"/>
  <c r="F63" i="8"/>
  <c r="A64" i="8"/>
  <c r="E64" i="8"/>
  <c r="I64" i="8"/>
  <c r="D65" i="8"/>
  <c r="H65" i="8"/>
  <c r="C66" i="8"/>
  <c r="G66" i="8"/>
  <c r="B67" i="8"/>
  <c r="F67" i="8"/>
  <c r="A68" i="8"/>
  <c r="E68" i="8"/>
  <c r="I68" i="8"/>
  <c r="D69" i="8"/>
  <c r="H69" i="8"/>
  <c r="C70" i="8"/>
  <c r="G70" i="8"/>
  <c r="B71" i="8"/>
  <c r="F71" i="8"/>
  <c r="A72" i="8"/>
  <c r="E72" i="8"/>
  <c r="I72" i="8"/>
  <c r="D73" i="8"/>
  <c r="H73" i="8"/>
  <c r="C74" i="8"/>
  <c r="G74" i="8"/>
  <c r="B75" i="8"/>
  <c r="F75" i="8"/>
  <c r="A76" i="8"/>
  <c r="E76" i="8"/>
  <c r="I76" i="8"/>
  <c r="D77" i="8"/>
  <c r="H77" i="8"/>
  <c r="C78" i="8"/>
  <c r="G78" i="8"/>
  <c r="B79" i="8"/>
  <c r="F79" i="8"/>
  <c r="A80" i="8"/>
  <c r="E80" i="8"/>
  <c r="I80" i="8"/>
  <c r="D81" i="8"/>
  <c r="H81" i="8"/>
  <c r="C82" i="8"/>
  <c r="G82" i="8"/>
  <c r="B83" i="8"/>
  <c r="F83" i="8"/>
  <c r="A84" i="8"/>
  <c r="E84" i="8"/>
  <c r="I84" i="8"/>
  <c r="D85" i="8"/>
  <c r="H85" i="8"/>
  <c r="C86" i="8"/>
  <c r="G86" i="8"/>
  <c r="B87" i="8"/>
  <c r="F87" i="8"/>
  <c r="A88" i="8"/>
  <c r="E88" i="8"/>
  <c r="I88" i="8"/>
  <c r="D89" i="8"/>
  <c r="H89" i="8"/>
  <c r="C90" i="8"/>
  <c r="G90" i="8"/>
  <c r="B91" i="8"/>
  <c r="F91" i="8"/>
  <c r="A92" i="8"/>
  <c r="E92" i="8"/>
  <c r="I92" i="8"/>
  <c r="D93" i="8"/>
  <c r="H93" i="8"/>
  <c r="C94" i="8"/>
  <c r="G94" i="8"/>
  <c r="B95" i="8"/>
  <c r="F95" i="8"/>
  <c r="A96" i="8"/>
  <c r="E96" i="8"/>
  <c r="I96" i="8"/>
  <c r="D97" i="8"/>
  <c r="H97" i="8"/>
  <c r="C98" i="8"/>
  <c r="G98" i="8"/>
  <c r="B99" i="8"/>
  <c r="F99" i="8"/>
  <c r="A100" i="8"/>
  <c r="E100" i="8"/>
  <c r="I100" i="8"/>
  <c r="B4" i="8"/>
  <c r="I5" i="8"/>
  <c r="G7" i="8"/>
  <c r="E9" i="8"/>
  <c r="C11" i="8"/>
  <c r="A13" i="8"/>
  <c r="H14" i="8"/>
  <c r="F16" i="8"/>
  <c r="D18" i="8"/>
  <c r="B20" i="8"/>
  <c r="I21" i="8"/>
  <c r="G23" i="8"/>
  <c r="E25" i="8"/>
  <c r="C27" i="8"/>
  <c r="A29" i="8"/>
  <c r="H30" i="8"/>
  <c r="F32" i="8"/>
  <c r="D34" i="8"/>
  <c r="B36" i="8"/>
  <c r="I37" i="8"/>
  <c r="G39" i="8"/>
  <c r="E41" i="8"/>
  <c r="C43" i="8"/>
  <c r="A45" i="8"/>
  <c r="H46" i="8"/>
  <c r="F48" i="8"/>
  <c r="D50" i="8"/>
  <c r="B52" i="8"/>
  <c r="I53" i="8"/>
  <c r="G55" i="8"/>
  <c r="E57" i="8"/>
  <c r="C59" i="8"/>
  <c r="H59" i="8"/>
  <c r="C60" i="8"/>
  <c r="G60" i="8"/>
  <c r="B61" i="8"/>
  <c r="F61" i="8"/>
  <c r="A62" i="8"/>
  <c r="E62" i="8"/>
  <c r="I62" i="8"/>
  <c r="D63" i="8"/>
  <c r="H63" i="8"/>
  <c r="C64" i="8"/>
  <c r="G64" i="8"/>
  <c r="B65" i="8"/>
  <c r="F65" i="8"/>
  <c r="A66" i="8"/>
  <c r="E66" i="8"/>
  <c r="I66" i="8"/>
  <c r="D67" i="8"/>
  <c r="H67" i="8"/>
  <c r="C68" i="8"/>
  <c r="G68" i="8"/>
  <c r="B69" i="8"/>
  <c r="F69" i="8"/>
  <c r="A70" i="8"/>
  <c r="E70" i="8"/>
  <c r="I70" i="8"/>
  <c r="D71" i="8"/>
  <c r="H71" i="8"/>
  <c r="C72" i="8"/>
  <c r="G72" i="8"/>
  <c r="B73" i="8"/>
  <c r="F73" i="8"/>
  <c r="A74" i="8"/>
  <c r="E74" i="8"/>
  <c r="I74" i="8"/>
  <c r="D75" i="8"/>
  <c r="H75" i="8"/>
  <c r="C76" i="8"/>
  <c r="G76" i="8"/>
  <c r="B77" i="8"/>
  <c r="F77" i="8"/>
  <c r="A78" i="8"/>
  <c r="E78" i="8"/>
  <c r="I78" i="8"/>
  <c r="D79" i="8"/>
  <c r="H79" i="8"/>
  <c r="C80" i="8"/>
  <c r="G80" i="8"/>
  <c r="B81" i="8"/>
  <c r="F81" i="8"/>
  <c r="A82" i="8"/>
  <c r="E82" i="8"/>
  <c r="I82" i="8"/>
  <c r="D83" i="8"/>
  <c r="H83" i="8"/>
  <c r="C84" i="8"/>
  <c r="G84" i="8"/>
  <c r="B85" i="8"/>
  <c r="F85" i="8"/>
  <c r="A86" i="8"/>
  <c r="E86" i="8"/>
  <c r="I86" i="8"/>
  <c r="D87" i="8"/>
  <c r="H87" i="8"/>
  <c r="C88" i="8"/>
  <c r="G88" i="8"/>
  <c r="B89" i="8"/>
  <c r="F89" i="8"/>
  <c r="A90" i="8"/>
  <c r="E90" i="8"/>
  <c r="I90" i="8"/>
  <c r="D91" i="8"/>
  <c r="H91" i="8"/>
  <c r="C92" i="8"/>
  <c r="G92" i="8"/>
  <c r="B93" i="8"/>
  <c r="F93" i="8"/>
  <c r="A94" i="8"/>
  <c r="E94" i="8"/>
  <c r="I94" i="8"/>
  <c r="D95" i="8"/>
  <c r="H95" i="8"/>
  <c r="C96" i="8"/>
  <c r="G96" i="8"/>
  <c r="B97" i="8"/>
  <c r="F97" i="8"/>
  <c r="A98" i="8"/>
  <c r="E98" i="8"/>
  <c r="I98" i="8"/>
  <c r="D99" i="8"/>
  <c r="H99" i="8"/>
  <c r="C100" i="8"/>
  <c r="G100" i="8"/>
  <c r="F4" i="8"/>
  <c r="D6" i="8"/>
  <c r="G3" i="8"/>
  <c r="A9" i="8"/>
  <c r="F12" i="8"/>
  <c r="B16" i="8"/>
  <c r="G19" i="8"/>
  <c r="C23" i="8"/>
  <c r="H26" i="8"/>
  <c r="D30" i="8"/>
  <c r="I33" i="8"/>
  <c r="E37" i="8"/>
  <c r="A41" i="8"/>
  <c r="F44" i="8"/>
  <c r="B48" i="8"/>
  <c r="G51" i="8"/>
  <c r="C55" i="8"/>
  <c r="H58" i="8"/>
  <c r="B60" i="8"/>
  <c r="A61" i="8"/>
  <c r="I61" i="8"/>
  <c r="H62" i="8"/>
  <c r="G63" i="8"/>
  <c r="F64" i="8"/>
  <c r="E65" i="8"/>
  <c r="D66" i="8"/>
  <c r="C67" i="8"/>
  <c r="B68" i="8"/>
  <c r="A69" i="8"/>
  <c r="I69" i="8"/>
  <c r="H70" i="8"/>
  <c r="G71" i="8"/>
  <c r="F72" i="8"/>
  <c r="E73" i="8"/>
  <c r="D74" i="8"/>
  <c r="C75" i="8"/>
  <c r="B76" i="8"/>
  <c r="A77" i="8"/>
  <c r="I77" i="8"/>
  <c r="H78" i="8"/>
  <c r="G79" i="8"/>
  <c r="F80" i="8"/>
  <c r="E81" i="8"/>
  <c r="D82" i="8"/>
  <c r="C83" i="8"/>
  <c r="B84" i="8"/>
  <c r="A85" i="8"/>
  <c r="I85" i="8"/>
  <c r="H86" i="8"/>
  <c r="G87" i="8"/>
  <c r="F88" i="8"/>
  <c r="E89" i="8"/>
  <c r="D90" i="8"/>
  <c r="C91" i="8"/>
  <c r="B92" i="8"/>
  <c r="A93" i="8"/>
  <c r="I93" i="8"/>
  <c r="H94" i="8"/>
  <c r="G95" i="8"/>
  <c r="F96" i="8"/>
  <c r="E97" i="8"/>
  <c r="D98" i="8"/>
  <c r="C99" i="8"/>
  <c r="B100" i="8"/>
  <c r="E5" i="8"/>
  <c r="I9" i="8"/>
  <c r="E13" i="8"/>
  <c r="A17" i="8"/>
  <c r="F20" i="8"/>
  <c r="B24" i="8"/>
  <c r="G27" i="8"/>
  <c r="C31" i="8"/>
  <c r="H34" i="8"/>
  <c r="D38" i="8"/>
  <c r="I41" i="8"/>
  <c r="E45" i="8"/>
  <c r="A49" i="8"/>
  <c r="F52" i="8"/>
  <c r="B56" i="8"/>
  <c r="E59" i="8"/>
  <c r="D60" i="8"/>
  <c r="C61" i="8"/>
  <c r="B62" i="8"/>
  <c r="A63" i="8"/>
  <c r="I63" i="8"/>
  <c r="H64" i="8"/>
  <c r="G65" i="8"/>
  <c r="F66" i="8"/>
  <c r="E67" i="8"/>
  <c r="D68" i="8"/>
  <c r="C69" i="8"/>
  <c r="B70" i="8"/>
  <c r="A71" i="8"/>
  <c r="I71" i="8"/>
  <c r="H72" i="8"/>
  <c r="G73" i="8"/>
  <c r="F74" i="8"/>
  <c r="E75" i="8"/>
  <c r="D76" i="8"/>
  <c r="C77" i="8"/>
  <c r="B78" i="8"/>
  <c r="A79" i="8"/>
  <c r="I79" i="8"/>
  <c r="H80" i="8"/>
  <c r="G81" i="8"/>
  <c r="F82" i="8"/>
  <c r="E83" i="8"/>
  <c r="D84" i="8"/>
  <c r="C85" i="8"/>
  <c r="B86" i="8"/>
  <c r="A87" i="8"/>
  <c r="I87" i="8"/>
  <c r="H88" i="8"/>
  <c r="G89" i="8"/>
  <c r="F90" i="8"/>
  <c r="E91" i="8"/>
  <c r="D92" i="8"/>
  <c r="C93" i="8"/>
  <c r="B94" i="8"/>
  <c r="A95" i="8"/>
  <c r="I95" i="8"/>
  <c r="H96" i="8"/>
  <c r="F98" i="8"/>
  <c r="D100" i="8"/>
  <c r="C7" i="8"/>
  <c r="H10" i="8"/>
  <c r="D14" i="8"/>
  <c r="I17" i="8"/>
  <c r="E21" i="8"/>
  <c r="A25" i="8"/>
  <c r="F28" i="8"/>
  <c r="B32" i="8"/>
  <c r="G35" i="8"/>
  <c r="C39" i="8"/>
  <c r="H42" i="8"/>
  <c r="D46" i="8"/>
  <c r="I49" i="8"/>
  <c r="E53" i="8"/>
  <c r="A57" i="8"/>
  <c r="G59" i="8"/>
  <c r="F60" i="8"/>
  <c r="E61" i="8"/>
  <c r="D62" i="8"/>
  <c r="C63" i="8"/>
  <c r="B64" i="8"/>
  <c r="A65" i="8"/>
  <c r="I65" i="8"/>
  <c r="H66" i="8"/>
  <c r="G67" i="8"/>
  <c r="F68" i="8"/>
  <c r="E69" i="8"/>
  <c r="D70" i="8"/>
  <c r="C71" i="8"/>
  <c r="B72" i="8"/>
  <c r="A73" i="8"/>
  <c r="I73" i="8"/>
  <c r="H74" i="8"/>
  <c r="G75" i="8"/>
  <c r="F76" i="8"/>
  <c r="E77" i="8"/>
  <c r="D78" i="8"/>
  <c r="C79" i="8"/>
  <c r="B80" i="8"/>
  <c r="A81" i="8"/>
  <c r="I81" i="8"/>
  <c r="H82" i="8"/>
  <c r="G83" i="8"/>
  <c r="F84" i="8"/>
  <c r="E85" i="8"/>
  <c r="D86" i="8"/>
  <c r="C87" i="8"/>
  <c r="B88" i="8"/>
  <c r="A89" i="8"/>
  <c r="I89" i="8"/>
  <c r="H90" i="8"/>
  <c r="G91" i="8"/>
  <c r="F92" i="8"/>
  <c r="E93" i="8"/>
  <c r="D94" i="8"/>
  <c r="C95" i="8"/>
  <c r="B96" i="8"/>
  <c r="A97" i="8"/>
  <c r="I97" i="8"/>
  <c r="H98" i="8"/>
  <c r="G99" i="8"/>
  <c r="F100" i="8"/>
  <c r="B8" i="8"/>
  <c r="G11" i="8"/>
  <c r="C15" i="8"/>
  <c r="H18" i="8"/>
  <c r="D22" i="8"/>
  <c r="I25" i="8"/>
  <c r="E29" i="8"/>
  <c r="A33" i="8"/>
  <c r="F36" i="8"/>
  <c r="B40" i="8"/>
  <c r="G43" i="8"/>
  <c r="C47" i="8"/>
  <c r="H50" i="8"/>
  <c r="D54" i="8"/>
  <c r="I57" i="8"/>
  <c r="I59" i="8"/>
  <c r="H60" i="8"/>
  <c r="G61" i="8"/>
  <c r="F62" i="8"/>
  <c r="E63" i="8"/>
  <c r="D64" i="8"/>
  <c r="C65" i="8"/>
  <c r="B66" i="8"/>
  <c r="A67" i="8"/>
  <c r="I67" i="8"/>
  <c r="H68" i="8"/>
  <c r="G69" i="8"/>
  <c r="F70" i="8"/>
  <c r="E71" i="8"/>
  <c r="D72" i="8"/>
  <c r="C73" i="8"/>
  <c r="B74" i="8"/>
  <c r="A75" i="8"/>
  <c r="I75" i="8"/>
  <c r="H76" i="8"/>
  <c r="G77" i="8"/>
  <c r="F78" i="8"/>
  <c r="E79" i="8"/>
  <c r="D80" i="8"/>
  <c r="C81" i="8"/>
  <c r="B82" i="8"/>
  <c r="A83" i="8"/>
  <c r="I83" i="8"/>
  <c r="H84" i="8"/>
  <c r="G85" i="8"/>
  <c r="F86" i="8"/>
  <c r="E87" i="8"/>
  <c r="D88" i="8"/>
  <c r="C89" i="8"/>
  <c r="B90" i="8"/>
  <c r="A91" i="8"/>
  <c r="I91" i="8"/>
  <c r="H92" i="8"/>
  <c r="G93" i="8"/>
  <c r="F94" i="8"/>
  <c r="E95" i="8"/>
  <c r="D96" i="8"/>
  <c r="C97" i="8"/>
  <c r="B98" i="8"/>
  <c r="A99" i="8"/>
  <c r="I99" i="8"/>
  <c r="H100" i="8"/>
  <c r="G97" i="8"/>
  <c r="E99" i="8"/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B1" i="10" l="1"/>
  <c r="C1" i="10"/>
  <c r="D1" i="10"/>
  <c r="E1" i="10"/>
  <c r="F1" i="10"/>
  <c r="G1" i="10"/>
  <c r="D18" i="10"/>
  <c r="E21" i="10"/>
  <c r="F24" i="10"/>
  <c r="G27" i="10"/>
  <c r="C31" i="10"/>
  <c r="D34" i="10"/>
  <c r="E37" i="10"/>
  <c r="F40" i="10"/>
  <c r="G43" i="10"/>
  <c r="C47" i="10"/>
  <c r="D50" i="10"/>
  <c r="E53" i="10"/>
  <c r="F56" i="10"/>
  <c r="G59" i="10"/>
  <c r="C63" i="10"/>
  <c r="D66" i="10"/>
  <c r="E69" i="10"/>
  <c r="F72" i="10"/>
  <c r="G75" i="10"/>
  <c r="C79" i="10"/>
  <c r="D82" i="10"/>
  <c r="E85" i="10"/>
  <c r="F88" i="10"/>
  <c r="G91" i="10"/>
  <c r="C95" i="10"/>
  <c r="D98" i="10"/>
  <c r="C20" i="10"/>
  <c r="D23" i="10"/>
  <c r="E26" i="10"/>
  <c r="F29" i="10"/>
  <c r="G32" i="10"/>
  <c r="C36" i="10"/>
  <c r="D39" i="10"/>
  <c r="E42" i="10"/>
  <c r="F45" i="10"/>
  <c r="G48" i="10"/>
  <c r="C52" i="10"/>
  <c r="D55" i="10"/>
  <c r="E58" i="10"/>
  <c r="F61" i="10"/>
  <c r="G64" i="10"/>
  <c r="C68" i="10"/>
  <c r="D71" i="10"/>
  <c r="E74" i="10"/>
  <c r="F77" i="10"/>
  <c r="G80" i="10"/>
  <c r="C84" i="10"/>
  <c r="D87" i="10"/>
  <c r="E90" i="10"/>
  <c r="F93" i="10"/>
  <c r="G96" i="10"/>
  <c r="C100" i="10"/>
  <c r="G5" i="10"/>
  <c r="E19" i="10"/>
  <c r="G25" i="10"/>
  <c r="D32" i="10"/>
  <c r="F38" i="10"/>
  <c r="C45" i="10"/>
  <c r="E51" i="10"/>
  <c r="G57" i="10"/>
  <c r="D64" i="10"/>
  <c r="F70" i="10"/>
  <c r="C77" i="10"/>
  <c r="C85" i="10"/>
  <c r="E99" i="10"/>
  <c r="G21" i="10"/>
  <c r="D28" i="10"/>
  <c r="F34" i="10"/>
  <c r="C41" i="10"/>
  <c r="E47" i="10"/>
  <c r="G53" i="10"/>
  <c r="D60" i="10"/>
  <c r="F66" i="10"/>
  <c r="C73" i="10"/>
  <c r="E79" i="10"/>
  <c r="G85" i="10"/>
  <c r="D92" i="10"/>
  <c r="F98" i="10"/>
  <c r="G18" i="10"/>
  <c r="D25" i="10"/>
  <c r="F31" i="10"/>
  <c r="C38" i="10"/>
  <c r="E44" i="10"/>
  <c r="G50" i="10"/>
  <c r="D57" i="10"/>
  <c r="F63" i="10"/>
  <c r="C70" i="10"/>
  <c r="E76" i="10"/>
  <c r="G82" i="10"/>
  <c r="D89" i="10"/>
  <c r="F95" i="10"/>
  <c r="E83" i="10"/>
  <c r="F94" i="10"/>
  <c r="G22" i="10"/>
  <c r="E48" i="10"/>
  <c r="C74" i="10"/>
  <c r="F99" i="10"/>
  <c r="D37" i="10"/>
  <c r="G62" i="10"/>
  <c r="E88" i="10"/>
  <c r="E32" i="10"/>
  <c r="C58" i="10"/>
  <c r="F83" i="10"/>
  <c r="D21" i="10"/>
  <c r="G46" i="10"/>
  <c r="E72" i="10"/>
  <c r="C98" i="10"/>
  <c r="G3" i="10"/>
  <c r="G19" i="10"/>
  <c r="C23" i="10"/>
  <c r="D26" i="10"/>
  <c r="E29" i="10"/>
  <c r="F32" i="10"/>
  <c r="G35" i="10"/>
  <c r="C39" i="10"/>
  <c r="D42" i="10"/>
  <c r="E45" i="10"/>
  <c r="F48" i="10"/>
  <c r="G51" i="10"/>
  <c r="C55" i="10"/>
  <c r="D58" i="10"/>
  <c r="E61" i="10"/>
  <c r="F64" i="10"/>
  <c r="G67" i="10"/>
  <c r="C71" i="10"/>
  <c r="D74" i="10"/>
  <c r="E77" i="10"/>
  <c r="F80" i="10"/>
  <c r="G83" i="10"/>
  <c r="C87" i="10"/>
  <c r="D90" i="10"/>
  <c r="E93" i="10"/>
  <c r="F96" i="10"/>
  <c r="G99" i="10"/>
  <c r="E18" i="10"/>
  <c r="F21" i="10"/>
  <c r="G24" i="10"/>
  <c r="C28" i="10"/>
  <c r="D31" i="10"/>
  <c r="E34" i="10"/>
  <c r="F37" i="10"/>
  <c r="G40" i="10"/>
  <c r="C44" i="10"/>
  <c r="D47" i="10"/>
  <c r="E50" i="10"/>
  <c r="F53" i="10"/>
  <c r="G56" i="10"/>
  <c r="C60" i="10"/>
  <c r="D63" i="10"/>
  <c r="E66" i="10"/>
  <c r="F69" i="10"/>
  <c r="G72" i="10"/>
  <c r="C76" i="10"/>
  <c r="D79" i="10"/>
  <c r="E82" i="10"/>
  <c r="F85" i="10"/>
  <c r="G88" i="10"/>
  <c r="C92" i="10"/>
  <c r="D95" i="10"/>
  <c r="E98" i="10"/>
  <c r="F22" i="10"/>
  <c r="C29" i="10"/>
  <c r="E35" i="10"/>
  <c r="G41" i="10"/>
  <c r="D48" i="10"/>
  <c r="F54" i="10"/>
  <c r="C61" i="10"/>
  <c r="E67" i="10"/>
  <c r="G73" i="10"/>
  <c r="D80" i="10"/>
  <c r="G89" i="10"/>
  <c r="F18" i="10"/>
  <c r="C25" i="10"/>
  <c r="E31" i="10"/>
  <c r="G37" i="10"/>
  <c r="D44" i="10"/>
  <c r="F50" i="10"/>
  <c r="C57" i="10"/>
  <c r="E63" i="10"/>
  <c r="G69" i="10"/>
  <c r="D76" i="10"/>
  <c r="F82" i="10"/>
  <c r="C89" i="10"/>
  <c r="E95" i="10"/>
  <c r="C22" i="10"/>
  <c r="E28" i="10"/>
  <c r="G34" i="10"/>
  <c r="D41" i="10"/>
  <c r="F47" i="10"/>
  <c r="C54" i="10"/>
  <c r="E60" i="10"/>
  <c r="G66" i="10"/>
  <c r="D73" i="10"/>
  <c r="F79" i="10"/>
  <c r="C86" i="10"/>
  <c r="E92" i="10"/>
  <c r="G98" i="10"/>
  <c r="E91" i="10"/>
  <c r="F35" i="10"/>
  <c r="D61" i="10"/>
  <c r="G86" i="10"/>
  <c r="E24" i="10"/>
  <c r="C50" i="10"/>
  <c r="F75" i="10"/>
  <c r="F19" i="10"/>
  <c r="D45" i="10"/>
  <c r="G70" i="10"/>
  <c r="E96" i="10"/>
  <c r="C34" i="10"/>
  <c r="F59" i="10"/>
  <c r="D85" i="10"/>
  <c r="D2" i="10"/>
  <c r="E17" i="10"/>
  <c r="G23" i="10"/>
  <c r="D30" i="10"/>
  <c r="F36" i="10"/>
  <c r="C43" i="10"/>
  <c r="E49" i="10"/>
  <c r="G55" i="10"/>
  <c r="D62" i="10"/>
  <c r="F68" i="10"/>
  <c r="C75" i="10"/>
  <c r="E81" i="10"/>
  <c r="G87" i="10"/>
  <c r="D94" i="10"/>
  <c r="F100" i="10"/>
  <c r="D19" i="10"/>
  <c r="F25" i="10"/>
  <c r="C32" i="10"/>
  <c r="E38" i="10"/>
  <c r="G44" i="10"/>
  <c r="D51" i="10"/>
  <c r="F57" i="10"/>
  <c r="C64" i="10"/>
  <c r="E70" i="10"/>
  <c r="G76" i="10"/>
  <c r="D83" i="10"/>
  <c r="F89" i="10"/>
  <c r="C96" i="10"/>
  <c r="G17" i="10"/>
  <c r="F30" i="10"/>
  <c r="E43" i="10"/>
  <c r="D56" i="10"/>
  <c r="C69" i="10"/>
  <c r="G81" i="10"/>
  <c r="D20" i="10"/>
  <c r="C33" i="10"/>
  <c r="G45" i="10"/>
  <c r="F58" i="10"/>
  <c r="E71" i="10"/>
  <c r="D84" i="10"/>
  <c r="C97" i="10"/>
  <c r="D17" i="10"/>
  <c r="C30" i="10"/>
  <c r="G42" i="10"/>
  <c r="F55" i="10"/>
  <c r="E68" i="10"/>
  <c r="D81" i="10"/>
  <c r="C94" i="10"/>
  <c r="C93" i="10"/>
  <c r="C42" i="10"/>
  <c r="D93" i="10"/>
  <c r="E56" i="10"/>
  <c r="C26" i="10"/>
  <c r="D77" i="10"/>
  <c r="E40" i="10"/>
  <c r="F91" i="10"/>
  <c r="C10" i="10"/>
  <c r="F44" i="10"/>
  <c r="E57" i="10"/>
  <c r="D70" i="10"/>
  <c r="C83" i="10"/>
  <c r="G95" i="10"/>
  <c r="D27" i="10"/>
  <c r="F33" i="10"/>
  <c r="E46" i="10"/>
  <c r="D59" i="10"/>
  <c r="C72" i="10"/>
  <c r="G84" i="10"/>
  <c r="F97" i="10"/>
  <c r="G33" i="10"/>
  <c r="E59" i="10"/>
  <c r="D72" i="10"/>
  <c r="D36" i="10"/>
  <c r="F74" i="10"/>
  <c r="D100" i="10"/>
  <c r="D33" i="10"/>
  <c r="G58" i="10"/>
  <c r="E84" i="10"/>
  <c r="G97" i="10"/>
  <c r="G54" i="10"/>
  <c r="D69" i="10"/>
  <c r="C90" i="10"/>
  <c r="G2" i="10"/>
  <c r="F20" i="10"/>
  <c r="C27" i="10"/>
  <c r="E33" i="10"/>
  <c r="G39" i="10"/>
  <c r="D46" i="10"/>
  <c r="F52" i="10"/>
  <c r="C59" i="10"/>
  <c r="E65" i="10"/>
  <c r="G71" i="10"/>
  <c r="D78" i="10"/>
  <c r="F84" i="10"/>
  <c r="C91" i="10"/>
  <c r="E97" i="10"/>
  <c r="E22" i="10"/>
  <c r="G28" i="10"/>
  <c r="D35" i="10"/>
  <c r="F41" i="10"/>
  <c r="C48" i="10"/>
  <c r="E54" i="10"/>
  <c r="G60" i="10"/>
  <c r="D67" i="10"/>
  <c r="F73" i="10"/>
  <c r="C80" i="10"/>
  <c r="E86" i="10"/>
  <c r="G92" i="10"/>
  <c r="D99" i="10"/>
  <c r="D24" i="10"/>
  <c r="C37" i="10"/>
  <c r="G49" i="10"/>
  <c r="F62" i="10"/>
  <c r="E75" i="10"/>
  <c r="D96" i="10"/>
  <c r="F26" i="10"/>
  <c r="E39" i="10"/>
  <c r="D52" i="10"/>
  <c r="C65" i="10"/>
  <c r="G77" i="10"/>
  <c r="F90" i="10"/>
  <c r="F23" i="10"/>
  <c r="E36" i="10"/>
  <c r="D49" i="10"/>
  <c r="C62" i="10"/>
  <c r="G74" i="10"/>
  <c r="F87" i="10"/>
  <c r="E100" i="10"/>
  <c r="F67" i="10"/>
  <c r="G30" i="10"/>
  <c r="C82" i="10"/>
  <c r="F51" i="10"/>
  <c r="C66" i="10"/>
  <c r="C5" i="10"/>
  <c r="D22" i="10"/>
  <c r="F28" i="10"/>
  <c r="C35" i="10"/>
  <c r="E41" i="10"/>
  <c r="G47" i="10"/>
  <c r="D54" i="10"/>
  <c r="F60" i="10"/>
  <c r="C67" i="10"/>
  <c r="E73" i="10"/>
  <c r="G79" i="10"/>
  <c r="D86" i="10"/>
  <c r="F92" i="10"/>
  <c r="C99" i="10"/>
  <c r="F17" i="10"/>
  <c r="C24" i="10"/>
  <c r="E30" i="10"/>
  <c r="G36" i="10"/>
  <c r="D43" i="10"/>
  <c r="F49" i="10"/>
  <c r="C56" i="10"/>
  <c r="E62" i="10"/>
  <c r="G68" i="10"/>
  <c r="D75" i="10"/>
  <c r="F81" i="10"/>
  <c r="C88" i="10"/>
  <c r="E94" i="10"/>
  <c r="G100" i="10"/>
  <c r="E27" i="10"/>
  <c r="D40" i="10"/>
  <c r="C53" i="10"/>
  <c r="G65" i="10"/>
  <c r="F78" i="10"/>
  <c r="G6" i="10"/>
  <c r="C17" i="10"/>
  <c r="G29" i="10"/>
  <c r="F42" i="10"/>
  <c r="E55" i="10"/>
  <c r="D68" i="10"/>
  <c r="C81" i="10"/>
  <c r="G93" i="10"/>
  <c r="G26" i="10"/>
  <c r="F39" i="10"/>
  <c r="E52" i="10"/>
  <c r="D65" i="10"/>
  <c r="C78" i="10"/>
  <c r="G90" i="10"/>
  <c r="D88" i="10"/>
  <c r="D29" i="10"/>
  <c r="E80" i="10"/>
  <c r="F43" i="10"/>
  <c r="G94" i="10"/>
  <c r="E64" i="10"/>
  <c r="F27" i="10"/>
  <c r="G78" i="10"/>
  <c r="C19" i="10"/>
  <c r="E25" i="10"/>
  <c r="G31" i="10"/>
  <c r="D38" i="10"/>
  <c r="C51" i="10"/>
  <c r="G63" i="10"/>
  <c r="F76" i="10"/>
  <c r="E89" i="10"/>
  <c r="G4" i="10"/>
  <c r="G20" i="10"/>
  <c r="C40" i="10"/>
  <c r="G52" i="10"/>
  <c r="F65" i="10"/>
  <c r="E78" i="10"/>
  <c r="D91" i="10"/>
  <c r="C21" i="10"/>
  <c r="F46" i="10"/>
  <c r="F86" i="10"/>
  <c r="E23" i="10"/>
  <c r="C49" i="10"/>
  <c r="G61" i="10"/>
  <c r="E87" i="10"/>
  <c r="E20" i="10"/>
  <c r="C46" i="10"/>
  <c r="F71" i="10"/>
  <c r="D97" i="10"/>
  <c r="C18" i="10"/>
  <c r="G38" i="10"/>
  <c r="D53" i="10"/>
  <c r="D7" i="10"/>
  <c r="C16" i="10"/>
  <c r="C11" i="10"/>
  <c r="C15" i="10"/>
  <c r="C6" i="10"/>
  <c r="C14" i="10"/>
  <c r="C9" i="10"/>
  <c r="C13" i="10"/>
  <c r="C8" i="10"/>
  <c r="C4" i="10"/>
  <c r="C12" i="10"/>
  <c r="C7" i="10"/>
  <c r="C3" i="10"/>
  <c r="F6" i="10"/>
  <c r="F5" i="10"/>
  <c r="F4" i="10"/>
  <c r="F3" i="10"/>
  <c r="F2" i="10"/>
  <c r="F11" i="10"/>
  <c r="F10" i="10"/>
  <c r="F9" i="10"/>
  <c r="F8" i="10"/>
  <c r="F7" i="10"/>
  <c r="F16" i="10"/>
  <c r="F15" i="10"/>
  <c r="F14" i="10"/>
  <c r="F13" i="10"/>
  <c r="F12" i="10"/>
  <c r="G16" i="10"/>
  <c r="G15" i="10"/>
  <c r="G14" i="10"/>
  <c r="G13" i="10"/>
  <c r="G12" i="10"/>
  <c r="G11" i="10"/>
  <c r="G10" i="10"/>
  <c r="G9" i="10"/>
  <c r="G8" i="10"/>
  <c r="G7" i="10"/>
  <c r="D12" i="10"/>
  <c r="D16" i="10"/>
  <c r="D15" i="10"/>
  <c r="D14" i="10"/>
  <c r="D13" i="10"/>
  <c r="D11" i="10"/>
  <c r="D10" i="10"/>
  <c r="D9" i="10"/>
  <c r="D8" i="10"/>
  <c r="D6" i="10"/>
  <c r="D5" i="10"/>
  <c r="D4" i="10"/>
  <c r="D3" i="10"/>
  <c r="E16" i="10"/>
  <c r="E15" i="10"/>
  <c r="E14" i="10"/>
  <c r="E13" i="10"/>
  <c r="E12" i="10"/>
  <c r="E11" i="10"/>
  <c r="E10" i="10"/>
  <c r="E9" i="10"/>
  <c r="E8" i="10"/>
  <c r="E7" i="10"/>
  <c r="E6" i="10"/>
  <c r="E5" i="10"/>
  <c r="E4" i="10"/>
  <c r="E3" i="10"/>
  <c r="E2" i="10"/>
  <c r="J69" i="9"/>
  <c r="J29" i="9"/>
  <c r="J99" i="9"/>
  <c r="J23" i="9"/>
  <c r="J22" i="9"/>
  <c r="J61" i="9"/>
  <c r="J95" i="9"/>
  <c r="J90" i="9"/>
  <c r="J19" i="9"/>
  <c r="J43" i="9"/>
  <c r="J52" i="9"/>
  <c r="J31" i="9"/>
  <c r="J72" i="9"/>
  <c r="J37" i="9"/>
  <c r="J44" i="9"/>
  <c r="J89" i="9"/>
  <c r="J70" i="9"/>
  <c r="J67" i="9"/>
  <c r="J94" i="9"/>
  <c r="J27" i="9"/>
  <c r="J65" i="9"/>
  <c r="J25" i="9"/>
  <c r="J62" i="9"/>
  <c r="J82" i="9"/>
  <c r="J83" i="9"/>
  <c r="J34" i="9"/>
  <c r="J77" i="9"/>
  <c r="J46" i="9"/>
  <c r="J64" i="9"/>
  <c r="J74" i="9"/>
  <c r="J55" i="9"/>
  <c r="J39" i="9"/>
  <c r="J75" i="9"/>
  <c r="J92" i="9"/>
  <c r="J97" i="9"/>
  <c r="J98" i="9"/>
  <c r="J76" i="9"/>
  <c r="J30" i="9"/>
  <c r="J28" i="9"/>
  <c r="J42" i="9"/>
  <c r="J40" i="9"/>
  <c r="J85" i="9"/>
  <c r="J78" i="9"/>
  <c r="J93" i="9"/>
  <c r="J91" i="9"/>
  <c r="J96" i="9"/>
  <c r="J50" i="9"/>
  <c r="J33" i="9"/>
  <c r="J53" i="9"/>
  <c r="J41" i="9"/>
  <c r="J80" i="9"/>
  <c r="J56" i="9"/>
  <c r="J49" i="9"/>
  <c r="J87" i="9"/>
  <c r="J86" i="9"/>
  <c r="G2" i="9"/>
  <c r="J54" i="9"/>
  <c r="J47" i="9"/>
  <c r="J17" i="9"/>
  <c r="J15" i="9"/>
  <c r="J59" i="9"/>
  <c r="J63" i="9"/>
  <c r="J32" i="9"/>
  <c r="J51" i="9"/>
  <c r="J38" i="9"/>
  <c r="J21" i="9"/>
  <c r="J24" i="9"/>
  <c r="J18" i="9"/>
  <c r="J60" i="9"/>
  <c r="J68" i="9"/>
  <c r="J73" i="9"/>
  <c r="J88" i="9"/>
  <c r="J84" i="9"/>
  <c r="J48" i="9"/>
  <c r="J20" i="9"/>
  <c r="J45" i="9"/>
  <c r="J35" i="9"/>
  <c r="J81" i="9"/>
  <c r="J57" i="9"/>
  <c r="J58" i="9"/>
  <c r="J26" i="9"/>
  <c r="J36" i="9"/>
  <c r="J66" i="9"/>
  <c r="J71" i="9"/>
  <c r="J16" i="9"/>
  <c r="J79" i="9"/>
  <c r="B30" i="10" l="1"/>
  <c r="B33" i="10"/>
  <c r="B55" i="10"/>
  <c r="B74" i="10"/>
  <c r="B80" i="10"/>
  <c r="B85" i="10"/>
  <c r="B11" i="10"/>
  <c r="B78" i="10"/>
  <c r="B72" i="10"/>
  <c r="B54" i="10"/>
  <c r="B63" i="10"/>
  <c r="B20" i="10"/>
  <c r="B84" i="10"/>
  <c r="B49" i="10"/>
  <c r="B18" i="10"/>
  <c r="B35" i="10"/>
  <c r="B5" i="10"/>
  <c r="B7" i="10"/>
  <c r="B71" i="10"/>
  <c r="B28" i="10"/>
  <c r="B92" i="10"/>
  <c r="B57" i="10"/>
  <c r="B26" i="10"/>
  <c r="B90" i="10"/>
  <c r="B75" i="10"/>
  <c r="B32" i="10"/>
  <c r="B13" i="10"/>
  <c r="B93" i="10"/>
  <c r="B66" i="10"/>
  <c r="B56" i="10"/>
  <c r="B38" i="10"/>
  <c r="B50" i="10"/>
  <c r="B22" i="10"/>
  <c r="B96" i="10"/>
  <c r="B25" i="10"/>
  <c r="B58" i="10"/>
  <c r="B94" i="10"/>
  <c r="B45" i="10"/>
  <c r="B51" i="10"/>
  <c r="B24" i="10"/>
  <c r="B47" i="10"/>
  <c r="B68" i="10"/>
  <c r="B82" i="10"/>
  <c r="B86" i="10"/>
  <c r="B12" i="10"/>
  <c r="B41" i="10"/>
  <c r="B59" i="10"/>
  <c r="B61" i="10"/>
  <c r="B8" i="10"/>
  <c r="B100" i="10"/>
  <c r="B19" i="10"/>
  <c r="B21" i="10"/>
  <c r="B15" i="10"/>
  <c r="B79" i="10"/>
  <c r="B36" i="10"/>
  <c r="B98" i="10"/>
  <c r="B65" i="10"/>
  <c r="B34" i="10"/>
  <c r="B67" i="10"/>
  <c r="B69" i="10"/>
  <c r="B23" i="10"/>
  <c r="B87" i="10"/>
  <c r="B44" i="10"/>
  <c r="B9" i="10"/>
  <c r="B73" i="10"/>
  <c r="B42" i="10"/>
  <c r="B27" i="10"/>
  <c r="B91" i="10"/>
  <c r="B48" i="10"/>
  <c r="B29" i="10"/>
  <c r="B14" i="10"/>
  <c r="B3" i="10"/>
  <c r="B88" i="10"/>
  <c r="B70" i="10"/>
  <c r="B77" i="10"/>
  <c r="B83" i="10"/>
  <c r="B53" i="10"/>
  <c r="B31" i="10"/>
  <c r="B95" i="10"/>
  <c r="B52" i="10"/>
  <c r="B17" i="10"/>
  <c r="B81" i="10"/>
  <c r="B99" i="10"/>
  <c r="B39" i="10"/>
  <c r="B60" i="10"/>
  <c r="B89" i="10"/>
  <c r="B43" i="10"/>
  <c r="B64" i="10"/>
  <c r="B46" i="10"/>
  <c r="B37" i="10"/>
  <c r="B6" i="10"/>
  <c r="B4" i="10"/>
  <c r="B97" i="10"/>
  <c r="B40" i="10"/>
  <c r="B76" i="10"/>
  <c r="B10" i="10"/>
  <c r="B16" i="10"/>
  <c r="B62" i="10"/>
  <c r="L3" i="1" l="1"/>
  <c r="M3" i="1"/>
  <c r="O3" i="1" s="1"/>
  <c r="L4" i="1"/>
  <c r="M4" i="1"/>
  <c r="O4" i="1" s="1"/>
  <c r="L5" i="1"/>
  <c r="M5" i="1"/>
  <c r="O5" i="1" s="1"/>
  <c r="L6" i="1"/>
  <c r="M6" i="1"/>
  <c r="O6" i="1" s="1"/>
  <c r="L7" i="1"/>
  <c r="M7" i="1"/>
  <c r="O7" i="1" s="1"/>
  <c r="L8" i="1"/>
  <c r="M8" i="1"/>
  <c r="O8" i="1" s="1"/>
  <c r="L9" i="1"/>
  <c r="M9" i="1"/>
  <c r="O9" i="1" s="1"/>
  <c r="L10" i="1"/>
  <c r="M10" i="1"/>
  <c r="O10" i="1" s="1"/>
  <c r="L11" i="1"/>
  <c r="M11" i="1"/>
  <c r="O11" i="1" s="1"/>
  <c r="L12" i="1"/>
  <c r="M12" i="1"/>
  <c r="O12" i="1" s="1"/>
  <c r="L13" i="1"/>
  <c r="M13" i="1"/>
  <c r="O13" i="1" s="1"/>
  <c r="L14" i="1"/>
  <c r="M14" i="1"/>
  <c r="O14" i="1" s="1"/>
  <c r="L15" i="1"/>
  <c r="M15" i="1"/>
  <c r="O15" i="1" s="1"/>
  <c r="L16" i="1"/>
  <c r="M16" i="1"/>
  <c r="O16" i="1" s="1"/>
  <c r="L17" i="1"/>
  <c r="M17" i="1"/>
  <c r="O17" i="1" s="1"/>
  <c r="L18" i="1"/>
  <c r="M18" i="1"/>
  <c r="O18" i="1" s="1"/>
  <c r="L19" i="1"/>
  <c r="M19" i="1"/>
  <c r="O19" i="1" s="1"/>
  <c r="L20" i="1"/>
  <c r="M20" i="1"/>
  <c r="O20" i="1" s="1"/>
  <c r="L21" i="1"/>
  <c r="M21" i="1"/>
  <c r="O21" i="1" s="1"/>
  <c r="L22" i="1"/>
  <c r="M22" i="1"/>
  <c r="O22" i="1" s="1"/>
  <c r="L23" i="1"/>
  <c r="M23" i="1"/>
  <c r="O23" i="1" s="1"/>
  <c r="L24" i="1"/>
  <c r="M24" i="1"/>
  <c r="O24" i="1" s="1"/>
  <c r="L25" i="1"/>
  <c r="M25" i="1"/>
  <c r="O25" i="1" s="1"/>
  <c r="L26" i="1"/>
  <c r="M26" i="1"/>
  <c r="O26" i="1" s="1"/>
  <c r="L27" i="1"/>
  <c r="M27" i="1"/>
  <c r="O27" i="1" s="1"/>
  <c r="L28" i="1"/>
  <c r="M28" i="1"/>
  <c r="O28" i="1" s="1"/>
  <c r="L29" i="1"/>
  <c r="M29" i="1"/>
  <c r="O29" i="1" s="1"/>
  <c r="L30" i="1"/>
  <c r="M30" i="1"/>
  <c r="O30" i="1" s="1"/>
  <c r="L31" i="1"/>
  <c r="M31" i="1"/>
  <c r="O31" i="1" s="1"/>
  <c r="L32" i="1"/>
  <c r="M32" i="1"/>
  <c r="O32" i="1" s="1"/>
  <c r="L33" i="1"/>
  <c r="M33" i="1"/>
  <c r="O33" i="1" s="1"/>
  <c r="L34" i="1"/>
  <c r="M34" i="1"/>
  <c r="O34" i="1" s="1"/>
  <c r="L35" i="1"/>
  <c r="M35" i="1"/>
  <c r="O35" i="1" s="1"/>
  <c r="L36" i="1"/>
  <c r="M36" i="1"/>
  <c r="O36" i="1" s="1"/>
  <c r="L37" i="1"/>
  <c r="M37" i="1"/>
  <c r="O37" i="1" s="1"/>
  <c r="L38" i="1"/>
  <c r="M38" i="1"/>
  <c r="O38" i="1" s="1"/>
  <c r="L39" i="1"/>
  <c r="M39" i="1"/>
  <c r="O39" i="1" s="1"/>
  <c r="L40" i="1"/>
  <c r="M40" i="1"/>
  <c r="O40" i="1" s="1"/>
  <c r="L41" i="1"/>
  <c r="M41" i="1"/>
  <c r="O41" i="1" s="1"/>
  <c r="L42" i="1"/>
  <c r="M42" i="1"/>
  <c r="O42" i="1" s="1"/>
  <c r="L43" i="1"/>
  <c r="M43" i="1"/>
  <c r="O43" i="1" s="1"/>
  <c r="L44" i="1"/>
  <c r="M44" i="1"/>
  <c r="O44" i="1" s="1"/>
  <c r="L45" i="1"/>
  <c r="M45" i="1"/>
  <c r="O45" i="1" s="1"/>
  <c r="L46" i="1"/>
  <c r="M46" i="1"/>
  <c r="O46" i="1" s="1"/>
  <c r="L47" i="1"/>
  <c r="M47" i="1"/>
  <c r="O47" i="1" s="1"/>
  <c r="L48" i="1"/>
  <c r="M48" i="1"/>
  <c r="O48" i="1" s="1"/>
  <c r="L49" i="1"/>
  <c r="M49" i="1"/>
  <c r="O49" i="1" s="1"/>
  <c r="L50" i="1"/>
  <c r="M50" i="1"/>
  <c r="O50" i="1" s="1"/>
  <c r="L51" i="1"/>
  <c r="M51" i="1"/>
  <c r="O51" i="1" s="1"/>
  <c r="L52" i="1"/>
  <c r="M52" i="1"/>
  <c r="O52" i="1" s="1"/>
  <c r="L53" i="1"/>
  <c r="M53" i="1"/>
  <c r="O53" i="1" s="1"/>
  <c r="L54" i="1"/>
  <c r="M54" i="1"/>
  <c r="O54" i="1" s="1"/>
  <c r="L55" i="1"/>
  <c r="M55" i="1"/>
  <c r="O55" i="1" s="1"/>
  <c r="L56" i="1"/>
  <c r="M56" i="1"/>
  <c r="O56" i="1" s="1"/>
  <c r="L57" i="1"/>
  <c r="M57" i="1"/>
  <c r="O57" i="1" s="1"/>
  <c r="L58" i="1"/>
  <c r="M58" i="1"/>
  <c r="O58" i="1" s="1"/>
  <c r="L59" i="1"/>
  <c r="M59" i="1"/>
  <c r="O59" i="1" s="1"/>
  <c r="L60" i="1"/>
  <c r="M60" i="1"/>
  <c r="O60" i="1" s="1"/>
  <c r="L61" i="1"/>
  <c r="M61" i="1"/>
  <c r="O61" i="1" s="1"/>
  <c r="L62" i="1"/>
  <c r="M62" i="1"/>
  <c r="O62" i="1" s="1"/>
  <c r="L63" i="1"/>
  <c r="M63" i="1"/>
  <c r="O63" i="1" s="1"/>
  <c r="L64" i="1"/>
  <c r="M64" i="1"/>
  <c r="O64" i="1" s="1"/>
  <c r="L65" i="1"/>
  <c r="M65" i="1"/>
  <c r="O65" i="1" s="1"/>
  <c r="L66" i="1"/>
  <c r="M66" i="1"/>
  <c r="O66" i="1" s="1"/>
  <c r="L67" i="1"/>
  <c r="M67" i="1"/>
  <c r="O67" i="1" s="1"/>
  <c r="L68" i="1"/>
  <c r="M68" i="1"/>
  <c r="O68" i="1" s="1"/>
  <c r="L69" i="1"/>
  <c r="M69" i="1"/>
  <c r="O69" i="1" s="1"/>
  <c r="L70" i="1"/>
  <c r="M70" i="1"/>
  <c r="O70" i="1" s="1"/>
  <c r="L71" i="1"/>
  <c r="M71" i="1"/>
  <c r="O71" i="1" s="1"/>
  <c r="L72" i="1"/>
  <c r="M72" i="1"/>
  <c r="O72" i="1" s="1"/>
  <c r="L73" i="1"/>
  <c r="M73" i="1"/>
  <c r="O73" i="1" s="1"/>
  <c r="L74" i="1"/>
  <c r="M74" i="1"/>
  <c r="O74" i="1" s="1"/>
  <c r="L75" i="1"/>
  <c r="M75" i="1"/>
  <c r="O75" i="1" s="1"/>
  <c r="L76" i="1"/>
  <c r="M76" i="1"/>
  <c r="O76" i="1" s="1"/>
  <c r="L77" i="1"/>
  <c r="M77" i="1"/>
  <c r="O77" i="1" s="1"/>
  <c r="L78" i="1"/>
  <c r="M78" i="1"/>
  <c r="O78" i="1" s="1"/>
  <c r="L79" i="1"/>
  <c r="M79" i="1"/>
  <c r="O79" i="1" s="1"/>
  <c r="L80" i="1"/>
  <c r="M80" i="1"/>
  <c r="O80" i="1" s="1"/>
  <c r="L81" i="1"/>
  <c r="M81" i="1"/>
  <c r="O81" i="1" s="1"/>
  <c r="L82" i="1"/>
  <c r="M82" i="1"/>
  <c r="O82" i="1" s="1"/>
  <c r="L83" i="1"/>
  <c r="M83" i="1"/>
  <c r="O83" i="1" s="1"/>
  <c r="L84" i="1"/>
  <c r="M84" i="1"/>
  <c r="O84" i="1" s="1"/>
  <c r="L85" i="1"/>
  <c r="M85" i="1"/>
  <c r="O85" i="1" s="1"/>
  <c r="L86" i="1"/>
  <c r="M86" i="1"/>
  <c r="O86" i="1" s="1"/>
  <c r="L87" i="1"/>
  <c r="M87" i="1"/>
  <c r="O87" i="1" s="1"/>
  <c r="L88" i="1"/>
  <c r="M88" i="1"/>
  <c r="O88" i="1" s="1"/>
  <c r="L89" i="1"/>
  <c r="M89" i="1"/>
  <c r="O89" i="1" s="1"/>
  <c r="L90" i="1"/>
  <c r="M90" i="1"/>
  <c r="O90" i="1" s="1"/>
  <c r="L91" i="1"/>
  <c r="M91" i="1"/>
  <c r="O91" i="1" s="1"/>
  <c r="L92" i="1"/>
  <c r="M92" i="1"/>
  <c r="O92" i="1" s="1"/>
  <c r="L93" i="1"/>
  <c r="M93" i="1"/>
  <c r="O93" i="1" s="1"/>
  <c r="L94" i="1"/>
  <c r="M94" i="1"/>
  <c r="O94" i="1" s="1"/>
  <c r="L95" i="1"/>
  <c r="M95" i="1"/>
  <c r="O95" i="1" s="1"/>
  <c r="L96" i="1"/>
  <c r="M96" i="1"/>
  <c r="O96" i="1" s="1"/>
  <c r="L97" i="1"/>
  <c r="M97" i="1"/>
  <c r="O97" i="1" s="1"/>
  <c r="L98" i="1"/>
  <c r="M98" i="1"/>
  <c r="O98" i="1" s="1"/>
  <c r="L99" i="1"/>
  <c r="M99" i="1"/>
  <c r="O99" i="1" s="1"/>
  <c r="L100" i="1"/>
  <c r="M100" i="1"/>
  <c r="O100" i="1" s="1"/>
  <c r="A7" i="7"/>
  <c r="B44" i="7"/>
  <c r="C49" i="7"/>
  <c r="A55" i="7"/>
  <c r="B60" i="7"/>
  <c r="C65" i="7"/>
  <c r="A71" i="7"/>
  <c r="B76" i="7"/>
  <c r="C81" i="7"/>
  <c r="A87" i="7"/>
  <c r="B92" i="7"/>
  <c r="B7" i="7"/>
  <c r="C56" i="7"/>
  <c r="C72" i="7"/>
  <c r="C88" i="7"/>
  <c r="C3" i="7"/>
  <c r="A9" i="7"/>
  <c r="C43" i="7"/>
  <c r="A49" i="7"/>
  <c r="B54" i="7"/>
  <c r="C59" i="7"/>
  <c r="A65" i="7"/>
  <c r="B70" i="7"/>
  <c r="C75" i="7"/>
  <c r="A81" i="7"/>
  <c r="B86" i="7"/>
  <c r="C91" i="7"/>
  <c r="A97" i="7"/>
  <c r="A99" i="7"/>
  <c r="A42" i="7"/>
  <c r="B59" i="7"/>
  <c r="A74" i="7"/>
  <c r="A90" i="7"/>
  <c r="B5" i="7"/>
  <c r="C10" i="7"/>
  <c r="C46" i="7"/>
  <c r="A52" i="7"/>
  <c r="B57" i="7"/>
  <c r="C62" i="7"/>
  <c r="A68" i="7"/>
  <c r="B73" i="7"/>
  <c r="C78" i="7"/>
  <c r="A84" i="7"/>
  <c r="B89" i="7"/>
  <c r="C94" i="7"/>
  <c r="A100" i="7"/>
  <c r="B55" i="7"/>
  <c r="B71" i="7"/>
  <c r="B87" i="7"/>
  <c r="B15" i="7"/>
  <c r="B19" i="7"/>
  <c r="C16" i="7"/>
  <c r="C15" i="7"/>
  <c r="A29" i="10"/>
  <c r="A61" i="10"/>
  <c r="A25" i="10"/>
  <c r="A57" i="10"/>
  <c r="A20" i="10"/>
  <c r="A50" i="10"/>
  <c r="A80" i="10"/>
  <c r="A100" i="10"/>
  <c r="A85" i="10"/>
  <c r="A39" i="10"/>
  <c r="A71" i="10"/>
  <c r="A32" i="10"/>
  <c r="A64" i="10"/>
  <c r="A98" i="10"/>
  <c r="A35" i="10"/>
  <c r="A46" i="10"/>
  <c r="A96" i="10"/>
  <c r="A54" i="10"/>
  <c r="A43" i="10"/>
  <c r="A27" i="10"/>
  <c r="A52" i="10"/>
  <c r="A16" i="10"/>
  <c r="A70" i="10"/>
  <c r="A75" i="10"/>
  <c r="A82" i="10"/>
  <c r="A3" i="7"/>
  <c r="B8" i="7"/>
  <c r="C45" i="7"/>
  <c r="A51" i="7"/>
  <c r="B56" i="7"/>
  <c r="C61" i="7"/>
  <c r="A67" i="7"/>
  <c r="B72" i="7"/>
  <c r="C77" i="7"/>
  <c r="A83" i="7"/>
  <c r="B88" i="7"/>
  <c r="C93" i="7"/>
  <c r="C8" i="7"/>
  <c r="C44" i="7"/>
  <c r="C60" i="7"/>
  <c r="C76" i="7"/>
  <c r="C92" i="7"/>
  <c r="A5" i="7"/>
  <c r="B10" i="7"/>
  <c r="A45" i="7"/>
  <c r="B50" i="7"/>
  <c r="C55" i="7"/>
  <c r="A61" i="7"/>
  <c r="B66" i="7"/>
  <c r="C71" i="7"/>
  <c r="A77" i="7"/>
  <c r="B82" i="7"/>
  <c r="C87" i="7"/>
  <c r="A93" i="7"/>
  <c r="B98" i="7"/>
  <c r="C4" i="7"/>
  <c r="A46" i="7"/>
  <c r="B63" i="7"/>
  <c r="A78" i="7"/>
  <c r="A94" i="7"/>
  <c r="C6" i="7"/>
  <c r="A12" i="7"/>
  <c r="C42" i="7"/>
  <c r="A48" i="7"/>
  <c r="B53" i="7"/>
  <c r="C58" i="7"/>
  <c r="A64" i="7"/>
  <c r="B69" i="7"/>
  <c r="C74" i="7"/>
  <c r="A80" i="7"/>
  <c r="B85" i="7"/>
  <c r="C90" i="7"/>
  <c r="A96" i="7"/>
  <c r="B96" i="7"/>
  <c r="B43" i="7"/>
  <c r="A58" i="7"/>
  <c r="B75" i="7"/>
  <c r="B91" i="7"/>
  <c r="B16" i="7"/>
  <c r="B14" i="7"/>
  <c r="B13" i="7"/>
  <c r="C14" i="7"/>
  <c r="C19" i="7"/>
  <c r="C18" i="7"/>
  <c r="A37" i="10"/>
  <c r="A69" i="10"/>
  <c r="A33" i="10"/>
  <c r="A65" i="10"/>
  <c r="A26" i="10"/>
  <c r="A58" i="10"/>
  <c r="A93" i="10"/>
  <c r="A6" i="10"/>
  <c r="A17" i="10"/>
  <c r="A47" i="10"/>
  <c r="A79" i="10"/>
  <c r="A40" i="10"/>
  <c r="A91" i="10"/>
  <c r="C2" i="10"/>
  <c r="A67" i="10"/>
  <c r="A62" i="10"/>
  <c r="A5" i="10"/>
  <c r="A76" i="10"/>
  <c r="A83" i="10"/>
  <c r="A59" i="10"/>
  <c r="A68" i="10"/>
  <c r="A8" i="10"/>
  <c r="A89" i="10"/>
  <c r="A28" i="10"/>
  <c r="A94" i="10"/>
  <c r="B4" i="7"/>
  <c r="C9" i="7"/>
  <c r="A47" i="7"/>
  <c r="B52" i="7"/>
  <c r="C57" i="7"/>
  <c r="A63" i="7"/>
  <c r="B68" i="7"/>
  <c r="C73" i="7"/>
  <c r="A79" i="7"/>
  <c r="B84" i="7"/>
  <c r="C89" i="7"/>
  <c r="C97" i="7"/>
  <c r="A10" i="7"/>
  <c r="C48" i="7"/>
  <c r="C64" i="7"/>
  <c r="C80" i="7"/>
  <c r="C96" i="7"/>
  <c r="B6" i="7"/>
  <c r="C11" i="7"/>
  <c r="B46" i="7"/>
  <c r="C51" i="7"/>
  <c r="A57" i="7"/>
  <c r="B62" i="7"/>
  <c r="C67" i="7"/>
  <c r="A73" i="7"/>
  <c r="B78" i="7"/>
  <c r="C83" i="7"/>
  <c r="A89" i="7"/>
  <c r="B94" i="7"/>
  <c r="C99" i="7"/>
  <c r="A50" i="7"/>
  <c r="B67" i="7"/>
  <c r="A82" i="7"/>
  <c r="A98" i="7"/>
  <c r="A8" i="7"/>
  <c r="A44" i="7"/>
  <c r="B49" i="7"/>
  <c r="C54" i="7"/>
  <c r="A60" i="7"/>
  <c r="B65" i="7"/>
  <c r="C70" i="7"/>
  <c r="A76" i="7"/>
  <c r="B81" i="7"/>
  <c r="C86" i="7"/>
  <c r="A92" i="7"/>
  <c r="B97" i="7"/>
  <c r="B100" i="7"/>
  <c r="B47" i="7"/>
  <c r="A62" i="7"/>
  <c r="B79" i="7"/>
  <c r="B95" i="7"/>
  <c r="B18" i="7"/>
  <c r="C12" i="7"/>
  <c r="A45" i="10"/>
  <c r="A77" i="10"/>
  <c r="A41" i="10"/>
  <c r="A73" i="10"/>
  <c r="A34" i="10"/>
  <c r="A66" i="10"/>
  <c r="A74" i="10"/>
  <c r="A14" i="10"/>
  <c r="A23" i="10"/>
  <c r="A55" i="10"/>
  <c r="A87" i="10"/>
  <c r="A48" i="10"/>
  <c r="A99" i="10"/>
  <c r="A13" i="10"/>
  <c r="A4" i="10"/>
  <c r="C5" i="7"/>
  <c r="A11" i="7"/>
  <c r="A43" i="7"/>
  <c r="B48" i="7"/>
  <c r="C53" i="7"/>
  <c r="A59" i="7"/>
  <c r="B64" i="7"/>
  <c r="C69" i="7"/>
  <c r="A75" i="7"/>
  <c r="B80" i="7"/>
  <c r="C85" i="7"/>
  <c r="A91" i="7"/>
  <c r="B3" i="7"/>
  <c r="B11" i="7"/>
  <c r="C52" i="7"/>
  <c r="C68" i="7"/>
  <c r="C84" i="7"/>
  <c r="C100" i="7"/>
  <c r="C7" i="7"/>
  <c r="A13" i="7"/>
  <c r="B42" i="7"/>
  <c r="C47" i="7"/>
  <c r="A53" i="7"/>
  <c r="B58" i="7"/>
  <c r="C63" i="7"/>
  <c r="A69" i="7"/>
  <c r="B74" i="7"/>
  <c r="C79" i="7"/>
  <c r="A85" i="7"/>
  <c r="B90" i="7"/>
  <c r="C95" i="7"/>
  <c r="A95" i="7"/>
  <c r="A54" i="7"/>
  <c r="A70" i="7"/>
  <c r="A86" i="7"/>
  <c r="A4" i="7"/>
  <c r="B9" i="7"/>
  <c r="B45" i="7"/>
  <c r="C50" i="7"/>
  <c r="A56" i="7"/>
  <c r="B61" i="7"/>
  <c r="C66" i="7"/>
  <c r="A72" i="7"/>
  <c r="B77" i="7"/>
  <c r="C82" i="7"/>
  <c r="A88" i="7"/>
  <c r="B93" i="7"/>
  <c r="C98" i="7"/>
  <c r="A6" i="7"/>
  <c r="B51" i="7"/>
  <c r="A66" i="7"/>
  <c r="B83" i="7"/>
  <c r="B99" i="7"/>
  <c r="B12" i="7"/>
  <c r="B17" i="7"/>
  <c r="C13" i="7"/>
  <c r="C17" i="7"/>
  <c r="A19" i="10"/>
  <c r="A53" i="10"/>
  <c r="A3" i="10"/>
  <c r="A49" i="10"/>
  <c r="A81" i="10"/>
  <c r="A42" i="10"/>
  <c r="A72" i="10"/>
  <c r="A92" i="10"/>
  <c r="A10" i="10"/>
  <c r="A31" i="10"/>
  <c r="A63" i="10"/>
  <c r="A24" i="10"/>
  <c r="A56" i="10"/>
  <c r="A90" i="10"/>
  <c r="A9" i="10"/>
  <c r="A30" i="10"/>
  <c r="A97" i="10"/>
  <c r="A22" i="10"/>
  <c r="A21" i="10"/>
  <c r="A12" i="10"/>
  <c r="A36" i="10"/>
  <c r="A78" i="10"/>
  <c r="A38" i="10"/>
  <c r="A7" i="10"/>
  <c r="A95" i="10"/>
  <c r="A86" i="10"/>
  <c r="A18" i="10"/>
  <c r="A60" i="10"/>
  <c r="A11" i="10"/>
  <c r="A84" i="10"/>
  <c r="A15" i="10"/>
  <c r="A51" i="10"/>
  <c r="A44" i="10"/>
  <c r="A88" i="10"/>
  <c r="A17" i="7"/>
  <c r="A16" i="7"/>
  <c r="A14" i="7"/>
  <c r="A18" i="7"/>
  <c r="A19" i="7"/>
  <c r="A15" i="7"/>
  <c r="C40" i="7"/>
  <c r="B41" i="7"/>
  <c r="A40" i="7"/>
  <c r="C41" i="7"/>
  <c r="B40" i="7"/>
  <c r="A41" i="7"/>
  <c r="A36" i="7"/>
  <c r="A28" i="7"/>
  <c r="A23" i="7"/>
  <c r="A37" i="7"/>
  <c r="A29" i="7"/>
  <c r="C22" i="7"/>
  <c r="A24" i="7"/>
  <c r="C24" i="7"/>
  <c r="A34" i="7"/>
  <c r="A30" i="7"/>
  <c r="A33" i="7"/>
  <c r="A39" i="7"/>
  <c r="C23" i="7"/>
  <c r="A32" i="7"/>
  <c r="B24" i="7"/>
  <c r="A35" i="7"/>
  <c r="A26" i="7"/>
  <c r="A38" i="7"/>
  <c r="A31" i="7"/>
  <c r="A25" i="7"/>
  <c r="A22" i="7"/>
  <c r="A27" i="7"/>
  <c r="A21" i="7"/>
  <c r="A20" i="7"/>
  <c r="C20" i="7"/>
  <c r="C21" i="7"/>
  <c r="B23" i="7"/>
  <c r="B22" i="7"/>
  <c r="B21" i="7"/>
  <c r="B20" i="7"/>
  <c r="C39" i="7"/>
  <c r="C30" i="7"/>
  <c r="C35" i="7"/>
  <c r="C31" i="7"/>
  <c r="B38" i="7"/>
  <c r="B36" i="7"/>
  <c r="B29" i="7"/>
  <c r="B33" i="7"/>
  <c r="B30" i="7"/>
  <c r="C36" i="7"/>
  <c r="C33" i="7"/>
  <c r="B37" i="7"/>
  <c r="B34" i="7"/>
  <c r="B31" i="7"/>
  <c r="C38" i="7"/>
  <c r="C37" i="7"/>
  <c r="C34" i="7"/>
  <c r="B39" i="7"/>
  <c r="B32" i="7"/>
  <c r="C32" i="7"/>
  <c r="C29" i="7"/>
  <c r="B35" i="7"/>
  <c r="B25" i="7"/>
  <c r="B28" i="7"/>
  <c r="B26" i="7"/>
  <c r="C28" i="7"/>
  <c r="C25" i="7"/>
  <c r="B27" i="7"/>
  <c r="C26" i="7"/>
  <c r="C27" i="7"/>
  <c r="J14" i="8"/>
  <c r="J51" i="8"/>
  <c r="J15" i="8"/>
  <c r="J28" i="8"/>
  <c r="J21" i="8"/>
  <c r="J42" i="8"/>
  <c r="J53" i="8"/>
  <c r="J22" i="8"/>
  <c r="J77" i="8"/>
  <c r="J63" i="8"/>
  <c r="J17" i="8"/>
  <c r="J76" i="8"/>
  <c r="J100" i="8"/>
  <c r="J20" i="8"/>
  <c r="J34" i="8"/>
  <c r="J46" i="8"/>
  <c r="J18" i="8"/>
  <c r="J23" i="8"/>
  <c r="J72" i="8"/>
  <c r="J31" i="8"/>
  <c r="J25" i="8"/>
  <c r="J55" i="8"/>
  <c r="J69" i="8"/>
  <c r="J56" i="8"/>
  <c r="J95" i="8"/>
  <c r="J74" i="8"/>
  <c r="J32" i="8"/>
  <c r="J39" i="8"/>
  <c r="J36" i="8"/>
  <c r="J29" i="8"/>
  <c r="J50" i="8"/>
  <c r="J61" i="8"/>
  <c r="J40" i="8"/>
  <c r="J98" i="8"/>
  <c r="J52" i="8"/>
  <c r="J19" i="8"/>
  <c r="J33" i="8"/>
  <c r="J57" i="8"/>
  <c r="J38" i="8"/>
  <c r="J43" i="8"/>
  <c r="J64" i="8"/>
  <c r="J44" i="8"/>
  <c r="J37" i="8"/>
  <c r="J30" i="8"/>
  <c r="J49" i="8"/>
  <c r="J41" i="8"/>
  <c r="J27" i="8"/>
  <c r="J84" i="8"/>
  <c r="J60" i="8"/>
  <c r="J86" i="8"/>
  <c r="J81" i="8"/>
  <c r="J16" i="8"/>
  <c r="J68" i="8"/>
  <c r="A2" i="8"/>
  <c r="B2" i="8"/>
  <c r="J62" i="8"/>
  <c r="J93" i="8"/>
  <c r="J10" i="8"/>
  <c r="J90" i="8"/>
  <c r="F2" i="8"/>
  <c r="J75" i="8"/>
  <c r="J59" i="8"/>
  <c r="J70" i="8"/>
  <c r="I2" i="8"/>
  <c r="J85" i="8"/>
  <c r="J89" i="8"/>
  <c r="E2" i="8"/>
  <c r="J9" i="8"/>
  <c r="J35" i="8"/>
  <c r="J96" i="8"/>
  <c r="J94" i="8"/>
  <c r="D2" i="8"/>
  <c r="J13" i="8"/>
  <c r="J82" i="8"/>
  <c r="J65" i="8"/>
  <c r="J66" i="8"/>
  <c r="G2" i="8"/>
  <c r="J73" i="8"/>
  <c r="J47" i="8"/>
  <c r="J48" i="8"/>
  <c r="J24" i="8"/>
  <c r="J78" i="8"/>
  <c r="J92" i="8"/>
  <c r="J83" i="8"/>
  <c r="J58" i="8"/>
  <c r="J87" i="8"/>
  <c r="J71" i="8"/>
  <c r="J91" i="8"/>
  <c r="J97" i="8"/>
  <c r="J45" i="8"/>
  <c r="J79" i="8"/>
  <c r="J12" i="8"/>
  <c r="J26" i="8"/>
  <c r="J99" i="8"/>
  <c r="C2" i="8"/>
  <c r="J88" i="8"/>
  <c r="J80" i="8"/>
  <c r="J54" i="8"/>
  <c r="J67" i="8"/>
  <c r="H2" i="8"/>
  <c r="J11" i="8"/>
  <c r="I77" i="9"/>
  <c r="I52" i="9"/>
  <c r="I18" i="9"/>
  <c r="I47" i="9"/>
  <c r="I35" i="9"/>
  <c r="I29" i="9"/>
  <c r="I49" i="9"/>
  <c r="I92" i="9"/>
  <c r="I70" i="9"/>
  <c r="I91" i="9"/>
  <c r="I41" i="9"/>
  <c r="I25" i="9"/>
  <c r="I89" i="9"/>
  <c r="I58" i="9"/>
  <c r="I94" i="9"/>
  <c r="I88" i="9"/>
  <c r="I79" i="9"/>
  <c r="I97" i="9"/>
  <c r="I68" i="9"/>
  <c r="I61" i="9"/>
  <c r="I51" i="9"/>
  <c r="I38" i="9"/>
  <c r="I37" i="9"/>
  <c r="I45" i="9"/>
  <c r="I86" i="9"/>
  <c r="I43" i="9"/>
  <c r="I39" i="9"/>
  <c r="I57" i="9"/>
  <c r="I24" i="9"/>
  <c r="I81" i="9"/>
  <c r="C2" i="9"/>
  <c r="I96" i="9"/>
  <c r="I67" i="9"/>
  <c r="I33" i="9"/>
  <c r="I72" i="9"/>
  <c r="I84" i="9"/>
  <c r="I59" i="9"/>
  <c r="I20" i="9"/>
  <c r="B2" i="9"/>
  <c r="I80" i="9"/>
  <c r="I50" i="9"/>
  <c r="I71" i="9"/>
  <c r="I99" i="9"/>
  <c r="I76" i="9"/>
  <c r="I82" i="9"/>
  <c r="I23" i="9"/>
  <c r="I85" i="9"/>
  <c r="I73" i="9"/>
  <c r="I15" i="9"/>
  <c r="I64" i="9"/>
  <c r="I63" i="9"/>
  <c r="I90" i="9"/>
  <c r="I53" i="9"/>
  <c r="I40" i="9"/>
  <c r="I78" i="9"/>
  <c r="I34" i="9"/>
  <c r="I83" i="9"/>
  <c r="I93" i="9"/>
  <c r="I62" i="9"/>
  <c r="I55" i="9"/>
  <c r="I42" i="9"/>
  <c r="I44" i="9"/>
  <c r="I66" i="9"/>
  <c r="I32" i="9"/>
  <c r="I31" i="9"/>
  <c r="I74" i="9"/>
  <c r="I65" i="9"/>
  <c r="I75" i="9"/>
  <c r="I28" i="9"/>
  <c r="I17" i="9"/>
  <c r="I46" i="9"/>
  <c r="I56" i="9"/>
  <c r="I87" i="9"/>
  <c r="I48" i="9"/>
  <c r="I36" i="9"/>
  <c r="I69" i="9"/>
  <c r="I26" i="9"/>
  <c r="D2" i="9"/>
  <c r="F2" i="9"/>
  <c r="A2" i="9"/>
  <c r="I21" i="9"/>
  <c r="I22" i="9"/>
  <c r="I95" i="9"/>
  <c r="E2" i="9"/>
  <c r="I19" i="9"/>
  <c r="I30" i="9"/>
  <c r="I98" i="9"/>
  <c r="I27" i="9"/>
  <c r="I16" i="9"/>
  <c r="I54" i="9"/>
  <c r="I60" i="9"/>
  <c r="M2" i="1" l="1"/>
  <c r="L2" i="1" l="1"/>
  <c r="O2" i="1"/>
  <c r="A1" i="10" l="1"/>
  <c r="B2" i="7"/>
  <c r="A2" i="7"/>
  <c r="C2" i="7"/>
  <c r="A2" i="10"/>
  <c r="B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<sst xmlns="http://schemas.openxmlformats.org/spreadsheetml/2006/main" count="234" uniqueCount="169">
  <si>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</si>
  <si>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</si>
  <si>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</si>
  <si>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</si>
  <si>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</si>
  <si>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</si>
  <si>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</si>
  <si>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</si>
  <si>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</si>
  <si>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</si>
  <si>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</si>
  <si>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</si>
  <si>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</si>
  <si>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</si>
  <si>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</si>
  <si>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</si>
  <si>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</si>
  <si>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</si>
  <si>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</si>
  <si>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</si>
  <si>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</si>
  <si>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</si>
  <si>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</si>
  <si>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</si>
  <si>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</si>
  <si>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</si>
  <si>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</si>
  <si>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</si>
  <si>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</si>
  <si>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</si>
  <si>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</si>
  <si>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</si>
  <si>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</si>
  <si>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</si>
  <si>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</si>
  <si>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</si>
  <si>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</si>
  <si>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</si>
  <si>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</si>
  <si>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</si>
  <si>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</si>
  <si>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</si>
  <si>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</si>
  <si>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</si>
  <si>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</si>
  <si>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</si>
  <si>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</si>
  <si>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</si>
  <si>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</si>
  <si>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</si>
  <si>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</si>
  <si>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</si>
  <si>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</si>
  <si>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</si>
  <si>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</si>
  <si>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</si>
  <si>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</si>
  <si>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</si>
  <si>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</si>
  <si>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</si>
  <si>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</si>
  <si>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</si>
  <si>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</si>
  <si>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</si>
  <si>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</si>
  <si>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</si>
  <si>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</si>
  <si>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</si>
  <si>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</si>
  <si>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</si>
  <si>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</si>
  <si>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</si>
  <si>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</si>
  <si>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</si>
  <si>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</si>
  <si>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</si>
  <si>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</si>
  <si>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</si>
  <si>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</si>
  <si>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</si>
  <si>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</si>
  <si>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</si>
  <si>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</si>
  <si>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</si>
  <si>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</si>
  <si>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</si>
  <si>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</si>
  <si>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</si>
  <si>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</si>
  <si>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</si>
  <si>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</si>
  <si>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</si>
  <si>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</si>
  <si>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</si>
  <si>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</si>
  <si>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</si>
  <si>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笨拙的戰士</t>
  </si>
  <si>
    <t>粗心的戰士</t>
  </si>
  <si>
    <t>精英的戰士</t>
  </si>
  <si>
    <t>天才的戰士</t>
  </si>
  <si>
    <t>狂戰士</t>
  </si>
  <si>
    <t>Chef</t>
  </si>
  <si>
    <t>Doctor</t>
  </si>
  <si>
    <t>Obesity</t>
  </si>
  <si>
    <t>Disability</t>
  </si>
  <si>
    <t>Strong</t>
  </si>
  <si>
    <t>Flu</t>
  </si>
  <si>
    <t>Injured</t>
  </si>
  <si>
    <t>Berserker</t>
  </si>
  <si>
    <t>F:\Project\project_acg\Client\Assets\Resources\DBF\</t>
    <phoneticPr fontId="1" type="noConversion"/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</si>
  <si>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</si>
  <si>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</si>
  <si>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</si>
  <si>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</si>
  <si>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</si>
  <si>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</si>
  <si>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</si>
  <si>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</si>
  <si>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</si>
  <si>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</si>
  <si>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</si>
  <si>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</si>
  <si>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</si>
  <si>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</si>
  <si>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</si>
  <si>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</si>
  <si>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</si>
  <si>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</si>
  <si>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</si>
  <si>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Clumsy\nsoldier</t>
    <phoneticPr fontId="1" type="noConversion"/>
  </si>
  <si>
    <t>Careless\nsoldier</t>
    <phoneticPr fontId="1" type="noConversion"/>
  </si>
  <si>
    <t>Elite\nsoldiers</t>
    <phoneticPr fontId="1" type="noConversion"/>
  </si>
  <si>
    <t>Talented\nfighters</t>
    <phoneticPr fontId="1" type="noConversion"/>
  </si>
  <si>
    <t>關卡編號</t>
    <phoneticPr fontId="1" type="noConversion"/>
  </si>
  <si>
    <t>關卡能量</t>
    <phoneticPr fontId="1" type="noConversion"/>
  </si>
  <si>
    <t>[ffed00]damage[-][546ef2]+1[-]</t>
  </si>
  <si>
    <t>[ffed00]critical[-][e92121]-20%[-]</t>
  </si>
  <si>
    <t>[ffed00]critical[-][e92121]-10%[-]</t>
  </si>
  <si>
    <t>[ffed00]critical[-][546ef2]+10%[-]</t>
  </si>
  <si>
    <t>[ffed00]critical[-][546ef2]+20%[-]</t>
  </si>
  <si>
    <t>[ffed00]sta regain[-][546ef2]+2[-]</t>
  </si>
  <si>
    <t>[ffed00]sta regain[-][e92121]-2[-]</t>
  </si>
  <si>
    <t>增加耐力回復2點</t>
  </si>
  <si>
    <t>[ffed00]sta regain[-][546ef2]+3[-]</t>
  </si>
  <si>
    <t>增加耐力回復3點</t>
  </si>
  <si>
    <t>減少耐力回復2點</t>
  </si>
  <si>
    <t>[ffed00]sta regain[-][e92121]-3[-]</t>
  </si>
  <si>
    <t>減少耐力回復3點</t>
  </si>
  <si>
    <t>減少致命機率20%</t>
  </si>
  <si>
    <t>減少致命機率10%</t>
  </si>
  <si>
    <t>增加致命機率10%</t>
  </si>
  <si>
    <t>增加致命機率20%</t>
  </si>
  <si>
    <t>增加1點傷害</t>
  </si>
  <si>
    <t>[ffed00]sta limit[-][546ef2]+4[-]</t>
  </si>
  <si>
    <t>增加耐力上限4點</t>
  </si>
  <si>
    <t>[ffed00]sta limit[-][546ef2]+8[-]</t>
  </si>
  <si>
    <t>增加耐力上限8點</t>
  </si>
  <si>
    <t>[ffed00]sta limit[-][e92121]-4[-]</t>
  </si>
  <si>
    <t>減少耐力上限4點</t>
  </si>
  <si>
    <t>[ffed00]sta limit[-][e92121]-8[-]</t>
  </si>
  <si>
    <t>減少耐力上限8點</t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</si>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</sst>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9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2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39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38">
  <autoFilter ref="A1:C100"/>
  <tableColumns count="3">
    <tableColumn id="1" name="GUID" dataDxfId="37"/>
    <tableColumn id="2" name="enUS" dataDxfId="36"/>
    <tableColumn id="3" name="zhTW" dataDxfId="3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I100" totalsRowShown="0" headerRowDxfId="34" headerRowBorderDxfId="33" tableBorderDxfId="32" totalsRowBorderDxfId="31">
  <autoFilter ref="A1:I100"/>
  <tableColumns count="9">
    <tableColumn id="1" name="GUID" dataDxfId="30"/>
    <tableColumn id="2" name="StrID" dataDxfId="29"/>
    <tableColumn id="3" name="Mode" dataDxfId="28"/>
    <tableColumn id="10" name="Gain" dataDxfId="27"/>
    <tableColumn id="4" name="Damage" dataDxfId="26"/>
    <tableColumn id="8" name="CriticalStrike" dataDxfId="25"/>
    <tableColumn id="5" name="FireRate" dataDxfId="24"/>
    <tableColumn id="6" name="Range" dataDxfId="23"/>
    <tableColumn id="7" name="Resource" dataDxfId="2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G100" totalsRowShown="0" headerRowDxfId="21">
  <autoFilter ref="A1:G100"/>
  <tableColumns count="7">
    <tableColumn id="1" name="GUID" dataDxfId="20"/>
    <tableColumn id="2" name="StrID" dataDxfId="19"/>
    <tableColumn id="3" name="Mode" dataDxfId="18"/>
    <tableColumn id="9" name="Gain" dataDxfId="17"/>
    <tableColumn id="4" name="Group" dataDxfId="16"/>
    <tableColumn id="8" name="Value" dataDxfId="15"/>
    <tableColumn id="11" name="Description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13" dataDxfId="12">
  <autoFilter ref="A1:G100"/>
  <tableColumns count="7">
    <tableColumn id="1" name="GUID" dataDxfId="11"/>
    <tableColumn id="3" name="Mode" dataDxfId="10"/>
    <tableColumn id="7" name="StageID" dataDxfId="9"/>
    <tableColumn id="2" name="Enegry" dataDxfId="8"/>
    <tableColumn id="4" name="HP" dataDxfId="7"/>
    <tableColumn id="5" name="MoveSpeed" dataDxfId="6"/>
    <tableColumn id="6" name="Threat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100" totalsRowShown="0" headerRowDxfId="4">
  <autoFilter ref="A1:D100"/>
  <tableColumns count="4">
    <tableColumn id="1" name="名稱" dataDxfId="3"/>
    <tableColumn id="6" name="隊伍移動" dataDxfId="2"/>
    <tableColumn id="5" name="手電筒行為" dataDxfId="1"/>
    <tableColumn id="7" name="裝備行為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12" sqref="B12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3" t="s">
        <v>48</v>
      </c>
      <c r="B1" s="3" t="s">
        <v>109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11" activePane="bottomLeft" state="frozen"/>
      <selection pane="bottomLeft" activeCell="C34" sqref="C34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24</v>
      </c>
      <c r="C2" s="3" t="s">
        <v>25</v>
      </c>
    </row>
    <row r="3" spans="1:3" x14ac:dyDescent="0.25">
      <c r="A3" s="3">
        <v>1002</v>
      </c>
      <c r="B3" s="3" t="s">
        <v>70</v>
      </c>
      <c r="C3" s="3" t="s">
        <v>26</v>
      </c>
    </row>
    <row r="4" spans="1:3" x14ac:dyDescent="0.25">
      <c r="A4" s="3">
        <v>1003</v>
      </c>
      <c r="B4" s="3" t="s">
        <v>71</v>
      </c>
      <c r="C4" s="3" t="s">
        <v>72</v>
      </c>
    </row>
    <row r="5" spans="1:3" x14ac:dyDescent="0.25">
      <c r="A5" s="3">
        <v>1004</v>
      </c>
      <c r="B5" s="3" t="s">
        <v>73</v>
      </c>
      <c r="C5" s="3" t="s">
        <v>74</v>
      </c>
    </row>
    <row r="6" spans="1:3" x14ac:dyDescent="0.25">
      <c r="A6" s="3">
        <v>1005</v>
      </c>
      <c r="B6" s="3" t="s">
        <v>75</v>
      </c>
      <c r="C6" s="17" t="s">
        <v>27</v>
      </c>
    </row>
    <row r="7" spans="1:3" x14ac:dyDescent="0.25">
      <c r="A7" s="3">
        <v>1006</v>
      </c>
      <c r="B7" s="3" t="s">
        <v>76</v>
      </c>
      <c r="C7" s="17" t="s">
        <v>77</v>
      </c>
    </row>
    <row r="8" spans="1:3" x14ac:dyDescent="0.25">
      <c r="A8" s="3">
        <v>1007</v>
      </c>
      <c r="B8" s="3" t="s">
        <v>78</v>
      </c>
      <c r="C8" s="17" t="s">
        <v>79</v>
      </c>
    </row>
    <row r="9" spans="1:3" x14ac:dyDescent="0.25">
      <c r="A9" s="3">
        <v>1008</v>
      </c>
      <c r="B9" s="3" t="s">
        <v>80</v>
      </c>
      <c r="C9" s="17" t="s">
        <v>81</v>
      </c>
    </row>
    <row r="10" spans="1:3" x14ac:dyDescent="0.25">
      <c r="A10" s="3">
        <v>1009</v>
      </c>
      <c r="B10" s="3" t="s">
        <v>85</v>
      </c>
      <c r="C10" s="17" t="s">
        <v>82</v>
      </c>
    </row>
    <row r="11" spans="1:3" x14ac:dyDescent="0.25">
      <c r="A11" s="3">
        <v>1010</v>
      </c>
      <c r="B11" s="3" t="s">
        <v>83</v>
      </c>
      <c r="C11" s="17" t="s">
        <v>84</v>
      </c>
    </row>
    <row r="12" spans="1:3" x14ac:dyDescent="0.25">
      <c r="A12" s="3">
        <v>2001</v>
      </c>
      <c r="B12" s="3" t="s">
        <v>101</v>
      </c>
      <c r="C12" s="21" t="s">
        <v>88</v>
      </c>
    </row>
    <row r="13" spans="1:3" x14ac:dyDescent="0.25">
      <c r="A13" s="3">
        <v>2002</v>
      </c>
      <c r="B13" s="3" t="s">
        <v>102</v>
      </c>
      <c r="C13" s="21" t="s">
        <v>89</v>
      </c>
    </row>
    <row r="14" spans="1:3" x14ac:dyDescent="0.25">
      <c r="A14" s="3">
        <v>2003</v>
      </c>
      <c r="B14" s="3" t="s">
        <v>103</v>
      </c>
      <c r="C14" s="21" t="s">
        <v>90</v>
      </c>
    </row>
    <row r="15" spans="1:3" x14ac:dyDescent="0.25">
      <c r="A15" s="3">
        <v>2004</v>
      </c>
      <c r="B15" s="3" t="s">
        <v>104</v>
      </c>
      <c r="C15" s="21" t="s">
        <v>91</v>
      </c>
    </row>
    <row r="16" spans="1:3" x14ac:dyDescent="0.25">
      <c r="A16" s="3">
        <v>2005</v>
      </c>
      <c r="B16" s="3" t="s">
        <v>111</v>
      </c>
      <c r="C16" s="21" t="s">
        <v>92</v>
      </c>
    </row>
    <row r="17" spans="1:3" x14ac:dyDescent="0.25">
      <c r="A17" s="3">
        <v>2006</v>
      </c>
      <c r="B17" s="3" t="s">
        <v>105</v>
      </c>
      <c r="C17" s="21" t="s">
        <v>93</v>
      </c>
    </row>
    <row r="18" spans="1:3" x14ac:dyDescent="0.25">
      <c r="A18" s="3">
        <v>2007</v>
      </c>
      <c r="B18" s="3" t="s">
        <v>106</v>
      </c>
      <c r="C18" s="21" t="s">
        <v>94</v>
      </c>
    </row>
    <row r="19" spans="1:3" x14ac:dyDescent="0.25">
      <c r="A19" s="3">
        <v>2008</v>
      </c>
      <c r="B19" s="3" t="s">
        <v>107</v>
      </c>
      <c r="C19" s="21" t="s">
        <v>95</v>
      </c>
    </row>
    <row r="20" spans="1:3" x14ac:dyDescent="0.25">
      <c r="A20" s="3">
        <v>2009</v>
      </c>
      <c r="B20" s="3" t="s">
        <v>129</v>
      </c>
      <c r="C20" s="21" t="s">
        <v>96</v>
      </c>
    </row>
    <row r="21" spans="1:3" x14ac:dyDescent="0.25">
      <c r="A21" s="3">
        <v>2010</v>
      </c>
      <c r="B21" s="3" t="s">
        <v>130</v>
      </c>
      <c r="C21" s="21" t="s">
        <v>97</v>
      </c>
    </row>
    <row r="22" spans="1:3" x14ac:dyDescent="0.25">
      <c r="A22" s="3">
        <v>2011</v>
      </c>
      <c r="B22" s="3" t="s">
        <v>131</v>
      </c>
      <c r="C22" s="21" t="s">
        <v>98</v>
      </c>
    </row>
    <row r="23" spans="1:3" x14ac:dyDescent="0.25">
      <c r="A23" s="3">
        <v>2012</v>
      </c>
      <c r="B23" s="3" t="s">
        <v>132</v>
      </c>
      <c r="C23" s="21" t="s">
        <v>99</v>
      </c>
    </row>
    <row r="24" spans="1:3" x14ac:dyDescent="0.25">
      <c r="A24" s="3">
        <v>2013</v>
      </c>
      <c r="B24" s="3" t="s">
        <v>108</v>
      </c>
      <c r="C24" s="21" t="s">
        <v>100</v>
      </c>
    </row>
    <row r="25" spans="1:3" x14ac:dyDescent="0.25">
      <c r="A25" s="3">
        <v>3001</v>
      </c>
      <c r="B25" s="3" t="s">
        <v>153</v>
      </c>
      <c r="C25" s="21" t="s">
        <v>154</v>
      </c>
    </row>
    <row r="26" spans="1:3" x14ac:dyDescent="0.25">
      <c r="A26" s="3">
        <v>3002</v>
      </c>
      <c r="B26" s="3" t="s">
        <v>155</v>
      </c>
      <c r="C26" s="21" t="s">
        <v>156</v>
      </c>
    </row>
    <row r="27" spans="1:3" x14ac:dyDescent="0.25">
      <c r="A27" s="3">
        <v>3003</v>
      </c>
      <c r="B27" s="3" t="s">
        <v>157</v>
      </c>
      <c r="C27" s="21" t="s">
        <v>158</v>
      </c>
    </row>
    <row r="28" spans="1:3" x14ac:dyDescent="0.25">
      <c r="A28" s="3">
        <v>3004</v>
      </c>
      <c r="B28" s="3" t="s">
        <v>159</v>
      </c>
      <c r="C28" s="21" t="s">
        <v>160</v>
      </c>
    </row>
    <row r="29" spans="1:3" x14ac:dyDescent="0.25">
      <c r="A29" s="3">
        <v>3005</v>
      </c>
      <c r="B29" s="3" t="s">
        <v>140</v>
      </c>
      <c r="C29" s="21" t="s">
        <v>142</v>
      </c>
    </row>
    <row r="30" spans="1:3" x14ac:dyDescent="0.25">
      <c r="A30" s="3">
        <v>3006</v>
      </c>
      <c r="B30" s="3" t="s">
        <v>143</v>
      </c>
      <c r="C30" s="21" t="s">
        <v>144</v>
      </c>
    </row>
    <row r="31" spans="1:3" x14ac:dyDescent="0.25">
      <c r="A31" s="3">
        <v>3007</v>
      </c>
      <c r="B31" s="3" t="s">
        <v>141</v>
      </c>
      <c r="C31" s="21" t="s">
        <v>145</v>
      </c>
    </row>
    <row r="32" spans="1:3" x14ac:dyDescent="0.25">
      <c r="A32" s="3">
        <v>3008</v>
      </c>
      <c r="B32" s="3" t="s">
        <v>146</v>
      </c>
      <c r="C32" s="21" t="s">
        <v>147</v>
      </c>
    </row>
    <row r="33" spans="1:3" x14ac:dyDescent="0.25">
      <c r="A33" s="3">
        <v>3009</v>
      </c>
      <c r="C33" s="21"/>
    </row>
    <row r="34" spans="1:3" x14ac:dyDescent="0.25">
      <c r="A34" s="3">
        <v>3010</v>
      </c>
      <c r="C34" s="21"/>
    </row>
    <row r="35" spans="1:3" x14ac:dyDescent="0.25">
      <c r="A35" s="3">
        <v>3011</v>
      </c>
      <c r="B35" s="3" t="s">
        <v>136</v>
      </c>
      <c r="C35" s="21" t="s">
        <v>148</v>
      </c>
    </row>
    <row r="36" spans="1:3" x14ac:dyDescent="0.25">
      <c r="A36" s="3">
        <v>3012</v>
      </c>
      <c r="B36" s="3" t="s">
        <v>137</v>
      </c>
      <c r="C36" s="21" t="s">
        <v>149</v>
      </c>
    </row>
    <row r="37" spans="1:3" x14ac:dyDescent="0.25">
      <c r="A37" s="3">
        <v>3013</v>
      </c>
      <c r="B37" s="3" t="s">
        <v>138</v>
      </c>
      <c r="C37" s="21" t="s">
        <v>150</v>
      </c>
    </row>
    <row r="38" spans="1:3" x14ac:dyDescent="0.25">
      <c r="A38" s="3">
        <v>3014</v>
      </c>
      <c r="B38" s="3" t="s">
        <v>139</v>
      </c>
      <c r="C38" s="21" t="s">
        <v>151</v>
      </c>
    </row>
    <row r="39" spans="1:3" x14ac:dyDescent="0.25">
      <c r="A39" s="3">
        <v>3015</v>
      </c>
      <c r="B39" s="3" t="s">
        <v>135</v>
      </c>
      <c r="C39" s="21" t="s">
        <v>152</v>
      </c>
    </row>
    <row r="40" spans="1:3" x14ac:dyDescent="0.25">
      <c r="C40" s="21"/>
    </row>
    <row r="41" spans="1:3" x14ac:dyDescent="0.25">
      <c r="C41" s="21"/>
    </row>
    <row r="42" spans="1:3" x14ac:dyDescent="0.25">
      <c r="C42" s="26"/>
    </row>
    <row r="43" spans="1:3" x14ac:dyDescent="0.25">
      <c r="C43" s="26"/>
    </row>
    <row r="44" spans="1:3" x14ac:dyDescent="0.25">
      <c r="C44" s="26"/>
    </row>
    <row r="45" spans="1:3" x14ac:dyDescent="0.25">
      <c r="C45" s="17"/>
    </row>
    <row r="46" spans="1:3" x14ac:dyDescent="0.25">
      <c r="C46" s="17"/>
    </row>
    <row r="47" spans="1:3" x14ac:dyDescent="0.25">
      <c r="C47" s="17"/>
    </row>
    <row r="48" spans="1:3" x14ac:dyDescent="0.25">
      <c r="A48" s="22"/>
      <c r="C48" s="17"/>
    </row>
    <row r="49" spans="1:3" x14ac:dyDescent="0.25">
      <c r="A49" s="22"/>
      <c r="C49" s="17"/>
    </row>
    <row r="50" spans="1:3" x14ac:dyDescent="0.25">
      <c r="A50" s="22"/>
      <c r="C50" s="17"/>
    </row>
    <row r="51" spans="1:3" x14ac:dyDescent="0.25">
      <c r="A51" s="22"/>
      <c r="C51" s="17"/>
    </row>
    <row r="52" spans="1:3" x14ac:dyDescent="0.25">
      <c r="A52" s="22"/>
      <c r="C52" s="17"/>
    </row>
    <row r="53" spans="1:3" x14ac:dyDescent="0.25">
      <c r="A53" s="22"/>
      <c r="C53" s="17"/>
    </row>
    <row r="54" spans="1:3" x14ac:dyDescent="0.25">
      <c r="A54" s="22"/>
      <c r="C54" s="17"/>
    </row>
    <row r="55" spans="1:3" x14ac:dyDescent="0.25">
      <c r="A55" s="22"/>
      <c r="C55" s="17"/>
    </row>
    <row r="56" spans="1:3" x14ac:dyDescent="0.25">
      <c r="A56" s="22"/>
      <c r="C56" s="17"/>
    </row>
    <row r="57" spans="1:3" x14ac:dyDescent="0.25">
      <c r="A57" s="22"/>
      <c r="C57" s="17"/>
    </row>
    <row r="58" spans="1:3" x14ac:dyDescent="0.25">
      <c r="A58" s="22"/>
      <c r="C58" s="17"/>
    </row>
    <row r="59" spans="1:3" x14ac:dyDescent="0.25">
      <c r="A59" s="22"/>
      <c r="C59" s="17"/>
    </row>
    <row r="60" spans="1:3" x14ac:dyDescent="0.25">
      <c r="A60" s="22"/>
      <c r="C60" s="17"/>
    </row>
    <row r="61" spans="1:3" x14ac:dyDescent="0.25">
      <c r="A61" s="22"/>
      <c r="C61" s="17"/>
    </row>
    <row r="62" spans="1:3" x14ac:dyDescent="0.25">
      <c r="A62" s="22"/>
      <c r="C62" s="17"/>
    </row>
    <row r="63" spans="1:3" x14ac:dyDescent="0.25">
      <c r="A63" s="22"/>
      <c r="C63" s="17"/>
    </row>
    <row r="64" spans="1:3" x14ac:dyDescent="0.25">
      <c r="A64" s="22"/>
      <c r="C64" s="17"/>
    </row>
    <row r="65" spans="1:3" x14ac:dyDescent="0.25">
      <c r="A65" s="22"/>
      <c r="C65" s="17"/>
    </row>
    <row r="66" spans="1:3" x14ac:dyDescent="0.25">
      <c r="A66" s="22"/>
      <c r="C66" s="17"/>
    </row>
    <row r="67" spans="1:3" x14ac:dyDescent="0.25">
      <c r="A67" s="22"/>
      <c r="C67" s="17"/>
    </row>
    <row r="68" spans="1:3" x14ac:dyDescent="0.25">
      <c r="A68" s="22"/>
      <c r="C68" s="17"/>
    </row>
    <row r="69" spans="1:3" x14ac:dyDescent="0.25">
      <c r="A69" s="22"/>
      <c r="C69" s="17"/>
    </row>
    <row r="70" spans="1:3" x14ac:dyDescent="0.25">
      <c r="A70" s="22"/>
      <c r="C70" s="17"/>
    </row>
    <row r="71" spans="1:3" x14ac:dyDescent="0.25">
      <c r="A71" s="22"/>
      <c r="C71" s="17"/>
    </row>
    <row r="72" spans="1:3" x14ac:dyDescent="0.25">
      <c r="A72" s="22"/>
      <c r="C72" s="17"/>
    </row>
    <row r="73" spans="1:3" x14ac:dyDescent="0.25">
      <c r="A73" s="22"/>
      <c r="C73" s="17"/>
    </row>
    <row r="74" spans="1:3" x14ac:dyDescent="0.25">
      <c r="A74" s="22"/>
      <c r="C74" s="17"/>
    </row>
    <row r="75" spans="1:3" x14ac:dyDescent="0.25">
      <c r="A75" s="22"/>
      <c r="C75" s="17"/>
    </row>
    <row r="76" spans="1:3" x14ac:dyDescent="0.25">
      <c r="A76" s="22"/>
      <c r="C76" s="17"/>
    </row>
    <row r="77" spans="1:3" x14ac:dyDescent="0.25">
      <c r="A77" s="22"/>
      <c r="C77" s="17"/>
    </row>
    <row r="78" spans="1:3" x14ac:dyDescent="0.25">
      <c r="A78" s="22"/>
      <c r="C78" s="17"/>
    </row>
    <row r="79" spans="1:3" x14ac:dyDescent="0.25">
      <c r="A79" s="22"/>
      <c r="C79" s="17"/>
    </row>
    <row r="80" spans="1:3" x14ac:dyDescent="0.25">
      <c r="A80" s="22"/>
      <c r="C80" s="17"/>
    </row>
    <row r="81" spans="1:3" x14ac:dyDescent="0.25">
      <c r="A81" s="22"/>
      <c r="C81" s="17"/>
    </row>
    <row r="82" spans="1:3" x14ac:dyDescent="0.25">
      <c r="A82" s="22"/>
      <c r="C82" s="17"/>
    </row>
    <row r="83" spans="1:3" x14ac:dyDescent="0.25">
      <c r="A83" s="22"/>
      <c r="C83" s="17"/>
    </row>
    <row r="84" spans="1:3" x14ac:dyDescent="0.25">
      <c r="A84" s="22"/>
      <c r="C84" s="17"/>
    </row>
    <row r="85" spans="1:3" x14ac:dyDescent="0.25">
      <c r="A85" s="22"/>
      <c r="C85" s="17"/>
    </row>
    <row r="86" spans="1:3" x14ac:dyDescent="0.25">
      <c r="A86" s="22"/>
      <c r="C86" s="17"/>
    </row>
    <row r="87" spans="1:3" x14ac:dyDescent="0.25">
      <c r="A87" s="22"/>
      <c r="C87" s="17"/>
    </row>
    <row r="88" spans="1:3" x14ac:dyDescent="0.25">
      <c r="A88" s="22"/>
      <c r="C88" s="17"/>
    </row>
    <row r="89" spans="1:3" x14ac:dyDescent="0.25">
      <c r="A89" s="22"/>
      <c r="C89" s="17"/>
    </row>
    <row r="90" spans="1:3" x14ac:dyDescent="0.25">
      <c r="A90" s="22"/>
      <c r="C90" s="17"/>
    </row>
    <row r="91" spans="1:3" x14ac:dyDescent="0.25">
      <c r="A91" s="22"/>
      <c r="C91" s="17"/>
    </row>
    <row r="92" spans="1:3" x14ac:dyDescent="0.25">
      <c r="A92" s="22"/>
      <c r="C92" s="17"/>
    </row>
    <row r="93" spans="1:3" x14ac:dyDescent="0.25">
      <c r="A93" s="22"/>
      <c r="C93" s="17"/>
    </row>
    <row r="94" spans="1:3" x14ac:dyDescent="0.25">
      <c r="A94" s="22"/>
      <c r="C94" s="17"/>
    </row>
    <row r="95" spans="1:3" x14ac:dyDescent="0.25">
      <c r="A95" s="22"/>
      <c r="C95" s="17"/>
    </row>
    <row r="96" spans="1:3" x14ac:dyDescent="0.25">
      <c r="A96" s="22"/>
      <c r="C96" s="17"/>
    </row>
    <row r="97" spans="1:3" x14ac:dyDescent="0.25">
      <c r="A97" s="22"/>
      <c r="C97" s="17"/>
    </row>
    <row r="98" spans="1:3" x14ac:dyDescent="0.25">
      <c r="A98" s="22"/>
      <c r="C98" s="17"/>
    </row>
    <row r="99" spans="1:3" x14ac:dyDescent="0.25">
      <c r="A99" s="22"/>
      <c r="C99" s="17"/>
    </row>
    <row r="100" spans="1:3" x14ac:dyDescent="0.25">
      <c r="A100" s="19"/>
      <c r="B100" s="23"/>
      <c r="C100" s="18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O100"/>
  <sheetViews>
    <sheetView workbookViewId="0">
      <pane ySplit="1" topLeftCell="A2" activePane="bottomLeft" state="frozen"/>
      <selection pane="bottomLeft" activeCell="D1" sqref="D1:D1048576"/>
    </sheetView>
  </sheetViews>
  <sheetFormatPr defaultRowHeight="16.5" x14ac:dyDescent="0.25"/>
  <cols>
    <col min="1" max="9" width="15.625" style="3" customWidth="1"/>
    <col min="10" max="10" width="3.125" style="3" customWidth="1"/>
    <col min="11" max="11" width="40.625" style="3" customWidth="1"/>
    <col min="12" max="12" width="9" style="16" customWidth="1"/>
    <col min="13" max="13" width="9" style="16"/>
    <col min="14" max="14" width="9" style="3"/>
    <col min="15" max="15" width="9" style="16"/>
    <col min="16" max="16384" width="9" style="3"/>
  </cols>
  <sheetData>
    <row r="1" spans="1:15" s="2" customFormat="1" x14ac:dyDescent="0.25">
      <c r="A1" s="2" t="s">
        <v>0</v>
      </c>
      <c r="B1" s="2" t="s">
        <v>3</v>
      </c>
      <c r="C1" s="2" t="s">
        <v>4</v>
      </c>
      <c r="D1" s="2" t="s">
        <v>110</v>
      </c>
      <c r="E1" s="2" t="s">
        <v>5</v>
      </c>
      <c r="F1" s="2" t="s">
        <v>49</v>
      </c>
      <c r="G1" s="2" t="s">
        <v>6</v>
      </c>
      <c r="H1" s="2" t="s">
        <v>7</v>
      </c>
      <c r="I1" s="2" t="s">
        <v>8</v>
      </c>
      <c r="K1" s="2" t="s">
        <v>9</v>
      </c>
      <c r="L1" s="15" t="s">
        <v>86</v>
      </c>
      <c r="M1" s="15" t="s">
        <v>67</v>
      </c>
      <c r="N1" s="14" t="s">
        <v>69</v>
      </c>
      <c r="O1" s="15" t="s">
        <v>68</v>
      </c>
    </row>
    <row r="2" spans="1:15" x14ac:dyDescent="0.25">
      <c r="A2" s="3">
        <v>1</v>
      </c>
      <c r="B2" s="3">
        <v>1001</v>
      </c>
      <c r="C2" s="3" t="s">
        <v>28</v>
      </c>
      <c r="D2" s="3">
        <v>1</v>
      </c>
      <c r="E2" s="3">
        <v>0</v>
      </c>
      <c r="F2" s="3">
        <v>0</v>
      </c>
      <c r="G2" s="3">
        <v>0</v>
      </c>
      <c r="H2" s="3" t="s">
        <v>14</v>
      </c>
      <c r="I2" s="3" t="s">
        <v>22</v>
      </c>
      <c r="L2" s="16">
        <f>IF(裝備!G2&gt;0,1/裝備!G2,0)</f>
        <v>0</v>
      </c>
      <c r="M2" s="16">
        <f>IF(裝備!G2&gt;0,(裝備!E2 + 裝備!E2 * 裝備!F2) / 裝備!G2,0)</f>
        <v>0</v>
      </c>
      <c r="N2" s="3">
        <v>0</v>
      </c>
      <c r="O2" s="16">
        <f>IF(裝備!M2&gt;0,裝備!N2/裝備!M2,0)</f>
        <v>0</v>
      </c>
    </row>
    <row r="3" spans="1:15" x14ac:dyDescent="0.25">
      <c r="A3" s="3">
        <v>5</v>
      </c>
      <c r="B3" s="3">
        <v>1005</v>
      </c>
      <c r="C3" s="3" t="s">
        <v>29</v>
      </c>
      <c r="D3" s="3">
        <v>12</v>
      </c>
      <c r="E3" s="3">
        <v>30</v>
      </c>
      <c r="F3" s="3">
        <v>0</v>
      </c>
      <c r="G3" s="3">
        <v>1</v>
      </c>
      <c r="H3" s="3" t="s">
        <v>14</v>
      </c>
      <c r="I3" s="3" t="s">
        <v>18</v>
      </c>
      <c r="K3" s="3" t="s">
        <v>27</v>
      </c>
      <c r="L3" s="16">
        <f>IF(裝備!G3&gt;0,1/裝備!G3,0)</f>
        <v>1</v>
      </c>
      <c r="M3" s="16">
        <f>IF(裝備!G3&gt;0,(裝備!E3 + 裝備!E3 * 裝備!F3) / 裝備!G3,0)</f>
        <v>30</v>
      </c>
      <c r="N3" s="3">
        <v>25</v>
      </c>
      <c r="O3" s="16">
        <f>IF(裝備!M3&gt;0,裝備!N3/裝備!M3,0)</f>
        <v>0.83333333333333337</v>
      </c>
    </row>
    <row r="4" spans="1:15" x14ac:dyDescent="0.25">
      <c r="A4" s="3">
        <v>6</v>
      </c>
      <c r="B4" s="3">
        <v>1006</v>
      </c>
      <c r="C4" s="3" t="s">
        <v>29</v>
      </c>
      <c r="D4" s="3">
        <v>10</v>
      </c>
      <c r="E4" s="3">
        <v>30</v>
      </c>
      <c r="F4" s="3">
        <v>0.2</v>
      </c>
      <c r="G4" s="3">
        <v>1</v>
      </c>
      <c r="H4" s="3" t="s">
        <v>14</v>
      </c>
      <c r="I4" s="3" t="s">
        <v>18</v>
      </c>
      <c r="K4" s="3" t="s">
        <v>77</v>
      </c>
      <c r="L4" s="16">
        <f>IF(裝備!G4&gt;0,1/裝備!G4,0)</f>
        <v>1</v>
      </c>
      <c r="M4" s="16">
        <f>IF(裝備!G4&gt;0,(裝備!E4 + 裝備!E4 * 裝備!F4) / 裝備!G4,0)</f>
        <v>36</v>
      </c>
      <c r="N4" s="3">
        <v>25</v>
      </c>
      <c r="O4" s="16">
        <f>IF(裝備!M4&gt;0,裝備!N4/裝備!M4,0)</f>
        <v>0.69444444444444442</v>
      </c>
    </row>
    <row r="5" spans="1:15" x14ac:dyDescent="0.25">
      <c r="A5" s="3">
        <v>7</v>
      </c>
      <c r="B5" s="3">
        <v>1007</v>
      </c>
      <c r="C5" s="3" t="s">
        <v>29</v>
      </c>
      <c r="D5" s="3">
        <v>8</v>
      </c>
      <c r="E5" s="3">
        <v>60</v>
      </c>
      <c r="F5" s="3">
        <v>0.8</v>
      </c>
      <c r="G5" s="3">
        <v>2.5</v>
      </c>
      <c r="H5" s="3" t="s">
        <v>14</v>
      </c>
      <c r="I5" s="3" t="s">
        <v>18</v>
      </c>
      <c r="K5" s="3" t="s">
        <v>79</v>
      </c>
      <c r="L5" s="16">
        <f>IF(裝備!G5&gt;0,1/裝備!G5,0)</f>
        <v>0.4</v>
      </c>
      <c r="M5" s="16">
        <f>IF(裝備!G5&gt;0,(裝備!E5 + 裝備!E5 * 裝備!F5) / 裝備!G5,0)</f>
        <v>43.2</v>
      </c>
      <c r="N5" s="3">
        <v>25</v>
      </c>
      <c r="O5" s="16">
        <f>IF(裝備!M5&gt;0,裝備!N5/裝備!M5,0)</f>
        <v>0.57870370370370372</v>
      </c>
    </row>
    <row r="6" spans="1:15" x14ac:dyDescent="0.25">
      <c r="A6" s="3">
        <v>8</v>
      </c>
      <c r="B6" s="3">
        <v>1008</v>
      </c>
      <c r="C6" s="3" t="s">
        <v>29</v>
      </c>
      <c r="D6" s="3">
        <v>10</v>
      </c>
      <c r="E6" s="3">
        <v>20</v>
      </c>
      <c r="F6" s="3">
        <v>0.25</v>
      </c>
      <c r="G6" s="3">
        <v>0.5</v>
      </c>
      <c r="H6" s="3" t="s">
        <v>14</v>
      </c>
      <c r="I6" s="3" t="s">
        <v>20</v>
      </c>
      <c r="K6" s="3" t="s">
        <v>81</v>
      </c>
      <c r="L6" s="16">
        <f>IF(裝備!G6&gt;0,1/裝備!G6,0)</f>
        <v>2</v>
      </c>
      <c r="M6" s="16">
        <f>IF(裝備!G6&gt;0,(裝備!E6 + 裝備!E6 * 裝備!F6) / 裝備!G6,0)</f>
        <v>50</v>
      </c>
      <c r="N6" s="3">
        <v>25</v>
      </c>
      <c r="O6" s="16">
        <f>IF(裝備!M6&gt;0,裝備!N6/裝備!M6,0)</f>
        <v>0.5</v>
      </c>
    </row>
    <row r="7" spans="1:15" x14ac:dyDescent="0.25">
      <c r="A7" s="3">
        <v>9</v>
      </c>
      <c r="B7" s="3">
        <v>1009</v>
      </c>
      <c r="C7" s="3" t="s">
        <v>29</v>
      </c>
      <c r="D7" s="3">
        <v>8</v>
      </c>
      <c r="E7" s="3">
        <v>40</v>
      </c>
      <c r="F7" s="3">
        <v>0.5</v>
      </c>
      <c r="G7" s="3">
        <v>1</v>
      </c>
      <c r="H7" s="3" t="s">
        <v>14</v>
      </c>
      <c r="I7" s="3" t="s">
        <v>20</v>
      </c>
      <c r="K7" s="3" t="s">
        <v>82</v>
      </c>
      <c r="L7" s="16">
        <f>IF(裝備!G7&gt;0,1/裝備!G7,0)</f>
        <v>1</v>
      </c>
      <c r="M7" s="16">
        <f>IF(裝備!G7&gt;0,(裝備!E7 + 裝備!E7 * 裝備!F7) / 裝備!G7,0)</f>
        <v>60</v>
      </c>
      <c r="N7" s="3">
        <v>25</v>
      </c>
      <c r="O7" s="16">
        <f>IF(裝備!M7&gt;0,裝備!N7/裝備!M7,0)</f>
        <v>0.41666666666666669</v>
      </c>
    </row>
    <row r="8" spans="1:15" x14ac:dyDescent="0.25">
      <c r="A8" s="3">
        <v>10</v>
      </c>
      <c r="B8" s="3">
        <v>1010</v>
      </c>
      <c r="C8" s="3" t="s">
        <v>29</v>
      </c>
      <c r="D8" s="3">
        <v>6</v>
      </c>
      <c r="E8" s="3">
        <v>20</v>
      </c>
      <c r="F8" s="3">
        <v>0</v>
      </c>
      <c r="G8" s="3">
        <v>0.25</v>
      </c>
      <c r="H8" s="3" t="s">
        <v>14</v>
      </c>
      <c r="I8" s="3" t="s">
        <v>20</v>
      </c>
      <c r="K8" s="3" t="s">
        <v>84</v>
      </c>
      <c r="L8" s="16">
        <f>IF(裝備!G8&gt;0,1/裝備!G8,0)</f>
        <v>4</v>
      </c>
      <c r="M8" s="16">
        <f>IF(裝備!G8&gt;0,(裝備!E8 + 裝備!E8 * 裝備!F8) / 裝備!G8,0)</f>
        <v>80</v>
      </c>
      <c r="N8" s="3">
        <v>25</v>
      </c>
      <c r="O8" s="16">
        <f>IF(裝備!M8&gt;0,裝備!N8/裝備!M8,0)</f>
        <v>0.3125</v>
      </c>
    </row>
    <row r="9" spans="1:15" x14ac:dyDescent="0.25">
      <c r="L9" s="16">
        <f>IF(裝備!G9&gt;0,1/裝備!G9,0)</f>
        <v>0</v>
      </c>
      <c r="M9" s="16">
        <f>IF(裝備!G9&gt;0,(裝備!E9 + 裝備!E9 * 裝備!F9) / 裝備!G9,0)</f>
        <v>0</v>
      </c>
      <c r="N9" s="3">
        <v>25</v>
      </c>
      <c r="O9" s="16">
        <f>IF(裝備!M9&gt;0,裝備!N9/裝備!M9,0)</f>
        <v>0</v>
      </c>
    </row>
    <row r="10" spans="1:15" x14ac:dyDescent="0.25">
      <c r="L10" s="16">
        <f>IF(裝備!G10&gt;0,1/裝備!G10,0)</f>
        <v>0</v>
      </c>
      <c r="M10" s="16">
        <f>IF(裝備!G10&gt;0,(裝備!E10 + 裝備!E10 * 裝備!F10) / 裝備!G10,0)</f>
        <v>0</v>
      </c>
      <c r="N10" s="3">
        <v>25</v>
      </c>
      <c r="O10" s="16">
        <f>IF(裝備!M10&gt;0,裝備!N10/裝備!M10,0)</f>
        <v>0</v>
      </c>
    </row>
    <row r="11" spans="1:15" x14ac:dyDescent="0.25">
      <c r="L11" s="16">
        <f>IF(裝備!G11&gt;0,1/裝備!G11,0)</f>
        <v>0</v>
      </c>
      <c r="M11" s="16">
        <f>IF(裝備!G11&gt;0,(裝備!E11 + 裝備!E11 * 裝備!F11) / 裝備!G11,0)</f>
        <v>0</v>
      </c>
      <c r="N11" s="3">
        <v>25</v>
      </c>
      <c r="O11" s="16">
        <f>IF(裝備!M11&gt;0,裝備!N11/裝備!M11,0)</f>
        <v>0</v>
      </c>
    </row>
    <row r="12" spans="1:15" x14ac:dyDescent="0.25">
      <c r="L12" s="16">
        <f>IF(裝備!G12&gt;0,1/裝備!G12,0)</f>
        <v>0</v>
      </c>
      <c r="M12" s="16">
        <f>IF(裝備!G12&gt;0,(裝備!E12 + 裝備!E12 * 裝備!F12) / 裝備!G12,0)</f>
        <v>0</v>
      </c>
      <c r="N12" s="3">
        <v>25</v>
      </c>
      <c r="O12" s="16">
        <f>IF(裝備!M12&gt;0,裝備!N12/裝備!M12,0)</f>
        <v>0</v>
      </c>
    </row>
    <row r="13" spans="1:15" x14ac:dyDescent="0.25">
      <c r="L13" s="16">
        <f>IF(裝備!G13&gt;0,1/裝備!G13,0)</f>
        <v>0</v>
      </c>
      <c r="M13" s="16">
        <f>IF(裝備!G13&gt;0,(裝備!E13 + 裝備!E13 * 裝備!F13) / 裝備!G13,0)</f>
        <v>0</v>
      </c>
      <c r="N13" s="3">
        <v>25</v>
      </c>
      <c r="O13" s="16">
        <f>IF(裝備!M13&gt;0,裝備!N13/裝備!M13,0)</f>
        <v>0</v>
      </c>
    </row>
    <row r="14" spans="1:15" x14ac:dyDescent="0.25">
      <c r="L14" s="16">
        <f>IF(裝備!G14&gt;0,1/裝備!G14,0)</f>
        <v>0</v>
      </c>
      <c r="M14" s="16">
        <f>IF(裝備!G14&gt;0,(裝備!E14 + 裝備!E14 * 裝備!F14) / 裝備!G14,0)</f>
        <v>0</v>
      </c>
      <c r="N14" s="3">
        <v>25</v>
      </c>
      <c r="O14" s="16">
        <f>IF(裝備!M14&gt;0,裝備!N14/裝備!M14,0)</f>
        <v>0</v>
      </c>
    </row>
    <row r="15" spans="1:15" x14ac:dyDescent="0.25">
      <c r="L15" s="16">
        <f>IF(裝備!G15&gt;0,1/裝備!G15,0)</f>
        <v>0</v>
      </c>
      <c r="M15" s="16">
        <f>IF(裝備!G15&gt;0,(裝備!E15 + 裝備!E15 * 裝備!F15) / 裝備!G15,0)</f>
        <v>0</v>
      </c>
      <c r="N15" s="3">
        <v>25</v>
      </c>
      <c r="O15" s="16">
        <f>IF(裝備!M15&gt;0,裝備!N15/裝備!M15,0)</f>
        <v>0</v>
      </c>
    </row>
    <row r="16" spans="1:15" x14ac:dyDescent="0.25">
      <c r="L16" s="16">
        <f>IF(裝備!G16&gt;0,1/裝備!G16,0)</f>
        <v>0</v>
      </c>
      <c r="M16" s="16">
        <f>IF(裝備!G16&gt;0,(裝備!E16 + 裝備!E16 * 裝備!F16) / 裝備!G16,0)</f>
        <v>0</v>
      </c>
      <c r="N16" s="3">
        <v>25</v>
      </c>
      <c r="O16" s="16">
        <f>IF(裝備!M16&gt;0,裝備!N16/裝備!M16,0)</f>
        <v>0</v>
      </c>
    </row>
    <row r="17" spans="1:15" x14ac:dyDescent="0.25">
      <c r="L17" s="16">
        <f>IF(裝備!G17&gt;0,1/裝備!G17,0)</f>
        <v>0</v>
      </c>
      <c r="M17" s="16">
        <f>IF(裝備!G17&gt;0,(裝備!E17 + 裝備!E17 * 裝備!F17) / 裝備!G17,0)</f>
        <v>0</v>
      </c>
      <c r="N17" s="3">
        <v>25</v>
      </c>
      <c r="O17" s="16">
        <f>IF(裝備!M17&gt;0,裝備!N17/裝備!M17,0)</f>
        <v>0</v>
      </c>
    </row>
    <row r="18" spans="1:15" x14ac:dyDescent="0.25">
      <c r="L18" s="16">
        <f>IF(裝備!G18&gt;0,1/裝備!G18,0)</f>
        <v>0</v>
      </c>
      <c r="M18" s="16">
        <f>IF(裝備!G18&gt;0,(裝備!E18 + 裝備!E18 * 裝備!F18) / 裝備!G18,0)</f>
        <v>0</v>
      </c>
      <c r="N18" s="3">
        <v>25</v>
      </c>
      <c r="O18" s="16">
        <f>IF(裝備!M18&gt;0,裝備!N18/裝備!M18,0)</f>
        <v>0</v>
      </c>
    </row>
    <row r="19" spans="1:15" x14ac:dyDescent="0.25">
      <c r="L19" s="16">
        <f>IF(裝備!G19&gt;0,1/裝備!G19,0)</f>
        <v>0</v>
      </c>
      <c r="M19" s="16">
        <f>IF(裝備!G19&gt;0,(裝備!E19 + 裝備!E19 * 裝備!F19) / 裝備!G19,0)</f>
        <v>0</v>
      </c>
      <c r="N19" s="3">
        <v>25</v>
      </c>
      <c r="O19" s="16">
        <f>IF(裝備!M19&gt;0,裝備!N19/裝備!M19,0)</f>
        <v>0</v>
      </c>
    </row>
    <row r="20" spans="1:15" x14ac:dyDescent="0.25">
      <c r="L20" s="16">
        <f>IF(裝備!G20&gt;0,1/裝備!G20,0)</f>
        <v>0</v>
      </c>
      <c r="M20" s="16">
        <f>IF(裝備!G20&gt;0,(裝備!E20 + 裝備!E20 * 裝備!F20) / 裝備!G20,0)</f>
        <v>0</v>
      </c>
      <c r="N20" s="3">
        <v>25</v>
      </c>
      <c r="O20" s="16">
        <f>IF(裝備!M20&gt;0,裝備!N20/裝備!M20,0)</f>
        <v>0</v>
      </c>
    </row>
    <row r="21" spans="1:15" x14ac:dyDescent="0.25">
      <c r="L21" s="16">
        <f>IF(裝備!G21&gt;0,1/裝備!G21,0)</f>
        <v>0</v>
      </c>
      <c r="M21" s="16">
        <f>IF(裝備!G21&gt;0,(裝備!E21 + 裝備!E21 * 裝備!F21) / 裝備!G21,0)</f>
        <v>0</v>
      </c>
      <c r="N21" s="3">
        <v>25</v>
      </c>
      <c r="O21" s="16">
        <f>IF(裝備!M21&gt;0,裝備!N21/裝備!M21,0)</f>
        <v>0</v>
      </c>
    </row>
    <row r="22" spans="1:15" x14ac:dyDescent="0.25">
      <c r="L22" s="16">
        <f>IF(裝備!G22&gt;0,1/裝備!G22,0)</f>
        <v>0</v>
      </c>
      <c r="M22" s="16">
        <f>IF(裝備!G22&gt;0,(裝備!E22 + 裝備!E22 * 裝備!F22) / 裝備!G22,0)</f>
        <v>0</v>
      </c>
      <c r="N22" s="3">
        <v>25</v>
      </c>
      <c r="O22" s="16">
        <f>IF(裝備!M22&gt;0,裝備!N22/裝備!M22,0)</f>
        <v>0</v>
      </c>
    </row>
    <row r="23" spans="1:15" x14ac:dyDescent="0.25">
      <c r="L23" s="16">
        <f>IF(裝備!G23&gt;0,1/裝備!G23,0)</f>
        <v>0</v>
      </c>
      <c r="M23" s="16">
        <f>IF(裝備!G23&gt;0,(裝備!E23 + 裝備!E23 * 裝備!F23) / 裝備!G23,0)</f>
        <v>0</v>
      </c>
      <c r="N23" s="3">
        <v>25</v>
      </c>
      <c r="O23" s="16">
        <f>IF(裝備!M23&gt;0,裝備!N23/裝備!M23,0)</f>
        <v>0</v>
      </c>
    </row>
    <row r="24" spans="1:15" x14ac:dyDescent="0.25">
      <c r="L24" s="16">
        <f>IF(裝備!G24&gt;0,1/裝備!G24,0)</f>
        <v>0</v>
      </c>
      <c r="M24" s="16">
        <f>IF(裝備!G24&gt;0,(裝備!E24 + 裝備!E24 * 裝備!F24) / 裝備!G24,0)</f>
        <v>0</v>
      </c>
      <c r="N24" s="3">
        <v>25</v>
      </c>
      <c r="O24" s="16">
        <f>IF(裝備!M24&gt;0,裝備!N24/裝備!M24,0)</f>
        <v>0</v>
      </c>
    </row>
    <row r="25" spans="1:15" x14ac:dyDescent="0.25">
      <c r="L25" s="16">
        <f>IF(裝備!G25&gt;0,1/裝備!G25,0)</f>
        <v>0</v>
      </c>
      <c r="M25" s="16">
        <f>IF(裝備!G25&gt;0,(裝備!E25 + 裝備!E25 * 裝備!F25) / 裝備!G25,0)</f>
        <v>0</v>
      </c>
      <c r="N25" s="3">
        <v>25</v>
      </c>
      <c r="O25" s="16">
        <f>IF(裝備!M25&gt;0,裝備!N25/裝備!M25,0)</f>
        <v>0</v>
      </c>
    </row>
    <row r="26" spans="1:15" x14ac:dyDescent="0.25">
      <c r="L26" s="16">
        <f>IF(裝備!G26&gt;0,1/裝備!G26,0)</f>
        <v>0</v>
      </c>
      <c r="M26" s="16">
        <f>IF(裝備!G26&gt;0,(裝備!E26 + 裝備!E26 * 裝備!F26) / 裝備!G26,0)</f>
        <v>0</v>
      </c>
      <c r="N26" s="3">
        <v>25</v>
      </c>
      <c r="O26" s="16">
        <f>IF(裝備!M26&gt;0,裝備!N26/裝備!M26,0)</f>
        <v>0</v>
      </c>
    </row>
    <row r="27" spans="1:15" x14ac:dyDescent="0.25">
      <c r="L27" s="16">
        <f>IF(裝備!G27&gt;0,1/裝備!G27,0)</f>
        <v>0</v>
      </c>
      <c r="M27" s="16">
        <f>IF(裝備!G27&gt;0,(裝備!E27 + 裝備!E27 * 裝備!F27) / 裝備!G27,0)</f>
        <v>0</v>
      </c>
      <c r="N27" s="3">
        <v>25</v>
      </c>
      <c r="O27" s="16">
        <f>IF(裝備!M27&gt;0,裝備!N27/裝備!M27,0)</f>
        <v>0</v>
      </c>
    </row>
    <row r="28" spans="1:15" x14ac:dyDescent="0.25">
      <c r="L28" s="16">
        <f>IF(裝備!G28&gt;0,1/裝備!G28,0)</f>
        <v>0</v>
      </c>
      <c r="M28" s="16">
        <f>IF(裝備!G28&gt;0,(裝備!E28 + 裝備!E28 * 裝備!F28) / 裝備!G28,0)</f>
        <v>0</v>
      </c>
      <c r="N28" s="3">
        <v>25</v>
      </c>
      <c r="O28" s="16">
        <f>IF(裝備!M28&gt;0,裝備!N28/裝備!M28,0)</f>
        <v>0</v>
      </c>
    </row>
    <row r="29" spans="1:15" x14ac:dyDescent="0.25">
      <c r="L29" s="16">
        <f>IF(裝備!G29&gt;0,1/裝備!G29,0)</f>
        <v>0</v>
      </c>
      <c r="M29" s="16">
        <f>IF(裝備!G29&gt;0,(裝備!E29 + 裝備!E29 * 裝備!F29) / 裝備!G29,0)</f>
        <v>0</v>
      </c>
      <c r="N29" s="3">
        <v>25</v>
      </c>
      <c r="O29" s="16">
        <f>IF(裝備!M29&gt;0,裝備!N29/裝備!M29,0)</f>
        <v>0</v>
      </c>
    </row>
    <row r="30" spans="1:15" x14ac:dyDescent="0.25">
      <c r="L30" s="16">
        <f>IF(裝備!G30&gt;0,1/裝備!G30,0)</f>
        <v>0</v>
      </c>
      <c r="M30" s="16">
        <f>IF(裝備!G30&gt;0,(裝備!E30 + 裝備!E30 * 裝備!F30) / 裝備!G30,0)</f>
        <v>0</v>
      </c>
      <c r="N30" s="3">
        <v>25</v>
      </c>
      <c r="O30" s="16">
        <f>IF(裝備!M30&gt;0,裝備!N30/裝備!M30,0)</f>
        <v>0</v>
      </c>
    </row>
    <row r="31" spans="1:15" x14ac:dyDescent="0.25">
      <c r="A31" s="22"/>
      <c r="I31" s="17"/>
      <c r="L31" s="16">
        <f>IF(裝備!G31&gt;0,1/裝備!G31,0)</f>
        <v>0</v>
      </c>
      <c r="M31" s="16">
        <f>IF(裝備!G31&gt;0,(裝備!E31 + 裝備!E31 * 裝備!F31) / 裝備!G31,0)</f>
        <v>0</v>
      </c>
      <c r="N31" s="3">
        <v>25</v>
      </c>
      <c r="O31" s="16">
        <f>IF(裝備!M31&gt;0,裝備!N31/裝備!M31,0)</f>
        <v>0</v>
      </c>
    </row>
    <row r="32" spans="1:15" x14ac:dyDescent="0.25">
      <c r="A32" s="22"/>
      <c r="I32" s="17"/>
      <c r="L32" s="16">
        <f>IF(裝備!G32&gt;0,1/裝備!G32,0)</f>
        <v>0</v>
      </c>
      <c r="M32" s="16">
        <f>IF(裝備!G32&gt;0,(裝備!E32 + 裝備!E32 * 裝備!F32) / 裝備!G32,0)</f>
        <v>0</v>
      </c>
      <c r="N32" s="3">
        <v>25</v>
      </c>
      <c r="O32" s="16">
        <f>IF(裝備!M32&gt;0,裝備!N32/裝備!M32,0)</f>
        <v>0</v>
      </c>
    </row>
    <row r="33" spans="1:15" x14ac:dyDescent="0.25">
      <c r="A33" s="22"/>
      <c r="I33" s="17"/>
      <c r="L33" s="16">
        <f>IF(裝備!G33&gt;0,1/裝備!G33,0)</f>
        <v>0</v>
      </c>
      <c r="M33" s="16">
        <f>IF(裝備!G33&gt;0,(裝備!E33 + 裝備!E33 * 裝備!F33) / 裝備!G33,0)</f>
        <v>0</v>
      </c>
      <c r="N33" s="3">
        <v>25</v>
      </c>
      <c r="O33" s="16">
        <f>IF(裝備!M33&gt;0,裝備!N33/裝備!M33,0)</f>
        <v>0</v>
      </c>
    </row>
    <row r="34" spans="1:15" x14ac:dyDescent="0.25">
      <c r="A34" s="22"/>
      <c r="I34" s="17"/>
      <c r="L34" s="16">
        <f>IF(裝備!G34&gt;0,1/裝備!G34,0)</f>
        <v>0</v>
      </c>
      <c r="M34" s="16">
        <f>IF(裝備!G34&gt;0,(裝備!E34 + 裝備!E34 * 裝備!F34) / 裝備!G34,0)</f>
        <v>0</v>
      </c>
      <c r="N34" s="3">
        <v>25</v>
      </c>
      <c r="O34" s="16">
        <f>IF(裝備!M34&gt;0,裝備!N34/裝備!M34,0)</f>
        <v>0</v>
      </c>
    </row>
    <row r="35" spans="1:15" x14ac:dyDescent="0.25">
      <c r="A35" s="22"/>
      <c r="I35" s="17"/>
      <c r="L35" s="16">
        <f>IF(裝備!G35&gt;0,1/裝備!G35,0)</f>
        <v>0</v>
      </c>
      <c r="M35" s="16">
        <f>IF(裝備!G35&gt;0,(裝備!E35 + 裝備!E35 * 裝備!F35) / 裝備!G35,0)</f>
        <v>0</v>
      </c>
      <c r="N35" s="3">
        <v>25</v>
      </c>
      <c r="O35" s="16">
        <f>IF(裝備!M35&gt;0,裝備!N35/裝備!M35,0)</f>
        <v>0</v>
      </c>
    </row>
    <row r="36" spans="1:15" x14ac:dyDescent="0.25">
      <c r="A36" s="22"/>
      <c r="I36" s="17"/>
      <c r="L36" s="16">
        <f>IF(裝備!G36&gt;0,1/裝備!G36,0)</f>
        <v>0</v>
      </c>
      <c r="M36" s="16">
        <f>IF(裝備!G36&gt;0,(裝備!E36 + 裝備!E36 * 裝備!F36) / 裝備!G36,0)</f>
        <v>0</v>
      </c>
      <c r="N36" s="3">
        <v>25</v>
      </c>
      <c r="O36" s="16">
        <f>IF(裝備!M36&gt;0,裝備!N36/裝備!M36,0)</f>
        <v>0</v>
      </c>
    </row>
    <row r="37" spans="1:15" x14ac:dyDescent="0.25">
      <c r="A37" s="22"/>
      <c r="I37" s="17"/>
      <c r="L37" s="16">
        <f>IF(裝備!G37&gt;0,1/裝備!G37,0)</f>
        <v>0</v>
      </c>
      <c r="M37" s="16">
        <f>IF(裝備!G37&gt;0,(裝備!E37 + 裝備!E37 * 裝備!F37) / 裝備!G37,0)</f>
        <v>0</v>
      </c>
      <c r="N37" s="3">
        <v>25</v>
      </c>
      <c r="O37" s="16">
        <f>IF(裝備!M37&gt;0,裝備!N37/裝備!M37,0)</f>
        <v>0</v>
      </c>
    </row>
    <row r="38" spans="1:15" x14ac:dyDescent="0.25">
      <c r="A38" s="22"/>
      <c r="I38" s="17"/>
      <c r="L38" s="16">
        <f>IF(裝備!G38&gt;0,1/裝備!G38,0)</f>
        <v>0</v>
      </c>
      <c r="M38" s="16">
        <f>IF(裝備!G38&gt;0,(裝備!E38 + 裝備!E38 * 裝備!F38) / 裝備!G38,0)</f>
        <v>0</v>
      </c>
      <c r="N38" s="3">
        <v>25</v>
      </c>
      <c r="O38" s="16">
        <f>IF(裝備!M38&gt;0,裝備!N38/裝備!M38,0)</f>
        <v>0</v>
      </c>
    </row>
    <row r="39" spans="1:15" x14ac:dyDescent="0.25">
      <c r="A39" s="22"/>
      <c r="I39" s="17"/>
      <c r="L39" s="16">
        <f>IF(裝備!G39&gt;0,1/裝備!G39,0)</f>
        <v>0</v>
      </c>
      <c r="M39" s="16">
        <f>IF(裝備!G39&gt;0,(裝備!E39 + 裝備!E39 * 裝備!F39) / 裝備!G39,0)</f>
        <v>0</v>
      </c>
      <c r="N39" s="3">
        <v>25</v>
      </c>
      <c r="O39" s="16">
        <f>IF(裝備!M39&gt;0,裝備!N39/裝備!M39,0)</f>
        <v>0</v>
      </c>
    </row>
    <row r="40" spans="1:15" x14ac:dyDescent="0.25">
      <c r="A40" s="22"/>
      <c r="I40" s="17"/>
      <c r="L40" s="16">
        <f>IF(裝備!G40&gt;0,1/裝備!G40,0)</f>
        <v>0</v>
      </c>
      <c r="M40" s="16">
        <f>IF(裝備!G40&gt;0,(裝備!E40 + 裝備!E40 * 裝備!F40) / 裝備!G40,0)</f>
        <v>0</v>
      </c>
      <c r="N40" s="3">
        <v>25</v>
      </c>
      <c r="O40" s="16">
        <f>IF(裝備!M40&gt;0,裝備!N40/裝備!M40,0)</f>
        <v>0</v>
      </c>
    </row>
    <row r="41" spans="1:15" x14ac:dyDescent="0.25">
      <c r="A41" s="22"/>
      <c r="I41" s="17"/>
      <c r="L41" s="16">
        <f>IF(裝備!G41&gt;0,1/裝備!G41,0)</f>
        <v>0</v>
      </c>
      <c r="M41" s="16">
        <f>IF(裝備!G41&gt;0,(裝備!E41 + 裝備!E41 * 裝備!F41) / 裝備!G41,0)</f>
        <v>0</v>
      </c>
      <c r="N41" s="3">
        <v>25</v>
      </c>
      <c r="O41" s="16">
        <f>IF(裝備!M41&gt;0,裝備!N41/裝備!M41,0)</f>
        <v>0</v>
      </c>
    </row>
    <row r="42" spans="1:15" x14ac:dyDescent="0.25">
      <c r="A42" s="22"/>
      <c r="I42" s="17"/>
      <c r="L42" s="16">
        <f>IF(裝備!G42&gt;0,1/裝備!G42,0)</f>
        <v>0</v>
      </c>
      <c r="M42" s="16">
        <f>IF(裝備!G42&gt;0,(裝備!E42 + 裝備!E42 * 裝備!F42) / 裝備!G42,0)</f>
        <v>0</v>
      </c>
      <c r="N42" s="3">
        <v>25</v>
      </c>
      <c r="O42" s="16">
        <f>IF(裝備!M42&gt;0,裝備!N42/裝備!M42,0)</f>
        <v>0</v>
      </c>
    </row>
    <row r="43" spans="1:15" x14ac:dyDescent="0.25">
      <c r="A43" s="22"/>
      <c r="I43" s="17"/>
      <c r="L43" s="16">
        <f>IF(裝備!G43&gt;0,1/裝備!G43,0)</f>
        <v>0</v>
      </c>
      <c r="M43" s="16">
        <f>IF(裝備!G43&gt;0,(裝備!E43 + 裝備!E43 * 裝備!F43) / 裝備!G43,0)</f>
        <v>0</v>
      </c>
      <c r="N43" s="3">
        <v>25</v>
      </c>
      <c r="O43" s="16">
        <f>IF(裝備!M43&gt;0,裝備!N43/裝備!M43,0)</f>
        <v>0</v>
      </c>
    </row>
    <row r="44" spans="1:15" x14ac:dyDescent="0.25">
      <c r="A44" s="22"/>
      <c r="I44" s="17"/>
      <c r="L44" s="16">
        <f>IF(裝備!G44&gt;0,1/裝備!G44,0)</f>
        <v>0</v>
      </c>
      <c r="M44" s="16">
        <f>IF(裝備!G44&gt;0,(裝備!E44 + 裝備!E44 * 裝備!F44) / 裝備!G44,0)</f>
        <v>0</v>
      </c>
      <c r="N44" s="3">
        <v>25</v>
      </c>
      <c r="O44" s="16">
        <f>IF(裝備!M44&gt;0,裝備!N44/裝備!M44,0)</f>
        <v>0</v>
      </c>
    </row>
    <row r="45" spans="1:15" x14ac:dyDescent="0.25">
      <c r="A45" s="22"/>
      <c r="I45" s="17"/>
      <c r="L45" s="16">
        <f>IF(裝備!G45&gt;0,1/裝備!G45,0)</f>
        <v>0</v>
      </c>
      <c r="M45" s="16">
        <f>IF(裝備!G45&gt;0,(裝備!E45 + 裝備!E45 * 裝備!F45) / 裝備!G45,0)</f>
        <v>0</v>
      </c>
      <c r="N45" s="3">
        <v>25</v>
      </c>
      <c r="O45" s="16">
        <f>IF(裝備!M45&gt;0,裝備!N45/裝備!M45,0)</f>
        <v>0</v>
      </c>
    </row>
    <row r="46" spans="1:15" x14ac:dyDescent="0.25">
      <c r="A46" s="22"/>
      <c r="I46" s="17"/>
      <c r="L46" s="16">
        <f>IF(裝備!G46&gt;0,1/裝備!G46,0)</f>
        <v>0</v>
      </c>
      <c r="M46" s="16">
        <f>IF(裝備!G46&gt;0,(裝備!E46 + 裝備!E46 * 裝備!F46) / 裝備!G46,0)</f>
        <v>0</v>
      </c>
      <c r="N46" s="3">
        <v>25</v>
      </c>
      <c r="O46" s="16">
        <f>IF(裝備!M46&gt;0,裝備!N46/裝備!M46,0)</f>
        <v>0</v>
      </c>
    </row>
    <row r="47" spans="1:15" x14ac:dyDescent="0.25">
      <c r="A47" s="22"/>
      <c r="I47" s="17"/>
      <c r="L47" s="16">
        <f>IF(裝備!G47&gt;0,1/裝備!G47,0)</f>
        <v>0</v>
      </c>
      <c r="M47" s="16">
        <f>IF(裝備!G47&gt;0,(裝備!E47 + 裝備!E47 * 裝備!F47) / 裝備!G47,0)</f>
        <v>0</v>
      </c>
      <c r="N47" s="3">
        <v>25</v>
      </c>
      <c r="O47" s="16">
        <f>IF(裝備!M47&gt;0,裝備!N47/裝備!M47,0)</f>
        <v>0</v>
      </c>
    </row>
    <row r="48" spans="1:15" x14ac:dyDescent="0.25">
      <c r="A48" s="22"/>
      <c r="I48" s="17"/>
      <c r="L48" s="16">
        <f>IF(裝備!G48&gt;0,1/裝備!G48,0)</f>
        <v>0</v>
      </c>
      <c r="M48" s="16">
        <f>IF(裝備!G48&gt;0,(裝備!E48 + 裝備!E48 * 裝備!F48) / 裝備!G48,0)</f>
        <v>0</v>
      </c>
      <c r="N48" s="3">
        <v>25</v>
      </c>
      <c r="O48" s="16">
        <f>IF(裝備!M48&gt;0,裝備!N48/裝備!M48,0)</f>
        <v>0</v>
      </c>
    </row>
    <row r="49" spans="1:15" x14ac:dyDescent="0.25">
      <c r="A49" s="22"/>
      <c r="I49" s="17"/>
      <c r="L49" s="16">
        <f>IF(裝備!G49&gt;0,1/裝備!G49,0)</f>
        <v>0</v>
      </c>
      <c r="M49" s="16">
        <f>IF(裝備!G49&gt;0,(裝備!E49 + 裝備!E49 * 裝備!F49) / 裝備!G49,0)</f>
        <v>0</v>
      </c>
      <c r="N49" s="3">
        <v>25</v>
      </c>
      <c r="O49" s="16">
        <f>IF(裝備!M49&gt;0,裝備!N49/裝備!M49,0)</f>
        <v>0</v>
      </c>
    </row>
    <row r="50" spans="1:15" x14ac:dyDescent="0.25">
      <c r="A50" s="22"/>
      <c r="I50" s="17"/>
      <c r="L50" s="16">
        <f>IF(裝備!G50&gt;0,1/裝備!G50,0)</f>
        <v>0</v>
      </c>
      <c r="M50" s="16">
        <f>IF(裝備!G50&gt;0,(裝備!E50 + 裝備!E50 * 裝備!F50) / 裝備!G50,0)</f>
        <v>0</v>
      </c>
      <c r="N50" s="3">
        <v>25</v>
      </c>
      <c r="O50" s="16">
        <f>IF(裝備!M50&gt;0,裝備!N50/裝備!M50,0)</f>
        <v>0</v>
      </c>
    </row>
    <row r="51" spans="1:15" x14ac:dyDescent="0.25">
      <c r="A51" s="22"/>
      <c r="I51" s="17"/>
      <c r="L51" s="16">
        <f>IF(裝備!G51&gt;0,1/裝備!G51,0)</f>
        <v>0</v>
      </c>
      <c r="M51" s="16">
        <f>IF(裝備!G51&gt;0,(裝備!E51 + 裝備!E51 * 裝備!F51) / 裝備!G51,0)</f>
        <v>0</v>
      </c>
      <c r="N51" s="3">
        <v>25</v>
      </c>
      <c r="O51" s="16">
        <f>IF(裝備!M51&gt;0,裝備!N51/裝備!M51,0)</f>
        <v>0</v>
      </c>
    </row>
    <row r="52" spans="1:15" x14ac:dyDescent="0.25">
      <c r="A52" s="22"/>
      <c r="I52" s="17"/>
      <c r="L52" s="16">
        <f>IF(裝備!G52&gt;0,1/裝備!G52,0)</f>
        <v>0</v>
      </c>
      <c r="M52" s="16">
        <f>IF(裝備!G52&gt;0,(裝備!E52 + 裝備!E52 * 裝備!F52) / 裝備!G52,0)</f>
        <v>0</v>
      </c>
      <c r="N52" s="3">
        <v>25</v>
      </c>
      <c r="O52" s="16">
        <f>IF(裝備!M52&gt;0,裝備!N52/裝備!M52,0)</f>
        <v>0</v>
      </c>
    </row>
    <row r="53" spans="1:15" x14ac:dyDescent="0.25">
      <c r="A53" s="22"/>
      <c r="I53" s="17"/>
      <c r="L53" s="16">
        <f>IF(裝備!G53&gt;0,1/裝備!G53,0)</f>
        <v>0</v>
      </c>
      <c r="M53" s="16">
        <f>IF(裝備!G53&gt;0,(裝備!E53 + 裝備!E53 * 裝備!F53) / 裝備!G53,0)</f>
        <v>0</v>
      </c>
      <c r="N53" s="3">
        <v>25</v>
      </c>
      <c r="O53" s="16">
        <f>IF(裝備!M53&gt;0,裝備!N53/裝備!M53,0)</f>
        <v>0</v>
      </c>
    </row>
    <row r="54" spans="1:15" x14ac:dyDescent="0.25">
      <c r="A54" s="22"/>
      <c r="I54" s="17"/>
      <c r="L54" s="16">
        <f>IF(裝備!G54&gt;0,1/裝備!G54,0)</f>
        <v>0</v>
      </c>
      <c r="M54" s="16">
        <f>IF(裝備!G54&gt;0,(裝備!E54 + 裝備!E54 * 裝備!F54) / 裝備!G54,0)</f>
        <v>0</v>
      </c>
      <c r="N54" s="3">
        <v>25</v>
      </c>
      <c r="O54" s="16">
        <f>IF(裝備!M54&gt;0,裝備!N54/裝備!M54,0)</f>
        <v>0</v>
      </c>
    </row>
    <row r="55" spans="1:15" x14ac:dyDescent="0.25">
      <c r="A55" s="22"/>
      <c r="I55" s="17"/>
      <c r="L55" s="16">
        <f>IF(裝備!G55&gt;0,1/裝備!G55,0)</f>
        <v>0</v>
      </c>
      <c r="M55" s="16">
        <f>IF(裝備!G55&gt;0,(裝備!E55 + 裝備!E55 * 裝備!F55) / 裝備!G55,0)</f>
        <v>0</v>
      </c>
      <c r="N55" s="3">
        <v>25</v>
      </c>
      <c r="O55" s="16">
        <f>IF(裝備!M55&gt;0,裝備!N55/裝備!M55,0)</f>
        <v>0</v>
      </c>
    </row>
    <row r="56" spans="1:15" x14ac:dyDescent="0.25">
      <c r="A56" s="22"/>
      <c r="I56" s="17"/>
      <c r="L56" s="16">
        <f>IF(裝備!G56&gt;0,1/裝備!G56,0)</f>
        <v>0</v>
      </c>
      <c r="M56" s="16">
        <f>IF(裝備!G56&gt;0,(裝備!E56 + 裝備!E56 * 裝備!F56) / 裝備!G56,0)</f>
        <v>0</v>
      </c>
      <c r="N56" s="3">
        <v>25</v>
      </c>
      <c r="O56" s="16">
        <f>IF(裝備!M56&gt;0,裝備!N56/裝備!M56,0)</f>
        <v>0</v>
      </c>
    </row>
    <row r="57" spans="1:15" x14ac:dyDescent="0.25">
      <c r="A57" s="22"/>
      <c r="I57" s="17"/>
      <c r="L57" s="16">
        <f>IF(裝備!G57&gt;0,1/裝備!G57,0)</f>
        <v>0</v>
      </c>
      <c r="M57" s="16">
        <f>IF(裝備!G57&gt;0,(裝備!E57 + 裝備!E57 * 裝備!F57) / 裝備!G57,0)</f>
        <v>0</v>
      </c>
      <c r="N57" s="3">
        <v>25</v>
      </c>
      <c r="O57" s="16">
        <f>IF(裝備!M57&gt;0,裝備!N57/裝備!M57,0)</f>
        <v>0</v>
      </c>
    </row>
    <row r="58" spans="1:15" x14ac:dyDescent="0.25">
      <c r="A58" s="22"/>
      <c r="I58" s="17"/>
      <c r="L58" s="16">
        <f>IF(裝備!G58&gt;0,1/裝備!G58,0)</f>
        <v>0</v>
      </c>
      <c r="M58" s="16">
        <f>IF(裝備!G58&gt;0,(裝備!E58 + 裝備!E58 * 裝備!F58) / 裝備!G58,0)</f>
        <v>0</v>
      </c>
      <c r="N58" s="3">
        <v>25</v>
      </c>
      <c r="O58" s="16">
        <f>IF(裝備!M58&gt;0,裝備!N58/裝備!M58,0)</f>
        <v>0</v>
      </c>
    </row>
    <row r="59" spans="1:15" x14ac:dyDescent="0.25">
      <c r="A59" s="22"/>
      <c r="I59" s="17"/>
      <c r="L59" s="16">
        <f>IF(裝備!G59&gt;0,1/裝備!G59,0)</f>
        <v>0</v>
      </c>
      <c r="M59" s="16">
        <f>IF(裝備!G59&gt;0,(裝備!E59 + 裝備!E59 * 裝備!F59) / 裝備!G59,0)</f>
        <v>0</v>
      </c>
      <c r="N59" s="3">
        <v>25</v>
      </c>
      <c r="O59" s="16">
        <f>IF(裝備!M59&gt;0,裝備!N59/裝備!M59,0)</f>
        <v>0</v>
      </c>
    </row>
    <row r="60" spans="1:15" x14ac:dyDescent="0.25">
      <c r="A60" s="22"/>
      <c r="I60" s="17"/>
      <c r="L60" s="16">
        <f>IF(裝備!G60&gt;0,1/裝備!G60,0)</f>
        <v>0</v>
      </c>
      <c r="M60" s="16">
        <f>IF(裝備!G60&gt;0,(裝備!E60 + 裝備!E60 * 裝備!F60) / 裝備!G60,0)</f>
        <v>0</v>
      </c>
      <c r="N60" s="3">
        <v>25</v>
      </c>
      <c r="O60" s="16">
        <f>IF(裝備!M60&gt;0,裝備!N60/裝備!M60,0)</f>
        <v>0</v>
      </c>
    </row>
    <row r="61" spans="1:15" x14ac:dyDescent="0.25">
      <c r="A61" s="22"/>
      <c r="I61" s="17"/>
      <c r="L61" s="16">
        <f>IF(裝備!G61&gt;0,1/裝備!G61,0)</f>
        <v>0</v>
      </c>
      <c r="M61" s="16">
        <f>IF(裝備!G61&gt;0,(裝備!E61 + 裝備!E61 * 裝備!F61) / 裝備!G61,0)</f>
        <v>0</v>
      </c>
      <c r="N61" s="3">
        <v>25</v>
      </c>
      <c r="O61" s="16">
        <f>IF(裝備!M61&gt;0,裝備!N61/裝備!M61,0)</f>
        <v>0</v>
      </c>
    </row>
    <row r="62" spans="1:15" x14ac:dyDescent="0.25">
      <c r="A62" s="22"/>
      <c r="I62" s="17"/>
      <c r="L62" s="16">
        <f>IF(裝備!G62&gt;0,1/裝備!G62,0)</f>
        <v>0</v>
      </c>
      <c r="M62" s="16">
        <f>IF(裝備!G62&gt;0,(裝備!E62 + 裝備!E62 * 裝備!F62) / 裝備!G62,0)</f>
        <v>0</v>
      </c>
      <c r="N62" s="3">
        <v>25</v>
      </c>
      <c r="O62" s="16">
        <f>IF(裝備!M62&gt;0,裝備!N62/裝備!M62,0)</f>
        <v>0</v>
      </c>
    </row>
    <row r="63" spans="1:15" x14ac:dyDescent="0.25">
      <c r="A63" s="22"/>
      <c r="I63" s="17"/>
      <c r="L63" s="16">
        <f>IF(裝備!G63&gt;0,1/裝備!G63,0)</f>
        <v>0</v>
      </c>
      <c r="M63" s="16">
        <f>IF(裝備!G63&gt;0,(裝備!E63 + 裝備!E63 * 裝備!F63) / 裝備!G63,0)</f>
        <v>0</v>
      </c>
      <c r="N63" s="3">
        <v>25</v>
      </c>
      <c r="O63" s="16">
        <f>IF(裝備!M63&gt;0,裝備!N63/裝備!M63,0)</f>
        <v>0</v>
      </c>
    </row>
    <row r="64" spans="1:15" x14ac:dyDescent="0.25">
      <c r="A64" s="22"/>
      <c r="I64" s="17"/>
      <c r="L64" s="16">
        <f>IF(裝備!G64&gt;0,1/裝備!G64,0)</f>
        <v>0</v>
      </c>
      <c r="M64" s="16">
        <f>IF(裝備!G64&gt;0,(裝備!E64 + 裝備!E64 * 裝備!F64) / 裝備!G64,0)</f>
        <v>0</v>
      </c>
      <c r="N64" s="3">
        <v>25</v>
      </c>
      <c r="O64" s="16">
        <f>IF(裝備!M64&gt;0,裝備!N64/裝備!M64,0)</f>
        <v>0</v>
      </c>
    </row>
    <row r="65" spans="1:15" x14ac:dyDescent="0.25">
      <c r="A65" s="22"/>
      <c r="I65" s="17"/>
      <c r="L65" s="16">
        <f>IF(裝備!G65&gt;0,1/裝備!G65,0)</f>
        <v>0</v>
      </c>
      <c r="M65" s="16">
        <f>IF(裝備!G65&gt;0,(裝備!E65 + 裝備!E65 * 裝備!F65) / 裝備!G65,0)</f>
        <v>0</v>
      </c>
      <c r="N65" s="3">
        <v>25</v>
      </c>
      <c r="O65" s="16">
        <f>IF(裝備!M65&gt;0,裝備!N65/裝備!M65,0)</f>
        <v>0</v>
      </c>
    </row>
    <row r="66" spans="1:15" x14ac:dyDescent="0.25">
      <c r="A66" s="22"/>
      <c r="I66" s="17"/>
      <c r="L66" s="16">
        <f>IF(裝備!G66&gt;0,1/裝備!G66,0)</f>
        <v>0</v>
      </c>
      <c r="M66" s="16">
        <f>IF(裝備!G66&gt;0,(裝備!E66 + 裝備!E66 * 裝備!F66) / 裝備!G66,0)</f>
        <v>0</v>
      </c>
      <c r="N66" s="3">
        <v>25</v>
      </c>
      <c r="O66" s="16">
        <f>IF(裝備!M66&gt;0,裝備!N66/裝備!M66,0)</f>
        <v>0</v>
      </c>
    </row>
    <row r="67" spans="1:15" x14ac:dyDescent="0.25">
      <c r="A67" s="22"/>
      <c r="I67" s="17"/>
      <c r="L67" s="16">
        <f>IF(裝備!G67&gt;0,1/裝備!G67,0)</f>
        <v>0</v>
      </c>
      <c r="M67" s="16">
        <f>IF(裝備!G67&gt;0,(裝備!E67 + 裝備!E67 * 裝備!F67) / 裝備!G67,0)</f>
        <v>0</v>
      </c>
      <c r="N67" s="3">
        <v>25</v>
      </c>
      <c r="O67" s="16">
        <f>IF(裝備!M67&gt;0,裝備!N67/裝備!M67,0)</f>
        <v>0</v>
      </c>
    </row>
    <row r="68" spans="1:15" x14ac:dyDescent="0.25">
      <c r="A68" s="22"/>
      <c r="I68" s="17"/>
      <c r="L68" s="16">
        <f>IF(裝備!G68&gt;0,1/裝備!G68,0)</f>
        <v>0</v>
      </c>
      <c r="M68" s="16">
        <f>IF(裝備!G68&gt;0,(裝備!E68 + 裝備!E68 * 裝備!F68) / 裝備!G68,0)</f>
        <v>0</v>
      </c>
      <c r="N68" s="3">
        <v>25</v>
      </c>
      <c r="O68" s="16">
        <f>IF(裝備!M68&gt;0,裝備!N68/裝備!M68,0)</f>
        <v>0</v>
      </c>
    </row>
    <row r="69" spans="1:15" x14ac:dyDescent="0.25">
      <c r="A69" s="22"/>
      <c r="I69" s="17"/>
      <c r="L69" s="16">
        <f>IF(裝備!G69&gt;0,1/裝備!G69,0)</f>
        <v>0</v>
      </c>
      <c r="M69" s="16">
        <f>IF(裝備!G69&gt;0,(裝備!E69 + 裝備!E69 * 裝備!F69) / 裝備!G69,0)</f>
        <v>0</v>
      </c>
      <c r="N69" s="3">
        <v>25</v>
      </c>
      <c r="O69" s="16">
        <f>IF(裝備!M69&gt;0,裝備!N69/裝備!M69,0)</f>
        <v>0</v>
      </c>
    </row>
    <row r="70" spans="1:15" x14ac:dyDescent="0.25">
      <c r="A70" s="22"/>
      <c r="I70" s="17"/>
      <c r="L70" s="16">
        <f>IF(裝備!G70&gt;0,1/裝備!G70,0)</f>
        <v>0</v>
      </c>
      <c r="M70" s="16">
        <f>IF(裝備!G70&gt;0,(裝備!E70 + 裝備!E70 * 裝備!F70) / 裝備!G70,0)</f>
        <v>0</v>
      </c>
      <c r="N70" s="3">
        <v>25</v>
      </c>
      <c r="O70" s="16">
        <f>IF(裝備!M70&gt;0,裝備!N70/裝備!M70,0)</f>
        <v>0</v>
      </c>
    </row>
    <row r="71" spans="1:15" x14ac:dyDescent="0.25">
      <c r="A71" s="22"/>
      <c r="I71" s="17"/>
      <c r="L71" s="16">
        <f>IF(裝備!G71&gt;0,1/裝備!G71,0)</f>
        <v>0</v>
      </c>
      <c r="M71" s="16">
        <f>IF(裝備!G71&gt;0,(裝備!E71 + 裝備!E71 * 裝備!F71) / 裝備!G71,0)</f>
        <v>0</v>
      </c>
      <c r="N71" s="3">
        <v>25</v>
      </c>
      <c r="O71" s="16">
        <f>IF(裝備!M71&gt;0,裝備!N71/裝備!M71,0)</f>
        <v>0</v>
      </c>
    </row>
    <row r="72" spans="1:15" x14ac:dyDescent="0.25">
      <c r="A72" s="22"/>
      <c r="I72" s="17"/>
      <c r="L72" s="16">
        <f>IF(裝備!G72&gt;0,1/裝備!G72,0)</f>
        <v>0</v>
      </c>
      <c r="M72" s="16">
        <f>IF(裝備!G72&gt;0,(裝備!E72 + 裝備!E72 * 裝備!F72) / 裝備!G72,0)</f>
        <v>0</v>
      </c>
      <c r="N72" s="3">
        <v>25</v>
      </c>
      <c r="O72" s="16">
        <f>IF(裝備!M72&gt;0,裝備!N72/裝備!M72,0)</f>
        <v>0</v>
      </c>
    </row>
    <row r="73" spans="1:15" x14ac:dyDescent="0.25">
      <c r="A73" s="22"/>
      <c r="I73" s="17"/>
      <c r="L73" s="16">
        <f>IF(裝備!G73&gt;0,1/裝備!G73,0)</f>
        <v>0</v>
      </c>
      <c r="M73" s="16">
        <f>IF(裝備!G73&gt;0,(裝備!E73 + 裝備!E73 * 裝備!F73) / 裝備!G73,0)</f>
        <v>0</v>
      </c>
      <c r="N73" s="3">
        <v>25</v>
      </c>
      <c r="O73" s="16">
        <f>IF(裝備!M73&gt;0,裝備!N73/裝備!M73,0)</f>
        <v>0</v>
      </c>
    </row>
    <row r="74" spans="1:15" x14ac:dyDescent="0.25">
      <c r="A74" s="22"/>
      <c r="I74" s="17"/>
      <c r="L74" s="16">
        <f>IF(裝備!G74&gt;0,1/裝備!G74,0)</f>
        <v>0</v>
      </c>
      <c r="M74" s="16">
        <f>IF(裝備!G74&gt;0,(裝備!E74 + 裝備!E74 * 裝備!F74) / 裝備!G74,0)</f>
        <v>0</v>
      </c>
      <c r="N74" s="3">
        <v>25</v>
      </c>
      <c r="O74" s="16">
        <f>IF(裝備!M74&gt;0,裝備!N74/裝備!M74,0)</f>
        <v>0</v>
      </c>
    </row>
    <row r="75" spans="1:15" x14ac:dyDescent="0.25">
      <c r="A75" s="22"/>
      <c r="I75" s="17"/>
      <c r="L75" s="16">
        <f>IF(裝備!G75&gt;0,1/裝備!G75,0)</f>
        <v>0</v>
      </c>
      <c r="M75" s="16">
        <f>IF(裝備!G75&gt;0,(裝備!E75 + 裝備!E75 * 裝備!F75) / 裝備!G75,0)</f>
        <v>0</v>
      </c>
      <c r="N75" s="3">
        <v>25</v>
      </c>
      <c r="O75" s="16">
        <f>IF(裝備!M75&gt;0,裝備!N75/裝備!M75,0)</f>
        <v>0</v>
      </c>
    </row>
    <row r="76" spans="1:15" x14ac:dyDescent="0.25">
      <c r="A76" s="22"/>
      <c r="I76" s="17"/>
      <c r="L76" s="16">
        <f>IF(裝備!G76&gt;0,1/裝備!G76,0)</f>
        <v>0</v>
      </c>
      <c r="M76" s="16">
        <f>IF(裝備!G76&gt;0,(裝備!E76 + 裝備!E76 * 裝備!F76) / 裝備!G76,0)</f>
        <v>0</v>
      </c>
      <c r="N76" s="3">
        <v>25</v>
      </c>
      <c r="O76" s="16">
        <f>IF(裝備!M76&gt;0,裝備!N76/裝備!M76,0)</f>
        <v>0</v>
      </c>
    </row>
    <row r="77" spans="1:15" x14ac:dyDescent="0.25">
      <c r="A77" s="22"/>
      <c r="I77" s="17"/>
      <c r="L77" s="16">
        <f>IF(裝備!G77&gt;0,1/裝備!G77,0)</f>
        <v>0</v>
      </c>
      <c r="M77" s="16">
        <f>IF(裝備!G77&gt;0,(裝備!E77 + 裝備!E77 * 裝備!F77) / 裝備!G77,0)</f>
        <v>0</v>
      </c>
      <c r="N77" s="3">
        <v>25</v>
      </c>
      <c r="O77" s="16">
        <f>IF(裝備!M77&gt;0,裝備!N77/裝備!M77,0)</f>
        <v>0</v>
      </c>
    </row>
    <row r="78" spans="1:15" x14ac:dyDescent="0.25">
      <c r="A78" s="22"/>
      <c r="I78" s="17"/>
      <c r="L78" s="16">
        <f>IF(裝備!G78&gt;0,1/裝備!G78,0)</f>
        <v>0</v>
      </c>
      <c r="M78" s="16">
        <f>IF(裝備!G78&gt;0,(裝備!E78 + 裝備!E78 * 裝備!F78) / 裝備!G78,0)</f>
        <v>0</v>
      </c>
      <c r="N78" s="3">
        <v>25</v>
      </c>
      <c r="O78" s="16">
        <f>IF(裝備!M78&gt;0,裝備!N78/裝備!M78,0)</f>
        <v>0</v>
      </c>
    </row>
    <row r="79" spans="1:15" x14ac:dyDescent="0.25">
      <c r="A79" s="22"/>
      <c r="I79" s="17"/>
      <c r="L79" s="16">
        <f>IF(裝備!G79&gt;0,1/裝備!G79,0)</f>
        <v>0</v>
      </c>
      <c r="M79" s="16">
        <f>IF(裝備!G79&gt;0,(裝備!E79 + 裝備!E79 * 裝備!F79) / 裝備!G79,0)</f>
        <v>0</v>
      </c>
      <c r="N79" s="3">
        <v>25</v>
      </c>
      <c r="O79" s="16">
        <f>IF(裝備!M79&gt;0,裝備!N79/裝備!M79,0)</f>
        <v>0</v>
      </c>
    </row>
    <row r="80" spans="1:15" x14ac:dyDescent="0.25">
      <c r="A80" s="22"/>
      <c r="I80" s="17"/>
      <c r="L80" s="16">
        <f>IF(裝備!G80&gt;0,1/裝備!G80,0)</f>
        <v>0</v>
      </c>
      <c r="M80" s="16">
        <f>IF(裝備!G80&gt;0,(裝備!E80 + 裝備!E80 * 裝備!F80) / 裝備!G80,0)</f>
        <v>0</v>
      </c>
      <c r="N80" s="3">
        <v>25</v>
      </c>
      <c r="O80" s="16">
        <f>IF(裝備!M80&gt;0,裝備!N80/裝備!M80,0)</f>
        <v>0</v>
      </c>
    </row>
    <row r="81" spans="1:15" x14ac:dyDescent="0.25">
      <c r="A81" s="22"/>
      <c r="I81" s="17"/>
      <c r="L81" s="16">
        <f>IF(裝備!G81&gt;0,1/裝備!G81,0)</f>
        <v>0</v>
      </c>
      <c r="M81" s="16">
        <f>IF(裝備!G81&gt;0,(裝備!E81 + 裝備!E81 * 裝備!F81) / 裝備!G81,0)</f>
        <v>0</v>
      </c>
      <c r="N81" s="3">
        <v>25</v>
      </c>
      <c r="O81" s="16">
        <f>IF(裝備!M81&gt;0,裝備!N81/裝備!M81,0)</f>
        <v>0</v>
      </c>
    </row>
    <row r="82" spans="1:15" x14ac:dyDescent="0.25">
      <c r="A82" s="22"/>
      <c r="I82" s="17"/>
      <c r="L82" s="16">
        <f>IF(裝備!G82&gt;0,1/裝備!G82,0)</f>
        <v>0</v>
      </c>
      <c r="M82" s="16">
        <f>IF(裝備!G82&gt;0,(裝備!E82 + 裝備!E82 * 裝備!F82) / 裝備!G82,0)</f>
        <v>0</v>
      </c>
      <c r="N82" s="3">
        <v>25</v>
      </c>
      <c r="O82" s="16">
        <f>IF(裝備!M82&gt;0,裝備!N82/裝備!M82,0)</f>
        <v>0</v>
      </c>
    </row>
    <row r="83" spans="1:15" x14ac:dyDescent="0.25">
      <c r="A83" s="22"/>
      <c r="I83" s="17"/>
      <c r="L83" s="16">
        <f>IF(裝備!G83&gt;0,1/裝備!G83,0)</f>
        <v>0</v>
      </c>
      <c r="M83" s="16">
        <f>IF(裝備!G83&gt;0,(裝備!E83 + 裝備!E83 * 裝備!F83) / 裝備!G83,0)</f>
        <v>0</v>
      </c>
      <c r="N83" s="3">
        <v>25</v>
      </c>
      <c r="O83" s="16">
        <f>IF(裝備!M83&gt;0,裝備!N83/裝備!M83,0)</f>
        <v>0</v>
      </c>
    </row>
    <row r="84" spans="1:15" x14ac:dyDescent="0.25">
      <c r="A84" s="22"/>
      <c r="I84" s="17"/>
      <c r="L84" s="16">
        <f>IF(裝備!G84&gt;0,1/裝備!G84,0)</f>
        <v>0</v>
      </c>
      <c r="M84" s="16">
        <f>IF(裝備!G84&gt;0,(裝備!E84 + 裝備!E84 * 裝備!F84) / 裝備!G84,0)</f>
        <v>0</v>
      </c>
      <c r="N84" s="3">
        <v>25</v>
      </c>
      <c r="O84" s="16">
        <f>IF(裝備!M84&gt;0,裝備!N84/裝備!M84,0)</f>
        <v>0</v>
      </c>
    </row>
    <row r="85" spans="1:15" x14ac:dyDescent="0.25">
      <c r="A85" s="22"/>
      <c r="I85" s="17"/>
      <c r="L85" s="16">
        <f>IF(裝備!G85&gt;0,1/裝備!G85,0)</f>
        <v>0</v>
      </c>
      <c r="M85" s="16">
        <f>IF(裝備!G85&gt;0,(裝備!E85 + 裝備!E85 * 裝備!F85) / 裝備!G85,0)</f>
        <v>0</v>
      </c>
      <c r="N85" s="3">
        <v>25</v>
      </c>
      <c r="O85" s="16">
        <f>IF(裝備!M85&gt;0,裝備!N85/裝備!M85,0)</f>
        <v>0</v>
      </c>
    </row>
    <row r="86" spans="1:15" x14ac:dyDescent="0.25">
      <c r="A86" s="22"/>
      <c r="I86" s="17"/>
      <c r="L86" s="16">
        <f>IF(裝備!G86&gt;0,1/裝備!G86,0)</f>
        <v>0</v>
      </c>
      <c r="M86" s="16">
        <f>IF(裝備!G86&gt;0,(裝備!E86 + 裝備!E86 * 裝備!F86) / 裝備!G86,0)</f>
        <v>0</v>
      </c>
      <c r="N86" s="3">
        <v>25</v>
      </c>
      <c r="O86" s="16">
        <f>IF(裝備!M86&gt;0,裝備!N86/裝備!M86,0)</f>
        <v>0</v>
      </c>
    </row>
    <row r="87" spans="1:15" x14ac:dyDescent="0.25">
      <c r="A87" s="22"/>
      <c r="I87" s="17"/>
      <c r="L87" s="16">
        <f>IF(裝備!G87&gt;0,1/裝備!G87,0)</f>
        <v>0</v>
      </c>
      <c r="M87" s="16">
        <f>IF(裝備!G87&gt;0,(裝備!E87 + 裝備!E87 * 裝備!F87) / 裝備!G87,0)</f>
        <v>0</v>
      </c>
      <c r="N87" s="3">
        <v>25</v>
      </c>
      <c r="O87" s="16">
        <f>IF(裝備!M87&gt;0,裝備!N87/裝備!M87,0)</f>
        <v>0</v>
      </c>
    </row>
    <row r="88" spans="1:15" x14ac:dyDescent="0.25">
      <c r="A88" s="22"/>
      <c r="I88" s="17"/>
      <c r="L88" s="16">
        <f>IF(裝備!G88&gt;0,1/裝備!G88,0)</f>
        <v>0</v>
      </c>
      <c r="M88" s="16">
        <f>IF(裝備!G88&gt;0,(裝備!E88 + 裝備!E88 * 裝備!F88) / 裝備!G88,0)</f>
        <v>0</v>
      </c>
      <c r="N88" s="3">
        <v>25</v>
      </c>
      <c r="O88" s="16">
        <f>IF(裝備!M88&gt;0,裝備!N88/裝備!M88,0)</f>
        <v>0</v>
      </c>
    </row>
    <row r="89" spans="1:15" x14ac:dyDescent="0.25">
      <c r="A89" s="22"/>
      <c r="I89" s="17"/>
      <c r="L89" s="16">
        <f>IF(裝備!G89&gt;0,1/裝備!G89,0)</f>
        <v>0</v>
      </c>
      <c r="M89" s="16">
        <f>IF(裝備!G89&gt;0,(裝備!E89 + 裝備!E89 * 裝備!F89) / 裝備!G89,0)</f>
        <v>0</v>
      </c>
      <c r="N89" s="3">
        <v>25</v>
      </c>
      <c r="O89" s="16">
        <f>IF(裝備!M89&gt;0,裝備!N89/裝備!M89,0)</f>
        <v>0</v>
      </c>
    </row>
    <row r="90" spans="1:15" x14ac:dyDescent="0.25">
      <c r="A90" s="22"/>
      <c r="I90" s="17"/>
      <c r="L90" s="16">
        <f>IF(裝備!G90&gt;0,1/裝備!G90,0)</f>
        <v>0</v>
      </c>
      <c r="M90" s="16">
        <f>IF(裝備!G90&gt;0,(裝備!E90 + 裝備!E90 * 裝備!F90) / 裝備!G90,0)</f>
        <v>0</v>
      </c>
      <c r="N90" s="3">
        <v>25</v>
      </c>
      <c r="O90" s="16">
        <f>IF(裝備!M90&gt;0,裝備!N90/裝備!M90,0)</f>
        <v>0</v>
      </c>
    </row>
    <row r="91" spans="1:15" x14ac:dyDescent="0.25">
      <c r="A91" s="22"/>
      <c r="I91" s="17"/>
      <c r="L91" s="16">
        <f>IF(裝備!G91&gt;0,1/裝備!G91,0)</f>
        <v>0</v>
      </c>
      <c r="M91" s="16">
        <f>IF(裝備!G91&gt;0,(裝備!E91 + 裝備!E91 * 裝備!F91) / 裝備!G91,0)</f>
        <v>0</v>
      </c>
      <c r="N91" s="3">
        <v>25</v>
      </c>
      <c r="O91" s="16">
        <f>IF(裝備!M91&gt;0,裝備!N91/裝備!M91,0)</f>
        <v>0</v>
      </c>
    </row>
    <row r="92" spans="1:15" x14ac:dyDescent="0.25">
      <c r="A92" s="22"/>
      <c r="I92" s="17"/>
      <c r="L92" s="16">
        <f>IF(裝備!G92&gt;0,1/裝備!G92,0)</f>
        <v>0</v>
      </c>
      <c r="M92" s="16">
        <f>IF(裝備!G92&gt;0,(裝備!E92 + 裝備!E92 * 裝備!F92) / 裝備!G92,0)</f>
        <v>0</v>
      </c>
      <c r="N92" s="3">
        <v>25</v>
      </c>
      <c r="O92" s="16">
        <f>IF(裝備!M92&gt;0,裝備!N92/裝備!M92,0)</f>
        <v>0</v>
      </c>
    </row>
    <row r="93" spans="1:15" x14ac:dyDescent="0.25">
      <c r="A93" s="22"/>
      <c r="I93" s="17"/>
      <c r="L93" s="16">
        <f>IF(裝備!G93&gt;0,1/裝備!G93,0)</f>
        <v>0</v>
      </c>
      <c r="M93" s="16">
        <f>IF(裝備!G93&gt;0,(裝備!E93 + 裝備!E93 * 裝備!F93) / 裝備!G93,0)</f>
        <v>0</v>
      </c>
      <c r="N93" s="3">
        <v>25</v>
      </c>
      <c r="O93" s="16">
        <f>IF(裝備!M93&gt;0,裝備!N93/裝備!M93,0)</f>
        <v>0</v>
      </c>
    </row>
    <row r="94" spans="1:15" x14ac:dyDescent="0.25">
      <c r="A94" s="22"/>
      <c r="I94" s="17"/>
      <c r="L94" s="16">
        <f>IF(裝備!G94&gt;0,1/裝備!G94,0)</f>
        <v>0</v>
      </c>
      <c r="M94" s="16">
        <f>IF(裝備!G94&gt;0,(裝備!E94 + 裝備!E94 * 裝備!F94) / 裝備!G94,0)</f>
        <v>0</v>
      </c>
      <c r="N94" s="3">
        <v>25</v>
      </c>
      <c r="O94" s="16">
        <f>IF(裝備!M94&gt;0,裝備!N94/裝備!M94,0)</f>
        <v>0</v>
      </c>
    </row>
    <row r="95" spans="1:15" x14ac:dyDescent="0.25">
      <c r="A95" s="22"/>
      <c r="I95" s="17"/>
      <c r="L95" s="16">
        <f>IF(裝備!G95&gt;0,1/裝備!G95,0)</f>
        <v>0</v>
      </c>
      <c r="M95" s="16">
        <f>IF(裝備!G95&gt;0,(裝備!E95 + 裝備!E95 * 裝備!F95) / 裝備!G95,0)</f>
        <v>0</v>
      </c>
      <c r="N95" s="3">
        <v>25</v>
      </c>
      <c r="O95" s="16">
        <f>IF(裝備!M95&gt;0,裝備!N95/裝備!M95,0)</f>
        <v>0</v>
      </c>
    </row>
    <row r="96" spans="1:15" x14ac:dyDescent="0.25">
      <c r="A96" s="22"/>
      <c r="I96" s="17"/>
      <c r="L96" s="16">
        <f>IF(裝備!G96&gt;0,1/裝備!G96,0)</f>
        <v>0</v>
      </c>
      <c r="M96" s="16">
        <f>IF(裝備!G96&gt;0,(裝備!E96 + 裝備!E96 * 裝備!F96) / 裝備!G96,0)</f>
        <v>0</v>
      </c>
      <c r="N96" s="3">
        <v>25</v>
      </c>
      <c r="O96" s="16">
        <f>IF(裝備!M96&gt;0,裝備!N96/裝備!M96,0)</f>
        <v>0</v>
      </c>
    </row>
    <row r="97" spans="1:15" x14ac:dyDescent="0.25">
      <c r="A97" s="22"/>
      <c r="I97" s="17"/>
      <c r="L97" s="16">
        <f>IF(裝備!G97&gt;0,1/裝備!G97,0)</f>
        <v>0</v>
      </c>
      <c r="M97" s="16">
        <f>IF(裝備!G97&gt;0,(裝備!E97 + 裝備!E97 * 裝備!F97) / 裝備!G97,0)</f>
        <v>0</v>
      </c>
      <c r="N97" s="3">
        <v>25</v>
      </c>
      <c r="O97" s="16">
        <f>IF(裝備!M97&gt;0,裝備!N97/裝備!M97,0)</f>
        <v>0</v>
      </c>
    </row>
    <row r="98" spans="1:15" x14ac:dyDescent="0.25">
      <c r="A98" s="22"/>
      <c r="I98" s="17"/>
      <c r="L98" s="16">
        <f>IF(裝備!G98&gt;0,1/裝備!G98,0)</f>
        <v>0</v>
      </c>
      <c r="M98" s="16">
        <f>IF(裝備!G98&gt;0,(裝備!E98 + 裝備!E98 * 裝備!F98) / 裝備!G98,0)</f>
        <v>0</v>
      </c>
      <c r="N98" s="3">
        <v>25</v>
      </c>
      <c r="O98" s="16">
        <f>IF(裝備!M98&gt;0,裝備!N98/裝備!M98,0)</f>
        <v>0</v>
      </c>
    </row>
    <row r="99" spans="1:15" x14ac:dyDescent="0.25">
      <c r="A99" s="22"/>
      <c r="I99" s="17"/>
      <c r="L99" s="16">
        <f>IF(裝備!G99&gt;0,1/裝備!G99,0)</f>
        <v>0</v>
      </c>
      <c r="M99" s="16">
        <f>IF(裝備!G99&gt;0,(裝備!E99 + 裝備!E99 * 裝備!F99) / 裝備!G99,0)</f>
        <v>0</v>
      </c>
      <c r="N99" s="3">
        <v>25</v>
      </c>
      <c r="O99" s="16">
        <f>IF(裝備!M99&gt;0,裝備!N99/裝備!M99,0)</f>
        <v>0</v>
      </c>
    </row>
    <row r="100" spans="1:15" x14ac:dyDescent="0.25">
      <c r="A100" s="19"/>
      <c r="B100" s="23"/>
      <c r="C100" s="23"/>
      <c r="D100" s="23"/>
      <c r="E100" s="23"/>
      <c r="F100" s="23"/>
      <c r="G100" s="23"/>
      <c r="H100" s="23"/>
      <c r="I100" s="18"/>
      <c r="L100" s="16">
        <f>IF(裝備!G100&gt;0,1/裝備!G100,0)</f>
        <v>0</v>
      </c>
      <c r="M100" s="16">
        <f>IF(裝備!G100&gt;0,(裝備!E100 + 裝備!E100 * 裝備!F100) / 裝備!G100,0)</f>
        <v>0</v>
      </c>
      <c r="N100" s="3">
        <v>25</v>
      </c>
      <c r="O100" s="16">
        <f>IF(裝備!M100&gt;0,裝備!N100/裝備!M100,0)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>
          <x14:formula1>
            <xm:f>選項清單!$E$2:$E$5</xm:f>
          </x14:formula1>
          <xm:sqref>I1:I1048576</xm:sqref>
        </x14:dataValidation>
        <x14:dataValidation type="list" allowBlank="1" showInputMessage="1" showErrorMessage="1">
          <x14:formula1>
            <xm:f>選項清單!$C$3:$C$4</xm:f>
          </x14:formula1>
          <xm:sqref>H1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H1:H1048576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I100"/>
  <sheetViews>
    <sheetView tabSelected="1" workbookViewId="0">
      <pane ySplit="1" topLeftCell="A2" activePane="bottomLeft" state="frozen"/>
      <selection pane="bottomLeft" activeCell="C14" sqref="C14"/>
    </sheetView>
  </sheetViews>
  <sheetFormatPr defaultRowHeight="16.5" x14ac:dyDescent="0.25"/>
  <cols>
    <col min="1" max="7" width="15.625" style="3" customWidth="1"/>
    <col min="8" max="8" width="3.125" style="3" customWidth="1"/>
    <col min="9" max="9" width="40.625" style="21" customWidth="1"/>
    <col min="10" max="16384" width="9" style="3"/>
  </cols>
  <sheetData>
    <row r="1" spans="1:9" s="2" customFormat="1" x14ac:dyDescent="0.25">
      <c r="A1" s="2" t="s">
        <v>30</v>
      </c>
      <c r="B1" s="2" t="s">
        <v>31</v>
      </c>
      <c r="C1" s="2" t="s">
        <v>32</v>
      </c>
      <c r="D1" s="2" t="s">
        <v>110</v>
      </c>
      <c r="E1" s="2" t="s">
        <v>37</v>
      </c>
      <c r="F1" s="2" t="s">
        <v>33</v>
      </c>
      <c r="G1" s="31" t="s">
        <v>127</v>
      </c>
      <c r="I1" s="20" t="s">
        <v>34</v>
      </c>
    </row>
    <row r="2" spans="1:9" x14ac:dyDescent="0.25">
      <c r="A2" s="3">
        <v>1</v>
      </c>
      <c r="B2" s="3">
        <v>2001</v>
      </c>
      <c r="C2" s="3" t="s">
        <v>161</v>
      </c>
      <c r="D2" s="3">
        <v>3</v>
      </c>
      <c r="E2" s="3">
        <v>1</v>
      </c>
      <c r="F2" s="3">
        <v>4</v>
      </c>
      <c r="G2" s="30">
        <v>3001</v>
      </c>
      <c r="I2" s="21" t="s">
        <v>88</v>
      </c>
    </row>
    <row r="3" spans="1:9" x14ac:dyDescent="0.25">
      <c r="A3" s="3">
        <v>2</v>
      </c>
      <c r="B3" s="3">
        <v>2002</v>
      </c>
      <c r="C3" s="3" t="s">
        <v>161</v>
      </c>
      <c r="D3" s="3">
        <v>3</v>
      </c>
      <c r="E3" s="3">
        <v>1</v>
      </c>
      <c r="F3" s="3">
        <v>8</v>
      </c>
      <c r="G3" s="30">
        <v>3002</v>
      </c>
      <c r="I3" s="21" t="s">
        <v>89</v>
      </c>
    </row>
    <row r="4" spans="1:9" x14ac:dyDescent="0.25">
      <c r="A4" s="3">
        <v>3</v>
      </c>
      <c r="B4" s="3">
        <v>2003</v>
      </c>
      <c r="C4" s="3" t="s">
        <v>161</v>
      </c>
      <c r="D4" s="3">
        <v>3</v>
      </c>
      <c r="E4" s="3">
        <v>2</v>
      </c>
      <c r="F4" s="3">
        <v>-4</v>
      </c>
      <c r="G4" s="30">
        <v>3003</v>
      </c>
      <c r="I4" s="21" t="s">
        <v>90</v>
      </c>
    </row>
    <row r="5" spans="1:9" x14ac:dyDescent="0.25">
      <c r="A5" s="3">
        <v>4</v>
      </c>
      <c r="B5" s="3">
        <v>2004</v>
      </c>
      <c r="C5" s="3" t="s">
        <v>161</v>
      </c>
      <c r="D5" s="3">
        <v>3</v>
      </c>
      <c r="E5" s="3">
        <v>2</v>
      </c>
      <c r="F5" s="3">
        <v>-8</v>
      </c>
      <c r="G5" s="30">
        <v>3004</v>
      </c>
      <c r="I5" s="21" t="s">
        <v>91</v>
      </c>
    </row>
    <row r="6" spans="1:9" x14ac:dyDescent="0.25">
      <c r="A6" s="3">
        <v>5</v>
      </c>
      <c r="B6" s="3">
        <v>2005</v>
      </c>
      <c r="C6" s="3" t="s">
        <v>163</v>
      </c>
      <c r="D6" s="3">
        <v>3</v>
      </c>
      <c r="E6" s="3">
        <v>3</v>
      </c>
      <c r="F6" s="3">
        <v>2</v>
      </c>
      <c r="G6" s="30">
        <v>3005</v>
      </c>
      <c r="I6" s="21" t="s">
        <v>92</v>
      </c>
    </row>
    <row r="7" spans="1:9" x14ac:dyDescent="0.25">
      <c r="A7" s="3">
        <v>6</v>
      </c>
      <c r="B7" s="3">
        <v>2006</v>
      </c>
      <c r="C7" s="3" t="s">
        <v>163</v>
      </c>
      <c r="D7" s="3">
        <v>3</v>
      </c>
      <c r="E7" s="3">
        <v>3</v>
      </c>
      <c r="F7" s="3">
        <v>3</v>
      </c>
      <c r="G7" s="30">
        <v>3006</v>
      </c>
      <c r="I7" s="21" t="s">
        <v>93</v>
      </c>
    </row>
    <row r="8" spans="1:9" x14ac:dyDescent="0.25">
      <c r="A8" s="3">
        <v>7</v>
      </c>
      <c r="B8" s="3">
        <v>2007</v>
      </c>
      <c r="C8" s="3" t="s">
        <v>163</v>
      </c>
      <c r="D8" s="3">
        <v>3</v>
      </c>
      <c r="E8" s="3">
        <v>3</v>
      </c>
      <c r="F8" s="3">
        <v>-2</v>
      </c>
      <c r="G8" s="30">
        <v>3007</v>
      </c>
      <c r="I8" s="21" t="s">
        <v>94</v>
      </c>
    </row>
    <row r="9" spans="1:9" x14ac:dyDescent="0.25">
      <c r="A9" s="3">
        <v>8</v>
      </c>
      <c r="B9" s="3">
        <v>2008</v>
      </c>
      <c r="C9" s="3" t="s">
        <v>163</v>
      </c>
      <c r="D9" s="3">
        <v>3</v>
      </c>
      <c r="E9" s="3">
        <v>3</v>
      </c>
      <c r="F9" s="3">
        <v>-3</v>
      </c>
      <c r="G9" s="30">
        <v>3008</v>
      </c>
      <c r="I9" s="21" t="s">
        <v>95</v>
      </c>
    </row>
    <row r="10" spans="1:9" x14ac:dyDescent="0.25">
      <c r="A10" s="3">
        <v>9</v>
      </c>
      <c r="B10" s="3">
        <v>2009</v>
      </c>
      <c r="C10" s="3" t="s">
        <v>165</v>
      </c>
      <c r="D10" s="3">
        <v>3</v>
      </c>
      <c r="E10" s="3">
        <v>5</v>
      </c>
      <c r="F10" s="17">
        <v>-0.2</v>
      </c>
      <c r="G10" s="30">
        <v>3011</v>
      </c>
      <c r="I10" s="21" t="s">
        <v>96</v>
      </c>
    </row>
    <row r="11" spans="1:9" x14ac:dyDescent="0.25">
      <c r="A11" s="3">
        <v>10</v>
      </c>
      <c r="B11" s="3">
        <v>2010</v>
      </c>
      <c r="C11" s="3" t="s">
        <v>165</v>
      </c>
      <c r="D11" s="3">
        <v>3</v>
      </c>
      <c r="E11" s="3">
        <v>5</v>
      </c>
      <c r="F11" s="17">
        <v>-0.1</v>
      </c>
      <c r="G11" s="30">
        <v>3012</v>
      </c>
      <c r="I11" s="21" t="s">
        <v>97</v>
      </c>
    </row>
    <row r="12" spans="1:9" x14ac:dyDescent="0.25">
      <c r="A12" s="3">
        <v>11</v>
      </c>
      <c r="B12" s="3">
        <v>2011</v>
      </c>
      <c r="C12" s="3" t="s">
        <v>165</v>
      </c>
      <c r="D12" s="3">
        <v>3</v>
      </c>
      <c r="E12" s="3">
        <v>5</v>
      </c>
      <c r="F12" s="17">
        <v>0.1</v>
      </c>
      <c r="G12" s="30">
        <v>3013</v>
      </c>
      <c r="I12" s="21" t="s">
        <v>98</v>
      </c>
    </row>
    <row r="13" spans="1:9" x14ac:dyDescent="0.25">
      <c r="A13" s="3">
        <v>12</v>
      </c>
      <c r="B13" s="3">
        <v>2012</v>
      </c>
      <c r="C13" s="3" t="s">
        <v>165</v>
      </c>
      <c r="D13" s="3">
        <v>3</v>
      </c>
      <c r="E13" s="3">
        <v>5</v>
      </c>
      <c r="F13" s="17">
        <v>0.2</v>
      </c>
      <c r="G13" s="30">
        <v>3014</v>
      </c>
      <c r="I13" s="21" t="s">
        <v>99</v>
      </c>
    </row>
    <row r="14" spans="1:9" x14ac:dyDescent="0.25">
      <c r="A14" s="3">
        <v>13</v>
      </c>
      <c r="B14" s="3">
        <v>2013</v>
      </c>
      <c r="C14" s="3" t="s">
        <v>167</v>
      </c>
      <c r="D14" s="3">
        <v>3</v>
      </c>
      <c r="E14" s="3">
        <v>5</v>
      </c>
      <c r="F14" s="17">
        <v>1</v>
      </c>
      <c r="G14" s="30">
        <v>3015</v>
      </c>
      <c r="I14" s="21" t="s">
        <v>100</v>
      </c>
    </row>
    <row r="15" spans="1:9" x14ac:dyDescent="0.25">
      <c r="F15" s="17"/>
      <c r="G15" s="30"/>
    </row>
    <row r="16" spans="1:9" x14ac:dyDescent="0.25">
      <c r="F16" s="17"/>
      <c r="G16" s="30"/>
    </row>
    <row r="24" spans="6:6" x14ac:dyDescent="0.25">
      <c r="F24" s="17"/>
    </row>
    <row r="25" spans="6:6" x14ac:dyDescent="0.25">
      <c r="F25" s="17"/>
    </row>
    <row r="26" spans="6:6" x14ac:dyDescent="0.25">
      <c r="F26" s="17"/>
    </row>
    <row r="27" spans="6:6" x14ac:dyDescent="0.25">
      <c r="F27" s="17"/>
    </row>
    <row r="28" spans="6:6" x14ac:dyDescent="0.25">
      <c r="F28" s="17"/>
    </row>
    <row r="29" spans="6:6" x14ac:dyDescent="0.25">
      <c r="F29" s="17"/>
    </row>
    <row r="30" spans="6:6" x14ac:dyDescent="0.25">
      <c r="F30" s="17"/>
    </row>
    <row r="31" spans="6:6" x14ac:dyDescent="0.25">
      <c r="F31" s="17"/>
    </row>
    <row r="32" spans="6:6" x14ac:dyDescent="0.25">
      <c r="F32" s="17"/>
    </row>
    <row r="33" spans="1:6" x14ac:dyDescent="0.25">
      <c r="F33" s="17"/>
    </row>
    <row r="34" spans="1:6" x14ac:dyDescent="0.25">
      <c r="A34" s="22"/>
      <c r="F34" s="17"/>
    </row>
    <row r="35" spans="1:6" x14ac:dyDescent="0.25">
      <c r="A35" s="22"/>
      <c r="F35" s="17"/>
    </row>
    <row r="36" spans="1:6" x14ac:dyDescent="0.25">
      <c r="A36" s="22"/>
      <c r="F36" s="17"/>
    </row>
    <row r="37" spans="1:6" x14ac:dyDescent="0.25">
      <c r="A37" s="22"/>
      <c r="F37" s="17"/>
    </row>
    <row r="38" spans="1:6" x14ac:dyDescent="0.25">
      <c r="A38" s="22"/>
      <c r="F38" s="17"/>
    </row>
    <row r="39" spans="1:6" x14ac:dyDescent="0.25">
      <c r="A39" s="22"/>
      <c r="F39" s="17"/>
    </row>
    <row r="40" spans="1:6" x14ac:dyDescent="0.25">
      <c r="A40" s="22"/>
      <c r="F40" s="17"/>
    </row>
    <row r="41" spans="1:6" x14ac:dyDescent="0.25">
      <c r="A41" s="22"/>
      <c r="F41" s="17"/>
    </row>
    <row r="42" spans="1:6" x14ac:dyDescent="0.25">
      <c r="A42" s="22"/>
      <c r="F42" s="17"/>
    </row>
    <row r="43" spans="1:6" x14ac:dyDescent="0.25">
      <c r="A43" s="22"/>
      <c r="F43" s="17"/>
    </row>
    <row r="44" spans="1:6" x14ac:dyDescent="0.25">
      <c r="A44" s="22"/>
      <c r="F44" s="17"/>
    </row>
    <row r="45" spans="1:6" x14ac:dyDescent="0.25">
      <c r="A45" s="22"/>
      <c r="F45" s="17"/>
    </row>
    <row r="46" spans="1:6" x14ac:dyDescent="0.25">
      <c r="A46" s="22"/>
      <c r="F46" s="17"/>
    </row>
    <row r="47" spans="1:6" x14ac:dyDescent="0.25">
      <c r="A47" s="22"/>
      <c r="F47" s="17"/>
    </row>
    <row r="48" spans="1:6" x14ac:dyDescent="0.25">
      <c r="A48" s="22"/>
      <c r="F48" s="17"/>
    </row>
    <row r="49" spans="1:6" x14ac:dyDescent="0.25">
      <c r="A49" s="22"/>
      <c r="F49" s="17"/>
    </row>
    <row r="50" spans="1:6" x14ac:dyDescent="0.25">
      <c r="A50" s="22"/>
      <c r="F50" s="17"/>
    </row>
    <row r="51" spans="1:6" x14ac:dyDescent="0.25">
      <c r="A51" s="22"/>
      <c r="F51" s="17"/>
    </row>
    <row r="52" spans="1:6" x14ac:dyDescent="0.25">
      <c r="A52" s="22"/>
      <c r="F52" s="17"/>
    </row>
    <row r="53" spans="1:6" x14ac:dyDescent="0.25">
      <c r="A53" s="22"/>
      <c r="F53" s="17"/>
    </row>
    <row r="54" spans="1:6" x14ac:dyDescent="0.25">
      <c r="A54" s="22"/>
      <c r="F54" s="17"/>
    </row>
    <row r="55" spans="1:6" x14ac:dyDescent="0.25">
      <c r="A55" s="22"/>
      <c r="F55" s="17"/>
    </row>
    <row r="56" spans="1:6" x14ac:dyDescent="0.25">
      <c r="A56" s="22"/>
      <c r="F56" s="17"/>
    </row>
    <row r="57" spans="1:6" x14ac:dyDescent="0.25">
      <c r="A57" s="22"/>
      <c r="F57" s="17"/>
    </row>
    <row r="58" spans="1:6" x14ac:dyDescent="0.25">
      <c r="A58" s="22"/>
      <c r="F58" s="17"/>
    </row>
    <row r="59" spans="1:6" x14ac:dyDescent="0.25">
      <c r="A59" s="22"/>
      <c r="F59" s="17"/>
    </row>
    <row r="60" spans="1:6" x14ac:dyDescent="0.25">
      <c r="A60" s="22"/>
      <c r="F60" s="17"/>
    </row>
    <row r="61" spans="1:6" x14ac:dyDescent="0.25">
      <c r="A61" s="22"/>
      <c r="F61" s="17"/>
    </row>
    <row r="62" spans="1:6" x14ac:dyDescent="0.25">
      <c r="A62" s="22"/>
      <c r="F62" s="17"/>
    </row>
    <row r="63" spans="1:6" x14ac:dyDescent="0.25">
      <c r="A63" s="22"/>
      <c r="F63" s="17"/>
    </row>
    <row r="64" spans="1:6" x14ac:dyDescent="0.25">
      <c r="A64" s="22"/>
      <c r="F64" s="17"/>
    </row>
    <row r="65" spans="1:6" x14ac:dyDescent="0.25">
      <c r="A65" s="22"/>
      <c r="F65" s="17"/>
    </row>
    <row r="66" spans="1:6" x14ac:dyDescent="0.25">
      <c r="A66" s="22"/>
      <c r="F66" s="17"/>
    </row>
    <row r="67" spans="1:6" x14ac:dyDescent="0.25">
      <c r="A67" s="22"/>
      <c r="F67" s="17"/>
    </row>
    <row r="68" spans="1:6" x14ac:dyDescent="0.25">
      <c r="A68" s="22"/>
      <c r="F68" s="17"/>
    </row>
    <row r="69" spans="1:6" x14ac:dyDescent="0.25">
      <c r="A69" s="22"/>
      <c r="F69" s="17"/>
    </row>
    <row r="70" spans="1:6" x14ac:dyDescent="0.25">
      <c r="A70" s="22"/>
      <c r="F70" s="17"/>
    </row>
    <row r="71" spans="1:6" x14ac:dyDescent="0.25">
      <c r="A71" s="22"/>
      <c r="F71" s="17"/>
    </row>
    <row r="72" spans="1:6" x14ac:dyDescent="0.25">
      <c r="A72" s="22"/>
      <c r="F72" s="17"/>
    </row>
    <row r="73" spans="1:6" x14ac:dyDescent="0.25">
      <c r="A73" s="22"/>
      <c r="F73" s="17"/>
    </row>
    <row r="74" spans="1:6" x14ac:dyDescent="0.25">
      <c r="A74" s="22"/>
      <c r="F74" s="17"/>
    </row>
    <row r="75" spans="1:6" x14ac:dyDescent="0.25">
      <c r="A75" s="22"/>
      <c r="F75" s="17"/>
    </row>
    <row r="76" spans="1:6" x14ac:dyDescent="0.25">
      <c r="A76" s="22"/>
      <c r="F76" s="17"/>
    </row>
    <row r="77" spans="1:6" x14ac:dyDescent="0.25">
      <c r="A77" s="22"/>
      <c r="F77" s="17"/>
    </row>
    <row r="78" spans="1:6" x14ac:dyDescent="0.25">
      <c r="A78" s="22"/>
      <c r="F78" s="17"/>
    </row>
    <row r="79" spans="1:6" x14ac:dyDescent="0.25">
      <c r="A79" s="22"/>
      <c r="F79" s="17"/>
    </row>
    <row r="80" spans="1:6" x14ac:dyDescent="0.25">
      <c r="A80" s="22"/>
      <c r="F80" s="17"/>
    </row>
    <row r="81" spans="1:6" x14ac:dyDescent="0.25">
      <c r="A81" s="22"/>
      <c r="F81" s="17"/>
    </row>
    <row r="82" spans="1:6" x14ac:dyDescent="0.25">
      <c r="A82" s="22"/>
      <c r="F82" s="17"/>
    </row>
    <row r="83" spans="1:6" x14ac:dyDescent="0.25">
      <c r="A83" s="22"/>
      <c r="F83" s="17"/>
    </row>
    <row r="84" spans="1:6" x14ac:dyDescent="0.25">
      <c r="A84" s="22"/>
      <c r="F84" s="17"/>
    </row>
    <row r="85" spans="1:6" x14ac:dyDescent="0.25">
      <c r="A85" s="22"/>
      <c r="F85" s="17"/>
    </row>
    <row r="86" spans="1:6" x14ac:dyDescent="0.25">
      <c r="A86" s="22"/>
      <c r="F86" s="17"/>
    </row>
    <row r="87" spans="1:6" x14ac:dyDescent="0.25">
      <c r="A87" s="22"/>
      <c r="F87" s="17"/>
    </row>
    <row r="88" spans="1:6" x14ac:dyDescent="0.25">
      <c r="A88" s="22"/>
      <c r="F88" s="17"/>
    </row>
    <row r="89" spans="1:6" x14ac:dyDescent="0.25">
      <c r="A89" s="22"/>
      <c r="F89" s="17"/>
    </row>
    <row r="90" spans="1:6" x14ac:dyDescent="0.25">
      <c r="A90" s="22"/>
      <c r="F90" s="17"/>
    </row>
    <row r="91" spans="1:6" x14ac:dyDescent="0.25">
      <c r="A91" s="22"/>
      <c r="F91" s="17"/>
    </row>
    <row r="92" spans="1:6" x14ac:dyDescent="0.25">
      <c r="A92" s="22"/>
      <c r="F92" s="17"/>
    </row>
    <row r="93" spans="1:6" x14ac:dyDescent="0.25">
      <c r="A93" s="22"/>
      <c r="F93" s="17"/>
    </row>
    <row r="94" spans="1:6" x14ac:dyDescent="0.25">
      <c r="A94" s="22"/>
      <c r="F94" s="17"/>
    </row>
    <row r="95" spans="1:6" x14ac:dyDescent="0.25">
      <c r="A95" s="22"/>
      <c r="F95" s="17"/>
    </row>
    <row r="96" spans="1:6" x14ac:dyDescent="0.25">
      <c r="A96" s="19"/>
      <c r="B96" s="23"/>
      <c r="C96" s="23"/>
      <c r="D96" s="23"/>
      <c r="E96" s="23"/>
      <c r="F96" s="18"/>
    </row>
    <row r="97" spans="1:7" x14ac:dyDescent="0.25">
      <c r="A97" s="22"/>
      <c r="F97" s="17"/>
    </row>
    <row r="98" spans="1:7" x14ac:dyDescent="0.25">
      <c r="A98" s="22"/>
      <c r="F98" s="17"/>
    </row>
    <row r="99" spans="1:7" x14ac:dyDescent="0.25">
      <c r="A99" s="19"/>
      <c r="B99" s="23"/>
      <c r="C99" s="23"/>
      <c r="D99" s="23"/>
      <c r="E99" s="23"/>
      <c r="F99" s="18"/>
      <c r="G99" s="23"/>
    </row>
    <row r="100" spans="1:7" x14ac:dyDescent="0.25">
      <c r="A100" s="19"/>
      <c r="B100" s="23"/>
      <c r="C100" s="23"/>
      <c r="D100" s="23"/>
      <c r="E100" s="23"/>
      <c r="F100" s="18"/>
      <c r="G100" s="23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選項清單!$G$2:$G$6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E16" sqref="E16"/>
    </sheetView>
  </sheetViews>
  <sheetFormatPr defaultRowHeight="16.5" x14ac:dyDescent="0.25"/>
  <cols>
    <col min="1" max="1" width="15.625" style="10" customWidth="1"/>
    <col min="2" max="2" width="15.625" style="9" customWidth="1"/>
    <col min="3" max="7" width="15.625" style="12" customWidth="1"/>
    <col min="8" max="8" width="3.125" style="9" customWidth="1"/>
    <col min="9" max="9" width="40.625" style="24" customWidth="1"/>
    <col min="10" max="10" width="9" style="9"/>
    <col min="11" max="11" width="9" style="35"/>
    <col min="12" max="16384" width="9" style="9"/>
  </cols>
  <sheetData>
    <row r="1" spans="1:13" s="2" customFormat="1" x14ac:dyDescent="0.25">
      <c r="A1" s="11" t="s">
        <v>38</v>
      </c>
      <c r="B1" s="2" t="s">
        <v>39</v>
      </c>
      <c r="C1" s="2" t="s">
        <v>42</v>
      </c>
      <c r="D1" s="2" t="s">
        <v>128</v>
      </c>
      <c r="E1" s="2" t="s">
        <v>40</v>
      </c>
      <c r="F1" s="2" t="s">
        <v>87</v>
      </c>
      <c r="G1" s="2" t="s">
        <v>41</v>
      </c>
      <c r="I1" s="20" t="s">
        <v>43</v>
      </c>
      <c r="J1" s="14" t="s">
        <v>133</v>
      </c>
      <c r="K1" s="15" t="s">
        <v>134</v>
      </c>
      <c r="L1" s="28"/>
      <c r="M1" s="28"/>
    </row>
    <row r="2" spans="1:13" x14ac:dyDescent="0.25">
      <c r="A2" s="10">
        <v>1</v>
      </c>
      <c r="B2" s="9" t="s">
        <v>46</v>
      </c>
      <c r="C2" s="12">
        <v>1</v>
      </c>
      <c r="D2" s="12">
        <v>1</v>
      </c>
      <c r="E2" s="12">
        <v>30</v>
      </c>
      <c r="F2" s="12">
        <v>0.28000000000000003</v>
      </c>
      <c r="G2" s="12">
        <v>1</v>
      </c>
      <c r="H2" s="24"/>
      <c r="I2" s="9" t="s">
        <v>112</v>
      </c>
      <c r="J2" s="29">
        <v>1</v>
      </c>
      <c r="K2" s="34">
        <f>3+J2*0.7</f>
        <v>3.7</v>
      </c>
      <c r="L2" s="29"/>
      <c r="M2" s="29"/>
    </row>
    <row r="3" spans="1:13" x14ac:dyDescent="0.25">
      <c r="A3" s="10">
        <v>2</v>
      </c>
      <c r="B3" s="9" t="s">
        <v>46</v>
      </c>
      <c r="C3" s="12">
        <v>1</v>
      </c>
      <c r="D3" s="12">
        <v>2</v>
      </c>
      <c r="E3" s="12">
        <v>60</v>
      </c>
      <c r="F3" s="12">
        <v>0.28000000000000003</v>
      </c>
      <c r="G3" s="12">
        <v>1</v>
      </c>
      <c r="H3" s="24"/>
      <c r="I3" s="9" t="s">
        <v>113</v>
      </c>
      <c r="J3" s="29">
        <v>2</v>
      </c>
      <c r="K3" s="34">
        <f t="shared" ref="K3:K31" si="0">3+J3*0.7</f>
        <v>4.4000000000000004</v>
      </c>
      <c r="L3" s="29"/>
      <c r="M3" s="29"/>
    </row>
    <row r="4" spans="1:13" x14ac:dyDescent="0.25">
      <c r="A4" s="10">
        <v>3</v>
      </c>
      <c r="B4" s="9" t="s">
        <v>46</v>
      </c>
      <c r="C4" s="12">
        <v>5</v>
      </c>
      <c r="D4" s="12">
        <v>3</v>
      </c>
      <c r="E4" s="12">
        <v>90</v>
      </c>
      <c r="F4" s="12">
        <v>0.28000000000000003</v>
      </c>
      <c r="G4" s="12">
        <v>1</v>
      </c>
      <c r="H4" s="24"/>
      <c r="I4" s="9" t="s">
        <v>114</v>
      </c>
      <c r="J4" s="29">
        <v>3</v>
      </c>
      <c r="K4" s="34">
        <f t="shared" si="0"/>
        <v>5.0999999999999996</v>
      </c>
      <c r="L4" s="29"/>
      <c r="M4" s="29"/>
    </row>
    <row r="5" spans="1:13" x14ac:dyDescent="0.25">
      <c r="A5" s="10">
        <v>4</v>
      </c>
      <c r="B5" s="9" t="s">
        <v>46</v>
      </c>
      <c r="C5" s="12">
        <v>9</v>
      </c>
      <c r="D5" s="12">
        <v>4</v>
      </c>
      <c r="E5" s="12">
        <v>120</v>
      </c>
      <c r="F5" s="12">
        <v>0.28000000000000003</v>
      </c>
      <c r="G5" s="12">
        <v>1</v>
      </c>
      <c r="H5" s="24"/>
      <c r="I5" s="9" t="s">
        <v>115</v>
      </c>
      <c r="J5" s="29">
        <v>4</v>
      </c>
      <c r="K5" s="34">
        <f t="shared" si="0"/>
        <v>5.8</v>
      </c>
      <c r="L5" s="29"/>
      <c r="M5" s="29"/>
    </row>
    <row r="6" spans="1:13" x14ac:dyDescent="0.25">
      <c r="A6" s="10">
        <v>5</v>
      </c>
      <c r="B6" s="9" t="s">
        <v>46</v>
      </c>
      <c r="C6" s="12">
        <v>13</v>
      </c>
      <c r="D6" s="12">
        <v>5</v>
      </c>
      <c r="E6" s="12">
        <v>150</v>
      </c>
      <c r="F6" s="12">
        <v>0.28000000000000003</v>
      </c>
      <c r="G6" s="12">
        <v>1</v>
      </c>
      <c r="H6" s="24"/>
      <c r="I6" s="9" t="s">
        <v>116</v>
      </c>
      <c r="J6" s="29">
        <v>5</v>
      </c>
      <c r="K6" s="34">
        <f t="shared" si="0"/>
        <v>6.5</v>
      </c>
      <c r="L6" s="29"/>
      <c r="M6" s="29"/>
    </row>
    <row r="7" spans="1:13" x14ac:dyDescent="0.25">
      <c r="A7" s="10">
        <v>11</v>
      </c>
      <c r="B7" s="9" t="s">
        <v>46</v>
      </c>
      <c r="C7" s="12">
        <v>2</v>
      </c>
      <c r="D7" s="12">
        <v>2</v>
      </c>
      <c r="E7" s="12">
        <v>50</v>
      </c>
      <c r="F7" s="12">
        <v>0.22</v>
      </c>
      <c r="G7" s="12">
        <v>3</v>
      </c>
      <c r="H7" s="24"/>
      <c r="I7" s="9" t="s">
        <v>117</v>
      </c>
      <c r="J7" s="29">
        <v>6</v>
      </c>
      <c r="K7" s="34">
        <f t="shared" si="0"/>
        <v>7.1999999999999993</v>
      </c>
      <c r="L7" s="29"/>
      <c r="M7" s="29"/>
    </row>
    <row r="8" spans="1:13" x14ac:dyDescent="0.25">
      <c r="A8" s="10">
        <v>12</v>
      </c>
      <c r="B8" s="9" t="s">
        <v>46</v>
      </c>
      <c r="C8" s="12">
        <v>6</v>
      </c>
      <c r="D8" s="12">
        <v>3</v>
      </c>
      <c r="E8" s="12">
        <v>90</v>
      </c>
      <c r="F8" s="12">
        <v>0.22</v>
      </c>
      <c r="G8" s="12">
        <v>3</v>
      </c>
      <c r="H8" s="24"/>
      <c r="I8" s="9" t="s">
        <v>118</v>
      </c>
      <c r="J8" s="29">
        <v>7</v>
      </c>
      <c r="K8" s="34">
        <f t="shared" si="0"/>
        <v>7.8999999999999995</v>
      </c>
      <c r="L8" s="29"/>
      <c r="M8" s="29"/>
    </row>
    <row r="9" spans="1:13" x14ac:dyDescent="0.25">
      <c r="A9" s="10">
        <v>13</v>
      </c>
      <c r="B9" s="9" t="s">
        <v>46</v>
      </c>
      <c r="C9" s="12">
        <v>14</v>
      </c>
      <c r="D9" s="12">
        <v>4</v>
      </c>
      <c r="E9" s="12">
        <v>130</v>
      </c>
      <c r="F9" s="12">
        <v>0.22</v>
      </c>
      <c r="G9" s="12">
        <v>3</v>
      </c>
      <c r="H9" s="24"/>
      <c r="I9" s="9" t="s">
        <v>119</v>
      </c>
      <c r="J9" s="29">
        <v>8</v>
      </c>
      <c r="K9" s="34">
        <f t="shared" si="0"/>
        <v>8.6</v>
      </c>
      <c r="L9" s="29"/>
      <c r="M9" s="29"/>
    </row>
    <row r="10" spans="1:13" x14ac:dyDescent="0.25">
      <c r="A10" s="10">
        <v>14</v>
      </c>
      <c r="B10" s="9" t="s">
        <v>46</v>
      </c>
      <c r="C10" s="12">
        <v>17</v>
      </c>
      <c r="D10" s="12">
        <v>5</v>
      </c>
      <c r="E10" s="12">
        <v>170</v>
      </c>
      <c r="F10" s="12">
        <v>0.22</v>
      </c>
      <c r="G10" s="12">
        <v>3</v>
      </c>
      <c r="H10" s="24"/>
      <c r="I10" s="9" t="s">
        <v>120</v>
      </c>
      <c r="J10" s="29">
        <v>9</v>
      </c>
      <c r="K10" s="34">
        <f t="shared" si="0"/>
        <v>9.3000000000000007</v>
      </c>
      <c r="L10" s="29"/>
      <c r="M10" s="29"/>
    </row>
    <row r="11" spans="1:13" x14ac:dyDescent="0.25">
      <c r="A11" s="10">
        <v>15</v>
      </c>
      <c r="B11" s="9" t="s">
        <v>46</v>
      </c>
      <c r="C11" s="12">
        <v>18</v>
      </c>
      <c r="D11" s="12">
        <v>6</v>
      </c>
      <c r="E11" s="12">
        <v>210</v>
      </c>
      <c r="F11" s="12">
        <v>0.22</v>
      </c>
      <c r="G11" s="12">
        <v>3</v>
      </c>
      <c r="H11" s="24"/>
      <c r="I11" s="9" t="s">
        <v>121</v>
      </c>
      <c r="J11" s="29">
        <v>10</v>
      </c>
      <c r="K11" s="34">
        <f t="shared" si="0"/>
        <v>10</v>
      </c>
      <c r="L11" s="29"/>
      <c r="M11" s="29"/>
    </row>
    <row r="12" spans="1:13" x14ac:dyDescent="0.25">
      <c r="A12" s="10">
        <v>21</v>
      </c>
      <c r="B12" s="9" t="s">
        <v>46</v>
      </c>
      <c r="C12" s="12">
        <v>3</v>
      </c>
      <c r="D12" s="12">
        <v>2</v>
      </c>
      <c r="E12" s="12">
        <v>60</v>
      </c>
      <c r="F12" s="12">
        <v>0.6</v>
      </c>
      <c r="G12" s="12">
        <v>2</v>
      </c>
      <c r="H12" s="24"/>
      <c r="I12" s="9" t="s">
        <v>122</v>
      </c>
      <c r="J12" s="29">
        <v>11</v>
      </c>
      <c r="K12" s="34">
        <f t="shared" si="0"/>
        <v>10.7</v>
      </c>
      <c r="L12" s="29"/>
      <c r="M12" s="29"/>
    </row>
    <row r="13" spans="1:13" x14ac:dyDescent="0.25">
      <c r="A13" s="10">
        <v>22</v>
      </c>
      <c r="B13" s="9" t="s">
        <v>46</v>
      </c>
      <c r="C13" s="12">
        <v>7</v>
      </c>
      <c r="D13" s="12">
        <v>3</v>
      </c>
      <c r="E13" s="12">
        <v>80</v>
      </c>
      <c r="F13" s="12">
        <v>0.6</v>
      </c>
      <c r="G13" s="12">
        <v>2</v>
      </c>
      <c r="H13" s="24"/>
      <c r="I13" s="9" t="s">
        <v>123</v>
      </c>
      <c r="J13" s="29">
        <v>12</v>
      </c>
      <c r="K13" s="34">
        <f t="shared" si="0"/>
        <v>11.399999999999999</v>
      </c>
    </row>
    <row r="14" spans="1:13" x14ac:dyDescent="0.25">
      <c r="A14" s="10">
        <v>23</v>
      </c>
      <c r="B14" s="9" t="s">
        <v>46</v>
      </c>
      <c r="C14" s="12">
        <v>11</v>
      </c>
      <c r="D14" s="12">
        <v>4</v>
      </c>
      <c r="E14" s="12">
        <v>100</v>
      </c>
      <c r="F14" s="12">
        <v>0.6</v>
      </c>
      <c r="G14" s="12">
        <v>2</v>
      </c>
      <c r="H14" s="24"/>
      <c r="I14" s="9" t="s">
        <v>124</v>
      </c>
      <c r="J14" s="29">
        <v>13</v>
      </c>
      <c r="K14" s="34">
        <f t="shared" si="0"/>
        <v>12.1</v>
      </c>
    </row>
    <row r="15" spans="1:13" x14ac:dyDescent="0.25">
      <c r="A15" s="10">
        <v>24</v>
      </c>
      <c r="B15" s="9" t="s">
        <v>46</v>
      </c>
      <c r="C15" s="12">
        <v>15</v>
      </c>
      <c r="D15" s="12">
        <v>5</v>
      </c>
      <c r="E15" s="12">
        <v>120</v>
      </c>
      <c r="F15" s="12">
        <v>0.6</v>
      </c>
      <c r="G15" s="12">
        <v>2</v>
      </c>
      <c r="H15" s="24"/>
      <c r="I15" s="9" t="s">
        <v>125</v>
      </c>
      <c r="J15" s="29">
        <v>14</v>
      </c>
      <c r="K15" s="34">
        <f t="shared" si="0"/>
        <v>12.799999999999999</v>
      </c>
    </row>
    <row r="16" spans="1:13" x14ac:dyDescent="0.25">
      <c r="A16" s="10">
        <v>25</v>
      </c>
      <c r="B16" s="9" t="s">
        <v>46</v>
      </c>
      <c r="C16" s="12">
        <v>19</v>
      </c>
      <c r="D16" s="12">
        <v>6</v>
      </c>
      <c r="E16" s="12">
        <v>140</v>
      </c>
      <c r="F16" s="12">
        <v>0.6</v>
      </c>
      <c r="G16" s="12">
        <v>2</v>
      </c>
      <c r="H16" s="24"/>
      <c r="I16" s="9" t="s">
        <v>126</v>
      </c>
      <c r="J16" s="29">
        <v>15</v>
      </c>
      <c r="K16" s="34">
        <f t="shared" si="0"/>
        <v>13.5</v>
      </c>
    </row>
    <row r="17" spans="8:11" x14ac:dyDescent="0.25">
      <c r="H17" s="24"/>
      <c r="I17" s="9"/>
      <c r="J17" s="29">
        <v>16</v>
      </c>
      <c r="K17" s="34">
        <f t="shared" si="0"/>
        <v>14.2</v>
      </c>
    </row>
    <row r="18" spans="8:11" x14ac:dyDescent="0.25">
      <c r="H18" s="24"/>
      <c r="I18" s="9"/>
      <c r="J18" s="29">
        <v>17</v>
      </c>
      <c r="K18" s="34">
        <f t="shared" si="0"/>
        <v>14.899999999999999</v>
      </c>
    </row>
    <row r="19" spans="8:11" x14ac:dyDescent="0.25">
      <c r="H19" s="24"/>
      <c r="I19" s="9"/>
      <c r="J19" s="29">
        <v>18</v>
      </c>
      <c r="K19" s="34">
        <f t="shared" si="0"/>
        <v>15.6</v>
      </c>
    </row>
    <row r="20" spans="8:11" x14ac:dyDescent="0.25">
      <c r="H20" s="24"/>
      <c r="I20" s="9"/>
      <c r="J20" s="29">
        <v>19</v>
      </c>
      <c r="K20" s="34">
        <f t="shared" si="0"/>
        <v>16.299999999999997</v>
      </c>
    </row>
    <row r="21" spans="8:11" x14ac:dyDescent="0.25">
      <c r="H21" s="24"/>
      <c r="I21" s="9"/>
      <c r="J21" s="29">
        <v>20</v>
      </c>
      <c r="K21" s="34">
        <f t="shared" si="0"/>
        <v>17</v>
      </c>
    </row>
    <row r="22" spans="8:11" x14ac:dyDescent="0.25">
      <c r="H22" s="24"/>
      <c r="I22" s="9"/>
      <c r="J22" s="29">
        <v>21</v>
      </c>
      <c r="K22" s="34">
        <f t="shared" si="0"/>
        <v>17.7</v>
      </c>
    </row>
    <row r="23" spans="8:11" x14ac:dyDescent="0.25">
      <c r="H23" s="24"/>
      <c r="I23" s="9"/>
      <c r="J23" s="29">
        <v>22</v>
      </c>
      <c r="K23" s="34">
        <f t="shared" si="0"/>
        <v>18.399999999999999</v>
      </c>
    </row>
    <row r="24" spans="8:11" x14ac:dyDescent="0.25">
      <c r="H24" s="24"/>
      <c r="I24" s="9"/>
      <c r="J24" s="29">
        <v>23</v>
      </c>
      <c r="K24" s="34">
        <f t="shared" si="0"/>
        <v>19.099999999999998</v>
      </c>
    </row>
    <row r="25" spans="8:11" x14ac:dyDescent="0.25">
      <c r="H25" s="24"/>
      <c r="I25" s="9"/>
      <c r="J25" s="29">
        <v>24</v>
      </c>
      <c r="K25" s="34">
        <f t="shared" si="0"/>
        <v>19.799999999999997</v>
      </c>
    </row>
    <row r="26" spans="8:11" x14ac:dyDescent="0.25">
      <c r="H26" s="24"/>
      <c r="I26" s="9"/>
      <c r="J26" s="29">
        <v>25</v>
      </c>
      <c r="K26" s="34">
        <f t="shared" si="0"/>
        <v>20.5</v>
      </c>
    </row>
    <row r="27" spans="8:11" x14ac:dyDescent="0.25">
      <c r="H27" s="24"/>
      <c r="I27" s="9"/>
      <c r="J27" s="29">
        <v>26</v>
      </c>
      <c r="K27" s="34">
        <f t="shared" si="0"/>
        <v>21.2</v>
      </c>
    </row>
    <row r="28" spans="8:11" x14ac:dyDescent="0.25">
      <c r="H28" s="24"/>
      <c r="I28" s="9"/>
      <c r="J28" s="29">
        <v>27</v>
      </c>
      <c r="K28" s="34">
        <f t="shared" si="0"/>
        <v>21.9</v>
      </c>
    </row>
    <row r="29" spans="8:11" x14ac:dyDescent="0.25">
      <c r="H29" s="24"/>
      <c r="I29" s="9"/>
      <c r="J29" s="29">
        <v>28</v>
      </c>
      <c r="K29" s="34">
        <f t="shared" si="0"/>
        <v>22.599999999999998</v>
      </c>
    </row>
    <row r="30" spans="8:11" x14ac:dyDescent="0.25">
      <c r="H30" s="24"/>
      <c r="I30" s="9"/>
      <c r="J30" s="29">
        <v>29</v>
      </c>
      <c r="K30" s="34">
        <f t="shared" si="0"/>
        <v>23.299999999999997</v>
      </c>
    </row>
    <row r="31" spans="8:11" x14ac:dyDescent="0.25">
      <c r="H31" s="24"/>
      <c r="I31" s="9"/>
      <c r="J31" s="29">
        <v>30</v>
      </c>
      <c r="K31" s="34">
        <f t="shared" si="0"/>
        <v>24</v>
      </c>
    </row>
    <row r="32" spans="8:11" x14ac:dyDescent="0.25">
      <c r="H32" s="24"/>
      <c r="I32" s="9"/>
    </row>
    <row r="33" spans="8:9" x14ac:dyDescent="0.25">
      <c r="H33" s="24"/>
      <c r="I33" s="9"/>
    </row>
    <row r="34" spans="8:9" x14ac:dyDescent="0.25">
      <c r="H34" s="24"/>
      <c r="I34" s="9"/>
    </row>
    <row r="35" spans="8:9" x14ac:dyDescent="0.25">
      <c r="H35" s="24"/>
      <c r="I35" s="9"/>
    </row>
    <row r="36" spans="8:9" x14ac:dyDescent="0.25">
      <c r="H36" s="24"/>
      <c r="I36" s="9"/>
    </row>
    <row r="37" spans="8:9" x14ac:dyDescent="0.25">
      <c r="H37" s="24"/>
      <c r="I37" s="9"/>
    </row>
    <row r="38" spans="8:9" x14ac:dyDescent="0.25">
      <c r="H38" s="24"/>
      <c r="I38" s="9"/>
    </row>
    <row r="39" spans="8:9" x14ac:dyDescent="0.25">
      <c r="H39" s="24"/>
      <c r="I39" s="9"/>
    </row>
    <row r="40" spans="8:9" x14ac:dyDescent="0.25">
      <c r="H40" s="24"/>
      <c r="I40" s="9"/>
    </row>
    <row r="41" spans="8:9" x14ac:dyDescent="0.25">
      <c r="H41" s="24"/>
      <c r="I41" s="9"/>
    </row>
    <row r="42" spans="8:9" x14ac:dyDescent="0.25">
      <c r="H42" s="24"/>
      <c r="I42" s="9"/>
    </row>
    <row r="43" spans="8:9" x14ac:dyDescent="0.25">
      <c r="H43" s="24"/>
      <c r="I43" s="9"/>
    </row>
    <row r="44" spans="8:9" x14ac:dyDescent="0.25">
      <c r="H44" s="24"/>
      <c r="I44" s="9"/>
    </row>
    <row r="45" spans="8:9" x14ac:dyDescent="0.25">
      <c r="H45" s="24"/>
      <c r="I45" s="9"/>
    </row>
    <row r="46" spans="8:9" x14ac:dyDescent="0.25">
      <c r="H46" s="24"/>
      <c r="I46" s="9"/>
    </row>
    <row r="47" spans="8:9" x14ac:dyDescent="0.25">
      <c r="H47" s="24"/>
      <c r="I47" s="9"/>
    </row>
    <row r="48" spans="8:9" x14ac:dyDescent="0.25">
      <c r="H48" s="24"/>
      <c r="I48" s="9"/>
    </row>
    <row r="49" spans="8:9" x14ac:dyDescent="0.25">
      <c r="H49" s="24"/>
      <c r="I49" s="9"/>
    </row>
    <row r="50" spans="8:9" x14ac:dyDescent="0.25">
      <c r="H50" s="24"/>
      <c r="I50" s="9"/>
    </row>
    <row r="51" spans="8:9" x14ac:dyDescent="0.25">
      <c r="H51" s="24"/>
      <c r="I51" s="9"/>
    </row>
    <row r="52" spans="8:9" x14ac:dyDescent="0.25">
      <c r="H52" s="24"/>
      <c r="I52" s="9"/>
    </row>
    <row r="53" spans="8:9" x14ac:dyDescent="0.25">
      <c r="H53" s="24"/>
      <c r="I53" s="9"/>
    </row>
    <row r="54" spans="8:9" x14ac:dyDescent="0.25">
      <c r="H54" s="24"/>
      <c r="I54" s="9"/>
    </row>
    <row r="55" spans="8:9" x14ac:dyDescent="0.25">
      <c r="H55" s="24"/>
      <c r="I55" s="9"/>
    </row>
    <row r="56" spans="8:9" x14ac:dyDescent="0.25">
      <c r="H56" s="24"/>
      <c r="I56" s="9"/>
    </row>
    <row r="57" spans="8:9" x14ac:dyDescent="0.25">
      <c r="H57" s="24"/>
      <c r="I57" s="9"/>
    </row>
    <row r="58" spans="8:9" x14ac:dyDescent="0.25">
      <c r="H58" s="24"/>
      <c r="I58" s="9"/>
    </row>
    <row r="59" spans="8:9" x14ac:dyDescent="0.25">
      <c r="H59" s="24"/>
      <c r="I59" s="9"/>
    </row>
    <row r="60" spans="8:9" x14ac:dyDescent="0.25">
      <c r="H60" s="24"/>
      <c r="I60" s="9"/>
    </row>
    <row r="61" spans="8:9" x14ac:dyDescent="0.25">
      <c r="H61" s="24"/>
      <c r="I61" s="9"/>
    </row>
    <row r="62" spans="8:9" x14ac:dyDescent="0.25">
      <c r="H62" s="24"/>
      <c r="I62" s="9"/>
    </row>
    <row r="63" spans="8:9" x14ac:dyDescent="0.25">
      <c r="H63" s="24"/>
      <c r="I63" s="9"/>
    </row>
    <row r="64" spans="8:9" x14ac:dyDescent="0.25">
      <c r="H64" s="24"/>
      <c r="I64" s="9"/>
    </row>
    <row r="65" spans="8:9" x14ac:dyDescent="0.25">
      <c r="H65" s="24"/>
      <c r="I65" s="9"/>
    </row>
    <row r="66" spans="8:9" x14ac:dyDescent="0.25">
      <c r="H66" s="24"/>
      <c r="I66" s="9"/>
    </row>
    <row r="67" spans="8:9" x14ac:dyDescent="0.25">
      <c r="H67" s="24"/>
      <c r="I67" s="9"/>
    </row>
    <row r="68" spans="8:9" x14ac:dyDescent="0.25">
      <c r="H68" s="24"/>
      <c r="I68" s="9"/>
    </row>
    <row r="69" spans="8:9" x14ac:dyDescent="0.25">
      <c r="H69" s="24"/>
      <c r="I69" s="9"/>
    </row>
    <row r="70" spans="8:9" x14ac:dyDescent="0.25">
      <c r="H70" s="24"/>
      <c r="I70" s="9"/>
    </row>
    <row r="71" spans="8:9" x14ac:dyDescent="0.25">
      <c r="H71" s="24"/>
      <c r="I71" s="9"/>
    </row>
    <row r="72" spans="8:9" x14ac:dyDescent="0.25">
      <c r="H72" s="24"/>
      <c r="I72" s="9"/>
    </row>
    <row r="73" spans="8:9" x14ac:dyDescent="0.25">
      <c r="H73" s="24"/>
      <c r="I73" s="9"/>
    </row>
    <row r="74" spans="8:9" x14ac:dyDescent="0.25">
      <c r="H74" s="24"/>
      <c r="I74" s="9"/>
    </row>
    <row r="75" spans="8:9" x14ac:dyDescent="0.25">
      <c r="H75" s="24"/>
      <c r="I75" s="9"/>
    </row>
    <row r="76" spans="8:9" x14ac:dyDescent="0.25">
      <c r="H76" s="24"/>
      <c r="I76" s="9"/>
    </row>
    <row r="77" spans="8:9" x14ac:dyDescent="0.25">
      <c r="H77" s="24"/>
      <c r="I77" s="9"/>
    </row>
    <row r="78" spans="8:9" x14ac:dyDescent="0.25">
      <c r="H78" s="24"/>
      <c r="I78" s="9"/>
    </row>
    <row r="79" spans="8:9" x14ac:dyDescent="0.25">
      <c r="H79" s="24"/>
      <c r="I79" s="9"/>
    </row>
    <row r="80" spans="8:9" x14ac:dyDescent="0.25">
      <c r="H80" s="24"/>
      <c r="I80" s="9"/>
    </row>
    <row r="81" spans="8:9" x14ac:dyDescent="0.25">
      <c r="H81" s="24"/>
      <c r="I81" s="9"/>
    </row>
    <row r="82" spans="8:9" x14ac:dyDescent="0.25">
      <c r="H82" s="24"/>
      <c r="I82" s="9"/>
    </row>
    <row r="83" spans="8:9" x14ac:dyDescent="0.25">
      <c r="H83" s="24"/>
      <c r="I83" s="9"/>
    </row>
    <row r="84" spans="8:9" x14ac:dyDescent="0.25">
      <c r="H84" s="24"/>
      <c r="I84" s="9"/>
    </row>
    <row r="85" spans="8:9" x14ac:dyDescent="0.25">
      <c r="H85" s="24"/>
      <c r="I85" s="9"/>
    </row>
    <row r="86" spans="8:9" x14ac:dyDescent="0.25">
      <c r="H86" s="24"/>
      <c r="I86" s="9"/>
    </row>
    <row r="87" spans="8:9" x14ac:dyDescent="0.25">
      <c r="H87" s="24"/>
      <c r="I87" s="9"/>
    </row>
    <row r="88" spans="8:9" x14ac:dyDescent="0.25">
      <c r="H88" s="24"/>
      <c r="I88" s="9"/>
    </row>
    <row r="89" spans="8:9" x14ac:dyDescent="0.25">
      <c r="H89" s="24"/>
      <c r="I89" s="9"/>
    </row>
    <row r="90" spans="8:9" x14ac:dyDescent="0.25">
      <c r="H90" s="24"/>
      <c r="I90" s="9"/>
    </row>
    <row r="91" spans="8:9" x14ac:dyDescent="0.25">
      <c r="H91" s="24"/>
      <c r="I91" s="9"/>
    </row>
    <row r="92" spans="8:9" x14ac:dyDescent="0.25">
      <c r="H92" s="24"/>
      <c r="I92" s="9"/>
    </row>
    <row r="93" spans="8:9" x14ac:dyDescent="0.25">
      <c r="H93" s="24"/>
      <c r="I93" s="9"/>
    </row>
    <row r="94" spans="8:9" x14ac:dyDescent="0.25">
      <c r="H94" s="24"/>
      <c r="I94" s="9"/>
    </row>
    <row r="95" spans="8:9" x14ac:dyDescent="0.25">
      <c r="H95" s="24"/>
      <c r="I95" s="9"/>
    </row>
    <row r="96" spans="8:9" x14ac:dyDescent="0.25">
      <c r="H96" s="24"/>
      <c r="I96" s="9"/>
    </row>
    <row r="97" spans="8:9" x14ac:dyDescent="0.25">
      <c r="H97" s="24"/>
      <c r="I97" s="9"/>
    </row>
    <row r="98" spans="8:9" x14ac:dyDescent="0.25">
      <c r="H98" s="24"/>
      <c r="I98" s="9"/>
    </row>
    <row r="99" spans="8:9" x14ac:dyDescent="0.25">
      <c r="H99" s="24"/>
      <c r="I99" s="9"/>
    </row>
    <row r="100" spans="8:9" x14ac:dyDescent="0.25">
      <c r="H100" s="24"/>
      <c r="I100" s="9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選項清單!$I$2:$I$3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D100"/>
  <sheetViews>
    <sheetView workbookViewId="0">
      <pane ySplit="1" topLeftCell="A2" activePane="bottomLeft" state="frozen"/>
      <selection pane="bottomLeft" activeCell="B6" sqref="B6"/>
    </sheetView>
  </sheetViews>
  <sheetFormatPr defaultRowHeight="16.5" x14ac:dyDescent="0.2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 x14ac:dyDescent="0.25">
      <c r="A1" s="2" t="s">
        <v>50</v>
      </c>
      <c r="B1" s="2" t="s">
        <v>59</v>
      </c>
      <c r="C1" s="2" t="s">
        <v>52</v>
      </c>
      <c r="D1" s="2" t="s">
        <v>53</v>
      </c>
    </row>
    <row r="2" spans="1:4" x14ac:dyDescent="0.25">
      <c r="A2" s="3" t="s">
        <v>64</v>
      </c>
      <c r="B2" s="3" t="s">
        <v>54</v>
      </c>
      <c r="C2" s="3" t="s">
        <v>55</v>
      </c>
      <c r="D2" s="3" t="s">
        <v>65</v>
      </c>
    </row>
    <row r="3" spans="1:4" x14ac:dyDescent="0.25">
      <c r="A3" s="3" t="s">
        <v>51</v>
      </c>
      <c r="B3" s="3" t="s">
        <v>54</v>
      </c>
      <c r="C3" s="3" t="s">
        <v>55</v>
      </c>
      <c r="D3" s="3" t="s">
        <v>61</v>
      </c>
    </row>
    <row r="4" spans="1:4" x14ac:dyDescent="0.25">
      <c r="A4" s="3" t="s">
        <v>63</v>
      </c>
      <c r="B4" s="3" t="s">
        <v>58</v>
      </c>
      <c r="C4" s="3" t="s">
        <v>56</v>
      </c>
      <c r="D4" s="3" t="s">
        <v>65</v>
      </c>
    </row>
    <row r="5" spans="1:4" x14ac:dyDescent="0.25">
      <c r="A5" s="3" t="s">
        <v>62</v>
      </c>
      <c r="B5" s="3" t="s">
        <v>57</v>
      </c>
      <c r="C5" s="3" t="s">
        <v>66</v>
      </c>
      <c r="D5" s="3" t="s">
        <v>60</v>
      </c>
    </row>
    <row r="31" spans="1:1" x14ac:dyDescent="0.25">
      <c r="A31" s="22"/>
    </row>
    <row r="32" spans="1:1" x14ac:dyDescent="0.25">
      <c r="A32" s="22"/>
    </row>
    <row r="33" spans="1:1" x14ac:dyDescent="0.25">
      <c r="A33" s="22"/>
    </row>
    <row r="34" spans="1:1" x14ac:dyDescent="0.25">
      <c r="A34" s="22"/>
    </row>
    <row r="35" spans="1:1" x14ac:dyDescent="0.25">
      <c r="A35" s="22"/>
    </row>
    <row r="36" spans="1:1" x14ac:dyDescent="0.25">
      <c r="A36" s="22"/>
    </row>
    <row r="37" spans="1:1" x14ac:dyDescent="0.25">
      <c r="A37" s="22"/>
    </row>
    <row r="38" spans="1:1" x14ac:dyDescent="0.25">
      <c r="A38" s="22"/>
    </row>
    <row r="39" spans="1:1" x14ac:dyDescent="0.25">
      <c r="A39" s="22"/>
    </row>
    <row r="40" spans="1:1" x14ac:dyDescent="0.25">
      <c r="A40" s="22"/>
    </row>
    <row r="41" spans="1:1" x14ac:dyDescent="0.25">
      <c r="A41" s="22"/>
    </row>
    <row r="42" spans="1:1" x14ac:dyDescent="0.25">
      <c r="A42" s="22"/>
    </row>
    <row r="43" spans="1:1" x14ac:dyDescent="0.25">
      <c r="A43" s="22"/>
    </row>
    <row r="44" spans="1:1" x14ac:dyDescent="0.25">
      <c r="A44" s="22"/>
    </row>
    <row r="45" spans="1:1" x14ac:dyDescent="0.25">
      <c r="A45" s="22"/>
    </row>
    <row r="46" spans="1:1" x14ac:dyDescent="0.25">
      <c r="A46" s="22"/>
    </row>
    <row r="47" spans="1:1" x14ac:dyDescent="0.25">
      <c r="A47" s="22"/>
    </row>
    <row r="48" spans="1:1" x14ac:dyDescent="0.25">
      <c r="A48" s="22"/>
    </row>
    <row r="49" spans="1:1" x14ac:dyDescent="0.25">
      <c r="A49" s="22"/>
    </row>
    <row r="50" spans="1:1" x14ac:dyDescent="0.25">
      <c r="A50" s="22"/>
    </row>
    <row r="51" spans="1:1" x14ac:dyDescent="0.25">
      <c r="A51" s="22"/>
    </row>
    <row r="52" spans="1:1" x14ac:dyDescent="0.25">
      <c r="A52" s="22"/>
    </row>
    <row r="53" spans="1:1" x14ac:dyDescent="0.25">
      <c r="A53" s="22"/>
    </row>
    <row r="54" spans="1:1" x14ac:dyDescent="0.25">
      <c r="A54" s="22"/>
    </row>
    <row r="55" spans="1:1" x14ac:dyDescent="0.25">
      <c r="A55" s="22"/>
    </row>
    <row r="56" spans="1:1" x14ac:dyDescent="0.25">
      <c r="A56" s="22"/>
    </row>
    <row r="57" spans="1:1" x14ac:dyDescent="0.25">
      <c r="A57" s="22"/>
    </row>
    <row r="58" spans="1:1" x14ac:dyDescent="0.25">
      <c r="A58" s="22"/>
    </row>
    <row r="59" spans="1:1" x14ac:dyDescent="0.25">
      <c r="A59" s="22"/>
    </row>
    <row r="60" spans="1:1" x14ac:dyDescent="0.25">
      <c r="A60" s="22"/>
    </row>
    <row r="61" spans="1:1" x14ac:dyDescent="0.25">
      <c r="A61" s="22"/>
    </row>
    <row r="62" spans="1:1" x14ac:dyDescent="0.25">
      <c r="A62" s="22"/>
    </row>
    <row r="63" spans="1:1" x14ac:dyDescent="0.25">
      <c r="A63" s="22"/>
    </row>
    <row r="64" spans="1:1" x14ac:dyDescent="0.25">
      <c r="A64" s="22"/>
    </row>
    <row r="65" spans="1:1" x14ac:dyDescent="0.25">
      <c r="A65" s="22"/>
    </row>
    <row r="66" spans="1:1" x14ac:dyDescent="0.25">
      <c r="A66" s="22"/>
    </row>
    <row r="67" spans="1:1" x14ac:dyDescent="0.25">
      <c r="A67" s="22"/>
    </row>
    <row r="68" spans="1:1" x14ac:dyDescent="0.25">
      <c r="A68" s="22"/>
    </row>
    <row r="69" spans="1:1" x14ac:dyDescent="0.25">
      <c r="A69" s="22"/>
    </row>
    <row r="70" spans="1:1" x14ac:dyDescent="0.25">
      <c r="A70" s="22"/>
    </row>
    <row r="71" spans="1:1" x14ac:dyDescent="0.25">
      <c r="A71" s="22"/>
    </row>
    <row r="72" spans="1:1" x14ac:dyDescent="0.25">
      <c r="A72" s="22"/>
    </row>
    <row r="73" spans="1:1" x14ac:dyDescent="0.25">
      <c r="A73" s="22"/>
    </row>
    <row r="74" spans="1:1" x14ac:dyDescent="0.25">
      <c r="A74" s="22"/>
    </row>
    <row r="75" spans="1:1" x14ac:dyDescent="0.25">
      <c r="A75" s="22"/>
    </row>
    <row r="76" spans="1:1" x14ac:dyDescent="0.25">
      <c r="A76" s="22"/>
    </row>
    <row r="77" spans="1:1" x14ac:dyDescent="0.25">
      <c r="A77" s="22"/>
    </row>
    <row r="78" spans="1:1" x14ac:dyDescent="0.25">
      <c r="A78" s="22"/>
    </row>
    <row r="79" spans="1:1" x14ac:dyDescent="0.25">
      <c r="A79" s="22"/>
    </row>
    <row r="80" spans="1:1" x14ac:dyDescent="0.25">
      <c r="A80" s="22"/>
    </row>
    <row r="81" spans="1:1" x14ac:dyDescent="0.25">
      <c r="A81" s="22"/>
    </row>
    <row r="82" spans="1:1" x14ac:dyDescent="0.25">
      <c r="A82" s="22"/>
    </row>
    <row r="83" spans="1:1" x14ac:dyDescent="0.25">
      <c r="A83" s="22"/>
    </row>
    <row r="84" spans="1:1" x14ac:dyDescent="0.25">
      <c r="A84" s="22"/>
    </row>
    <row r="85" spans="1:1" x14ac:dyDescent="0.25">
      <c r="A85" s="22"/>
    </row>
    <row r="86" spans="1:1" x14ac:dyDescent="0.25">
      <c r="A86" s="22"/>
    </row>
    <row r="87" spans="1:1" x14ac:dyDescent="0.25">
      <c r="A87" s="22"/>
    </row>
    <row r="88" spans="1:1" x14ac:dyDescent="0.25">
      <c r="A88" s="22"/>
    </row>
    <row r="89" spans="1:1" x14ac:dyDescent="0.25">
      <c r="A89" s="22"/>
    </row>
    <row r="90" spans="1:1" x14ac:dyDescent="0.25">
      <c r="A90" s="22"/>
    </row>
    <row r="91" spans="1:1" x14ac:dyDescent="0.25">
      <c r="A91" s="22"/>
    </row>
    <row r="92" spans="1:1" x14ac:dyDescent="0.25">
      <c r="A92" s="22"/>
    </row>
    <row r="93" spans="1:1" x14ac:dyDescent="0.25">
      <c r="A93" s="22"/>
    </row>
    <row r="94" spans="1:1" x14ac:dyDescent="0.25">
      <c r="A94" s="22"/>
    </row>
    <row r="95" spans="1:1" x14ac:dyDescent="0.25">
      <c r="A95" s="22"/>
    </row>
    <row r="96" spans="1:1" x14ac:dyDescent="0.25">
      <c r="A96" s="22"/>
    </row>
    <row r="97" spans="1:4" x14ac:dyDescent="0.25">
      <c r="A97" s="22"/>
    </row>
    <row r="98" spans="1:4" x14ac:dyDescent="0.25">
      <c r="A98" s="22"/>
    </row>
    <row r="99" spans="1:4" x14ac:dyDescent="0.25">
      <c r="A99" s="22"/>
    </row>
    <row r="100" spans="1:4" x14ac:dyDescent="0.25">
      <c r="A100" s="19"/>
      <c r="B100" s="23"/>
      <c r="C100" s="23"/>
      <c r="D100" s="2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H6" sqref="H6"/>
    </sheetView>
  </sheetViews>
  <sheetFormatPr defaultRowHeight="16.5" x14ac:dyDescent="0.25"/>
  <cols>
    <col min="1" max="1" width="9" style="4" customWidth="1"/>
    <col min="2" max="6" width="9" style="4"/>
    <col min="7" max="7" width="18.375" style="4" bestFit="1" customWidth="1"/>
    <col min="8" max="16384" width="9" style="4"/>
  </cols>
  <sheetData>
    <row r="1" spans="1:10" x14ac:dyDescent="0.25">
      <c r="A1" s="37" t="s">
        <v>10</v>
      </c>
      <c r="B1" s="37"/>
      <c r="C1" s="37" t="s">
        <v>16</v>
      </c>
      <c r="D1" s="37"/>
      <c r="E1" s="37" t="s">
        <v>36</v>
      </c>
      <c r="F1" s="38"/>
      <c r="G1" s="37" t="s">
        <v>35</v>
      </c>
      <c r="H1" s="38"/>
      <c r="I1" s="37" t="s">
        <v>44</v>
      </c>
      <c r="J1" s="38"/>
    </row>
    <row r="2" spans="1:10" x14ac:dyDescent="0.25">
      <c r="A2" s="4" t="s">
        <v>17</v>
      </c>
      <c r="B2" s="4">
        <v>0</v>
      </c>
      <c r="C2" s="4" t="s">
        <v>17</v>
      </c>
      <c r="D2" s="4">
        <v>0</v>
      </c>
      <c r="E2" s="6" t="s">
        <v>17</v>
      </c>
      <c r="F2" s="4">
        <v>0</v>
      </c>
      <c r="G2" s="27" t="s">
        <v>17</v>
      </c>
      <c r="H2" s="27">
        <v>0</v>
      </c>
      <c r="I2" s="4" t="s">
        <v>45</v>
      </c>
      <c r="J2" s="4">
        <v>0</v>
      </c>
    </row>
    <row r="3" spans="1:10" x14ac:dyDescent="0.25">
      <c r="A3" s="4" t="s">
        <v>11</v>
      </c>
      <c r="B3" s="4">
        <v>1</v>
      </c>
      <c r="C3" s="4" t="s">
        <v>13</v>
      </c>
      <c r="D3" s="4">
        <v>1</v>
      </c>
      <c r="E3" s="6" t="s">
        <v>23</v>
      </c>
      <c r="F3" s="4">
        <v>1</v>
      </c>
      <c r="G3" s="7" t="s">
        <v>162</v>
      </c>
      <c r="H3" s="27">
        <v>1</v>
      </c>
      <c r="I3" s="4" t="s">
        <v>47</v>
      </c>
      <c r="J3" s="4">
        <v>1</v>
      </c>
    </row>
    <row r="4" spans="1:10" x14ac:dyDescent="0.25">
      <c r="A4" s="4" t="s">
        <v>12</v>
      </c>
      <c r="B4" s="4">
        <v>2</v>
      </c>
      <c r="C4" s="4" t="s">
        <v>15</v>
      </c>
      <c r="D4" s="4">
        <v>2</v>
      </c>
      <c r="E4" s="6" t="s">
        <v>19</v>
      </c>
      <c r="F4" s="4">
        <v>2</v>
      </c>
      <c r="G4" s="7" t="s">
        <v>164</v>
      </c>
      <c r="H4" s="27">
        <v>2</v>
      </c>
    </row>
    <row r="5" spans="1:10" x14ac:dyDescent="0.25">
      <c r="E5" s="6" t="s">
        <v>21</v>
      </c>
      <c r="F5" s="4">
        <v>3</v>
      </c>
      <c r="G5" s="27" t="s">
        <v>166</v>
      </c>
      <c r="H5" s="27">
        <v>3</v>
      </c>
    </row>
    <row r="6" spans="1:10" x14ac:dyDescent="0.25">
      <c r="G6" s="27" t="s">
        <v>168</v>
      </c>
      <c r="H6" s="27">
        <v>4</v>
      </c>
    </row>
    <row r="7" spans="1:10" x14ac:dyDescent="0.25">
      <c r="H7" s="27"/>
    </row>
    <row r="8" spans="1:10" x14ac:dyDescent="0.25">
      <c r="H8" s="27"/>
    </row>
    <row r="9" spans="1:10" x14ac:dyDescent="0.25">
      <c r="H9" s="27"/>
    </row>
    <row r="10" spans="1:10" x14ac:dyDescent="0.25">
      <c r="H10" s="27"/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10" workbookViewId="0">
      <selection activeCell="G11" sqref="G11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 x14ac:dyDescent="0.25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 x14ac:dyDescent="0.25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 x14ac:dyDescent="0.25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 x14ac:dyDescent="0.25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 x14ac:dyDescent="0.25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 x14ac:dyDescent="0.25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 x14ac:dyDescent="0.25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 x14ac:dyDescent="0.25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 x14ac:dyDescent="0.25">
      <c r="A13" t="str">
        <f>ToResult(語言列表!A13)</f>
        <v>2002</v>
      </c>
      <c r="B13" t="str">
        <f>ToResult(語言列表!B13)</f>
        <v>Doctor</v>
      </c>
      <c r="C13" t="str">
        <f>ToResult(語言列表!C13)</f>
        <v>醫生</v>
      </c>
    </row>
    <row r="14" spans="1:3" x14ac:dyDescent="0.25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 x14ac:dyDescent="0.25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 x14ac:dyDescent="0.25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 x14ac:dyDescent="0.25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 x14ac:dyDescent="0.25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 x14ac:dyDescent="0.25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 x14ac:dyDescent="0.25">
      <c r="A20" t="str">
        <f>ToResult(語言列表!A20)</f>
        <v>2009</v>
      </c>
      <c r="B20" t="str">
        <f>ToResult(語言列表!B20)</f>
        <v>Clumsy\nsoldier</v>
      </c>
      <c r="C20" t="str">
        <f>ToResult(語言列表!C20)</f>
        <v>笨拙的戰士</v>
      </c>
    </row>
    <row r="21" spans="1:3" x14ac:dyDescent="0.25">
      <c r="A21" t="str">
        <f>ToResult(語言列表!A21)</f>
        <v>2010</v>
      </c>
      <c r="B21" t="str">
        <f>ToResult(語言列表!B21)</f>
        <v>Careless\nsoldier</v>
      </c>
      <c r="C21" t="str">
        <f>ToResult(語言列表!C21)</f>
        <v>粗心的戰士</v>
      </c>
    </row>
    <row r="22" spans="1:3" x14ac:dyDescent="0.25">
      <c r="A22" t="str">
        <f>ToResult(語言列表!A22)</f>
        <v>2011</v>
      </c>
      <c r="B22" t="str">
        <f>ToResult(語言列表!B22)</f>
        <v>Elite\nsoldiers</v>
      </c>
      <c r="C22" t="str">
        <f>ToResult(語言列表!C22)</f>
        <v>精英的戰士</v>
      </c>
    </row>
    <row r="23" spans="1:3" x14ac:dyDescent="0.25">
      <c r="A23" t="str">
        <f>ToResult(語言列表!A23)</f>
        <v>2012</v>
      </c>
      <c r="B23" t="str">
        <f>ToResult(語言列表!B23)</f>
        <v>Talented\nfighters</v>
      </c>
      <c r="C23" t="str">
        <f>ToResult(語言列表!C23)</f>
        <v>天才的戰士</v>
      </c>
    </row>
    <row r="24" spans="1:3" x14ac:dyDescent="0.25">
      <c r="A24" t="str">
        <f>ToResult(語言列表!A24)</f>
        <v>2013</v>
      </c>
      <c r="B24" t="str">
        <f>ToResult(語言列表!B24)</f>
        <v>Berserker</v>
      </c>
      <c r="C24" t="str">
        <f>ToResult(語言列表!C24)</f>
        <v>狂戰士</v>
      </c>
    </row>
    <row r="25" spans="1:3" x14ac:dyDescent="0.25">
      <c r="A25" t="str">
        <f>ToResult(語言列表!A25)</f>
        <v>3001</v>
      </c>
      <c r="B25" t="str">
        <f>ToResult(語言列表!B25)</f>
        <v>[ffed00]sta limit[-][546ef2]+4[-]</v>
      </c>
      <c r="C25" t="str">
        <f>ToResult(語言列表!C25)</f>
        <v>增加耐力上限4點</v>
      </c>
    </row>
    <row r="26" spans="1:3" x14ac:dyDescent="0.25">
      <c r="A26" t="str">
        <f>ToResult(語言列表!A26)</f>
        <v>3002</v>
      </c>
      <c r="B26" t="str">
        <f>ToResult(語言列表!B26)</f>
        <v>[ffed00]sta limit[-][546ef2]+8[-]</v>
      </c>
      <c r="C26" t="str">
        <f>ToResult(語言列表!C26)</f>
        <v>增加耐力上限8點</v>
      </c>
    </row>
    <row r="27" spans="1:3" x14ac:dyDescent="0.25">
      <c r="A27" t="str">
        <f>ToResult(語言列表!A27)</f>
        <v>3003</v>
      </c>
      <c r="B27" t="str">
        <f>ToResult(語言列表!B27)</f>
        <v>[ffed00]sta limit[-][e92121]-4[-]</v>
      </c>
      <c r="C27" t="str">
        <f>ToResult(語言列表!C27)</f>
        <v>減少耐力上限4點</v>
      </c>
    </row>
    <row r="28" spans="1:3" x14ac:dyDescent="0.25">
      <c r="A28" t="str">
        <f>ToResult(語言列表!A28)</f>
        <v>3004</v>
      </c>
      <c r="B28" t="str">
        <f>ToResult(語言列表!B28)</f>
        <v>[ffed00]sta limit[-][e92121]-8[-]</v>
      </c>
      <c r="C28" t="str">
        <f>ToResult(語言列表!C28)</f>
        <v>減少耐力上限8點</v>
      </c>
    </row>
    <row r="29" spans="1:3" x14ac:dyDescent="0.25">
      <c r="A29" t="str">
        <f>ToResult(語言列表!A29)</f>
        <v>3005</v>
      </c>
      <c r="B29" t="str">
        <f>ToResult(語言列表!B29)</f>
        <v>[ffed00]sta regain[-][546ef2]+2[-]</v>
      </c>
      <c r="C29" t="str">
        <f>ToResult(語言列表!C29)</f>
        <v>增加耐力回復2點</v>
      </c>
    </row>
    <row r="30" spans="1:3" x14ac:dyDescent="0.25">
      <c r="A30" t="str">
        <f>ToResult(語言列表!A30)</f>
        <v>3006</v>
      </c>
      <c r="B30" t="str">
        <f>ToResult(語言列表!B30)</f>
        <v>[ffed00]sta regain[-][546ef2]+3[-]</v>
      </c>
      <c r="C30" t="str">
        <f>ToResult(語言列表!C30)</f>
        <v>增加耐力回復3點</v>
      </c>
    </row>
    <row r="31" spans="1:3" x14ac:dyDescent="0.25">
      <c r="A31" t="str">
        <f>ToResult(語言列表!A31)</f>
        <v>3007</v>
      </c>
      <c r="B31" t="str">
        <f>ToResult(語言列表!B31)</f>
        <v>[ffed00]sta regain[-][e92121]-2[-]</v>
      </c>
      <c r="C31" t="str">
        <f>ToResult(語言列表!C31)</f>
        <v>減少耐力回復2點</v>
      </c>
    </row>
    <row r="32" spans="1:3" x14ac:dyDescent="0.25">
      <c r="A32" t="str">
        <f>ToResult(語言列表!A32)</f>
        <v>3008</v>
      </c>
      <c r="B32" t="str">
        <f>ToResult(語言列表!B32)</f>
        <v>[ffed00]sta regain[-][e92121]-3[-]</v>
      </c>
      <c r="C32" t="str">
        <f>ToResult(語言列表!C32)</f>
        <v>減少耐力回復3點</v>
      </c>
    </row>
    <row r="33" spans="1:3" x14ac:dyDescent="0.25">
      <c r="A33" t="str">
        <f>ToResult(語言列表!A33)</f>
        <v>3009</v>
      </c>
      <c r="B33" t="str">
        <f>ToResult(語言列表!B33)</f>
        <v/>
      </c>
      <c r="C33" t="str">
        <f>ToResult(語言列表!C33)</f>
        <v/>
      </c>
    </row>
    <row r="34" spans="1:3" x14ac:dyDescent="0.25">
      <c r="A34" t="str">
        <f>ToResult(語言列表!A34)</f>
        <v>3010</v>
      </c>
      <c r="B34" t="str">
        <f>ToResult(語言列表!B34)</f>
        <v/>
      </c>
      <c r="C34" t="str">
        <f>ToResult(語言列表!C34)</f>
        <v/>
      </c>
    </row>
    <row r="35" spans="1:3" x14ac:dyDescent="0.25">
      <c r="A35" t="str">
        <f>ToResult(語言列表!A35)</f>
        <v>3011</v>
      </c>
      <c r="B35" t="str">
        <f>ToResult(語言列表!B35)</f>
        <v>[ffed00]critical[-][e92121]-20%[-]</v>
      </c>
      <c r="C35" t="str">
        <f>ToResult(語言列表!C35)</f>
        <v>減少致命機率20%</v>
      </c>
    </row>
    <row r="36" spans="1:3" x14ac:dyDescent="0.25">
      <c r="A36" t="str">
        <f>ToResult(語言列表!A36)</f>
        <v>3012</v>
      </c>
      <c r="B36" t="str">
        <f>ToResult(語言列表!B36)</f>
        <v>[ffed00]critical[-][e92121]-10%[-]</v>
      </c>
      <c r="C36" t="str">
        <f>ToResult(語言列表!C36)</f>
        <v>減少致命機率10%</v>
      </c>
    </row>
    <row r="37" spans="1:3" x14ac:dyDescent="0.25">
      <c r="A37" t="str">
        <f>ToResult(語言列表!A37)</f>
        <v>3013</v>
      </c>
      <c r="B37" t="str">
        <f>ToResult(語言列表!B37)</f>
        <v>[ffed00]critical[-][546ef2]+10%[-]</v>
      </c>
      <c r="C37" t="str">
        <f>ToResult(語言列表!C37)</f>
        <v>增加致命機率10%</v>
      </c>
    </row>
    <row r="38" spans="1:3" x14ac:dyDescent="0.25">
      <c r="A38" t="str">
        <f>ToResult(語言列表!A38)</f>
        <v>3014</v>
      </c>
      <c r="B38" t="str">
        <f>ToResult(語言列表!B38)</f>
        <v>[ffed00]critical[-][546ef2]+20%[-]</v>
      </c>
      <c r="C38" t="str">
        <f>ToResult(語言列表!C38)</f>
        <v>增加致命機率20%</v>
      </c>
    </row>
    <row r="39" spans="1:3" x14ac:dyDescent="0.25">
      <c r="A39" t="str">
        <f>ToResult(語言列表!A39)</f>
        <v>3015</v>
      </c>
      <c r="B39" t="str">
        <f>ToResult(語言列表!B39)</f>
        <v>[ffed00]damage[-][546ef2]+1[-]</v>
      </c>
      <c r="C39" t="str">
        <f>ToResult(語言列表!C39)</f>
        <v>增加1點傷害</v>
      </c>
    </row>
    <row r="40" spans="1:3" x14ac:dyDescent="0.25">
      <c r="A40" t="str">
        <f>ToResult(語言列表!A40)</f>
        <v/>
      </c>
      <c r="B40" t="str">
        <f>ToResult(語言列表!B40)</f>
        <v/>
      </c>
      <c r="C40" t="str">
        <f>ToResult(語言列表!C40)</f>
        <v/>
      </c>
    </row>
    <row r="41" spans="1:3" x14ac:dyDescent="0.25">
      <c r="A41" t="str">
        <f>ToResult(語言列表!A41)</f>
        <v/>
      </c>
      <c r="B41" t="str">
        <f>ToResult(語言列表!B41)</f>
        <v/>
      </c>
      <c r="C41" t="str">
        <f>ToResult(語言列表!C41)</f>
        <v/>
      </c>
    </row>
    <row r="42" spans="1:3" x14ac:dyDescent="0.25">
      <c r="A42" t="str">
        <f>ToResult(語言列表!A42)</f>
        <v/>
      </c>
      <c r="B42" t="str">
        <f>ToResult(語言列表!B42)</f>
        <v/>
      </c>
      <c r="C42" t="str">
        <f>ToResult(語言列表!C42)</f>
        <v/>
      </c>
    </row>
    <row r="43" spans="1:3" x14ac:dyDescent="0.25">
      <c r="A43" t="str">
        <f>ToResult(語言列表!A43)</f>
        <v/>
      </c>
      <c r="B43" t="str">
        <f>ToResult(語言列表!B43)</f>
        <v/>
      </c>
      <c r="C43" t="str">
        <f>ToResult(語言列表!C43)</f>
        <v/>
      </c>
    </row>
    <row r="44" spans="1:3" x14ac:dyDescent="0.25">
      <c r="A44" t="str">
        <f>ToResult(語言列表!A44)</f>
        <v/>
      </c>
      <c r="B44" t="str">
        <f>ToResult(語言列表!B44)</f>
        <v/>
      </c>
      <c r="C44" t="str">
        <f>ToResult(語言列表!C44)</f>
        <v/>
      </c>
    </row>
    <row r="45" spans="1:3" x14ac:dyDescent="0.25">
      <c r="A45" t="str">
        <f>ToResult(語言列表!A45)</f>
        <v/>
      </c>
      <c r="B45" t="str">
        <f>ToResult(語言列表!B45)</f>
        <v/>
      </c>
      <c r="C45" t="str">
        <f>ToResult(語言列表!C45)</f>
        <v/>
      </c>
    </row>
    <row r="46" spans="1:3" x14ac:dyDescent="0.25">
      <c r="A46" t="str">
        <f>ToResult(語言列表!A46)</f>
        <v/>
      </c>
      <c r="B46" t="str">
        <f>ToResult(語言列表!B46)</f>
        <v/>
      </c>
      <c r="C46" t="str">
        <f>ToResult(語言列表!C46)</f>
        <v/>
      </c>
    </row>
    <row r="47" spans="1:3" x14ac:dyDescent="0.25">
      <c r="A47" t="str">
        <f>ToResult(語言列表!A47)</f>
        <v/>
      </c>
      <c r="B47" t="str">
        <f>ToResult(語言列表!B47)</f>
        <v/>
      </c>
      <c r="C47" t="str">
        <f>ToResult(語言列表!C47)</f>
        <v/>
      </c>
    </row>
    <row r="48" spans="1:3" x14ac:dyDescent="0.25">
      <c r="A48" t="str">
        <f>ToResult(語言列表!A48)</f>
        <v/>
      </c>
      <c r="B48" t="str">
        <f>ToResult(語言列表!B48)</f>
        <v/>
      </c>
      <c r="C48" t="str">
        <f>ToResult(語言列表!C48)</f>
        <v/>
      </c>
    </row>
    <row r="49" spans="1:3" x14ac:dyDescent="0.25">
      <c r="A49" t="str">
        <f>ToResult(語言列表!A49)</f>
        <v/>
      </c>
      <c r="B49" t="str">
        <f>ToResult(語言列表!B49)</f>
        <v/>
      </c>
      <c r="C49" t="str">
        <f>ToResult(語言列表!C49)</f>
        <v/>
      </c>
    </row>
    <row r="50" spans="1:3" x14ac:dyDescent="0.25">
      <c r="A50" t="str">
        <f>ToResult(語言列表!A50)</f>
        <v/>
      </c>
      <c r="B50" t="str">
        <f>ToResult(語言列表!B50)</f>
        <v/>
      </c>
      <c r="C50" t="str">
        <f>ToResult(語言列表!C50)</f>
        <v/>
      </c>
    </row>
    <row r="51" spans="1:3" x14ac:dyDescent="0.25">
      <c r="A51" t="str">
        <f>ToResult(語言列表!A51)</f>
        <v/>
      </c>
      <c r="B51" t="str">
        <f>ToResult(語言列表!B51)</f>
        <v/>
      </c>
      <c r="C51" t="str">
        <f>ToResult(語言列表!C51)</f>
        <v/>
      </c>
    </row>
    <row r="52" spans="1:3" x14ac:dyDescent="0.25">
      <c r="A52" t="str">
        <f>ToResult(語言列表!A52)</f>
        <v/>
      </c>
      <c r="B52" t="str">
        <f>ToResult(語言列表!B52)</f>
        <v/>
      </c>
      <c r="C52" t="str">
        <f>ToResult(語言列表!C52)</f>
        <v/>
      </c>
    </row>
    <row r="53" spans="1:3" x14ac:dyDescent="0.25">
      <c r="A53" t="str">
        <f>ToResult(語言列表!A53)</f>
        <v/>
      </c>
      <c r="B53" t="str">
        <f>ToResult(語言列表!B53)</f>
        <v/>
      </c>
      <c r="C53" t="str">
        <f>ToResult(語言列表!C53)</f>
        <v/>
      </c>
    </row>
    <row r="54" spans="1:3" x14ac:dyDescent="0.25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 x14ac:dyDescent="0.25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 x14ac:dyDescent="0.25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 x14ac:dyDescent="0.25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 x14ac:dyDescent="0.25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 x14ac:dyDescent="0.25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 x14ac:dyDescent="0.25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 x14ac:dyDescent="0.25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 x14ac:dyDescent="0.25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 x14ac:dyDescent="0.25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 x14ac:dyDescent="0.25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 x14ac:dyDescent="0.25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 x14ac:dyDescent="0.25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 x14ac:dyDescent="0.25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 x14ac:dyDescent="0.25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 x14ac:dyDescent="0.25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 x14ac:dyDescent="0.25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 x14ac:dyDescent="0.25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 x14ac:dyDescent="0.25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 x14ac:dyDescent="0.25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 x14ac:dyDescent="0.25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 x14ac:dyDescent="0.25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 x14ac:dyDescent="0.25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 x14ac:dyDescent="0.25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 x14ac:dyDescent="0.25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 x14ac:dyDescent="0.25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 x14ac:dyDescent="0.25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 x14ac:dyDescent="0.25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 x14ac:dyDescent="0.25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 x14ac:dyDescent="0.25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 x14ac:dyDescent="0.25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 x14ac:dyDescent="0.25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 x14ac:dyDescent="0.25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 x14ac:dyDescent="0.25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 x14ac:dyDescent="0.25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 x14ac:dyDescent="0.25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 x14ac:dyDescent="0.25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 x14ac:dyDescent="0.25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 x14ac:dyDescent="0.25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 x14ac:dyDescent="0.25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 x14ac:dyDescent="0.25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 x14ac:dyDescent="0.25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 x14ac:dyDescent="0.25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 x14ac:dyDescent="0.25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 x14ac:dyDescent="0.25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 x14ac:dyDescent="0.25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 x14ac:dyDescent="0.25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E7" sqref="E7"/>
    </sheetView>
  </sheetViews>
  <sheetFormatPr defaultRowHeight="16.5" x14ac:dyDescent="0.25"/>
  <cols>
    <col min="1" max="10" width="15.625" customWidth="1"/>
  </cols>
  <sheetData>
    <row r="1" spans="1:10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Gain</v>
      </c>
      <c r="E1" t="str">
        <f>裝備!E1</f>
        <v>Damage</v>
      </c>
      <c r="F1" t="str">
        <f>裝備!F1</f>
        <v>CriticalStrike</v>
      </c>
      <c r="G1" t="str">
        <f>裝備!G1</f>
        <v>FireRate</v>
      </c>
      <c r="H1" t="str">
        <f>裝備!H1</f>
        <v>Range</v>
      </c>
      <c r="I1" t="str">
        <f>裝備!I1</f>
        <v>Resource</v>
      </c>
    </row>
    <row r="2" spans="1:10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1</v>
      </c>
      <c r="E2" t="str">
        <f>ToResult(裝備!E2)</f>
        <v>0</v>
      </c>
      <c r="F2" t="str">
        <f>ToResult(裝備!F2)</f>
        <v>0</v>
      </c>
      <c r="G2" t="str">
        <f>ToResult(裝備!G2)</f>
        <v>0</v>
      </c>
      <c r="H2" t="str">
        <f>ToEquipRange(裝備!H2)</f>
        <v>2</v>
      </c>
      <c r="I2" t="str">
        <f>ToEquipResource(裝備!I2)</f>
        <v>1</v>
      </c>
    </row>
    <row r="3" spans="1:10" x14ac:dyDescent="0.25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12</v>
      </c>
      <c r="E3" t="str">
        <f>ToResult(裝備!E3)</f>
        <v>30</v>
      </c>
      <c r="F3" t="str">
        <f>ToResult(裝備!F3)</f>
        <v>0</v>
      </c>
      <c r="G3" t="str">
        <f>ToResult(裝備!G3)</f>
        <v>1</v>
      </c>
      <c r="H3" t="str">
        <f>ToEquipRange(裝備!H3)</f>
        <v>2</v>
      </c>
      <c r="I3" t="str">
        <f>ToEquipResource(裝備!I3)</f>
        <v>2</v>
      </c>
    </row>
    <row r="4" spans="1:10" x14ac:dyDescent="0.25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10</v>
      </c>
      <c r="E4" t="str">
        <f>ToResult(裝備!E4)</f>
        <v>30</v>
      </c>
      <c r="F4" t="str">
        <f>ToResult(裝備!F4)</f>
        <v>0.2</v>
      </c>
      <c r="G4" t="str">
        <f>ToResult(裝備!G4)</f>
        <v>1</v>
      </c>
      <c r="H4" t="str">
        <f>ToEquipRange(裝備!H4)</f>
        <v>2</v>
      </c>
      <c r="I4" t="str">
        <f>ToEquipResource(裝備!I4)</f>
        <v>2</v>
      </c>
    </row>
    <row r="5" spans="1:10" x14ac:dyDescent="0.25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8</v>
      </c>
      <c r="E5" t="str">
        <f>ToResult(裝備!E5)</f>
        <v>60</v>
      </c>
      <c r="F5" t="str">
        <f>ToResult(裝備!F5)</f>
        <v>0.8</v>
      </c>
      <c r="G5" t="str">
        <f>ToResult(裝備!G5)</f>
        <v>2.5</v>
      </c>
      <c r="H5" t="str">
        <f>ToEquipRange(裝備!H5)</f>
        <v>2</v>
      </c>
      <c r="I5" t="str">
        <f>ToEquipResource(裝備!I5)</f>
        <v>2</v>
      </c>
    </row>
    <row r="6" spans="1:10" x14ac:dyDescent="0.25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10</v>
      </c>
      <c r="E6" t="str">
        <f>ToResult(裝備!E6)</f>
        <v>20</v>
      </c>
      <c r="F6" t="str">
        <f>ToResult(裝備!F6)</f>
        <v>0.25</v>
      </c>
      <c r="G6" t="str">
        <f>ToResult(裝備!G6)</f>
        <v>0.5</v>
      </c>
      <c r="H6" t="str">
        <f>ToEquipRange(裝備!H6)</f>
        <v>2</v>
      </c>
      <c r="I6" t="str">
        <f>ToEquipResource(裝備!I6)</f>
        <v>3</v>
      </c>
    </row>
    <row r="7" spans="1:10" x14ac:dyDescent="0.25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8</v>
      </c>
      <c r="E7" t="str">
        <f>ToResult(裝備!E7)</f>
        <v>40</v>
      </c>
      <c r="F7" t="str">
        <f>ToResult(裝備!F7)</f>
        <v>0.5</v>
      </c>
      <c r="G7" t="str">
        <f>ToResult(裝備!G7)</f>
        <v>1</v>
      </c>
      <c r="H7" t="str">
        <f>ToEquipRange(裝備!H7)</f>
        <v>2</v>
      </c>
      <c r="I7" t="str">
        <f>ToEquipResource(裝備!I7)</f>
        <v>3</v>
      </c>
    </row>
    <row r="8" spans="1:10" x14ac:dyDescent="0.25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6</v>
      </c>
      <c r="E8" t="str">
        <f>ToResult(裝備!E8)</f>
        <v>20</v>
      </c>
      <c r="F8" t="str">
        <f>ToResult(裝備!F8)</f>
        <v>0</v>
      </c>
      <c r="G8" t="str">
        <f>ToResult(裝備!G8)</f>
        <v>0.25</v>
      </c>
      <c r="H8" t="str">
        <f>ToEquipRange(裝備!H8)</f>
        <v>2</v>
      </c>
      <c r="I8" t="str">
        <f>ToEquipResource(裝備!I8)</f>
        <v>3</v>
      </c>
    </row>
    <row r="9" spans="1:10" x14ac:dyDescent="0.25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ToEquipRange(裝備!H9)</f>
        <v/>
      </c>
      <c r="I9" t="str">
        <f>ToEquipResource(裝備!I9)</f>
        <v/>
      </c>
      <c r="J9" t="str">
        <f>ToEquipResource(裝備!I9)</f>
        <v/>
      </c>
    </row>
    <row r="10" spans="1:10" x14ac:dyDescent="0.25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ToEquipRange(裝備!H10)</f>
        <v/>
      </c>
      <c r="I10" t="str">
        <f>ToEquipResource(裝備!I10)</f>
        <v/>
      </c>
      <c r="J10" t="str">
        <f>ToEquipResource(裝備!I10)</f>
        <v/>
      </c>
    </row>
    <row r="11" spans="1:10" x14ac:dyDescent="0.25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ToEquipRange(裝備!H11)</f>
        <v/>
      </c>
      <c r="I11" t="str">
        <f>ToEquipResource(裝備!I11)</f>
        <v/>
      </c>
      <c r="J11" t="str">
        <f>ToEquipResource(裝備!I11)</f>
        <v/>
      </c>
    </row>
    <row r="12" spans="1:10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ToEquipRange(裝備!H12)</f>
        <v/>
      </c>
      <c r="I12" t="str">
        <f>ToEquipResource(裝備!I12)</f>
        <v/>
      </c>
      <c r="J12" t="str">
        <f>ToEquipResource(裝備!I12)</f>
        <v/>
      </c>
    </row>
    <row r="13" spans="1:10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ToEquipRange(裝備!H13)</f>
        <v/>
      </c>
      <c r="I13" t="str">
        <f>ToEquipResource(裝備!I13)</f>
        <v/>
      </c>
      <c r="J13" t="str">
        <f>ToEquipResource(裝備!I13)</f>
        <v/>
      </c>
    </row>
    <row r="14" spans="1:10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ToEquipRange(裝備!H14)</f>
        <v/>
      </c>
      <c r="I14" t="str">
        <f>ToEquipResource(裝備!I14)</f>
        <v/>
      </c>
      <c r="J14" t="str">
        <f>ToEquipResource(裝備!I14)</f>
        <v/>
      </c>
    </row>
    <row r="15" spans="1:10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ToEquipRange(裝備!H15)</f>
        <v/>
      </c>
      <c r="I15" t="str">
        <f>ToEquipResource(裝備!I15)</f>
        <v/>
      </c>
      <c r="J15" t="str">
        <f>ToEquipResource(裝備!I15)</f>
        <v/>
      </c>
    </row>
    <row r="16" spans="1:10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ToEquipRange(裝備!H16)</f>
        <v/>
      </c>
      <c r="I16" t="str">
        <f>ToEquipResource(裝備!I16)</f>
        <v/>
      </c>
      <c r="J16" t="str">
        <f>ToEquipResource(裝備!I16)</f>
        <v/>
      </c>
    </row>
    <row r="17" spans="1:10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ToEquipRange(裝備!H17)</f>
        <v/>
      </c>
      <c r="I17" t="str">
        <f>ToEquipResource(裝備!I17)</f>
        <v/>
      </c>
      <c r="J17" t="str">
        <f>ToEquipResource(裝備!I17)</f>
        <v/>
      </c>
    </row>
    <row r="18" spans="1:10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ToEquipRange(裝備!H18)</f>
        <v/>
      </c>
      <c r="I18" t="str">
        <f>ToEquipResource(裝備!I18)</f>
        <v/>
      </c>
      <c r="J18" t="str">
        <f>ToEquipResource(裝備!I18)</f>
        <v/>
      </c>
    </row>
    <row r="19" spans="1:10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ToEquipRange(裝備!H19)</f>
        <v/>
      </c>
      <c r="I19" t="str">
        <f>ToEquipResource(裝備!I19)</f>
        <v/>
      </c>
      <c r="J19" t="str">
        <f>ToEquipResource(裝備!I19)</f>
        <v/>
      </c>
    </row>
    <row r="20" spans="1:10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ToEquipRange(裝備!H20)</f>
        <v/>
      </c>
      <c r="I20" t="str">
        <f>ToEquipResource(裝備!I20)</f>
        <v/>
      </c>
      <c r="J20" t="str">
        <f>ToEquipResource(裝備!I20)</f>
        <v/>
      </c>
    </row>
    <row r="21" spans="1:10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ToEquipRange(裝備!H21)</f>
        <v/>
      </c>
      <c r="I21" t="str">
        <f>ToEquipResource(裝備!I21)</f>
        <v/>
      </c>
      <c r="J21" t="str">
        <f>ToEquipResource(裝備!I21)</f>
        <v/>
      </c>
    </row>
    <row r="22" spans="1:10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ToEquipRange(裝備!H22)</f>
        <v/>
      </c>
      <c r="I22" t="str">
        <f>ToEquipResource(裝備!I22)</f>
        <v/>
      </c>
      <c r="J22" t="str">
        <f>ToEquipResource(裝備!I22)</f>
        <v/>
      </c>
    </row>
    <row r="23" spans="1:10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ToEquipRange(裝備!H23)</f>
        <v/>
      </c>
      <c r="I23" t="str">
        <f>ToEquipResource(裝備!I23)</f>
        <v/>
      </c>
      <c r="J23" t="str">
        <f>ToEquipResource(裝備!I23)</f>
        <v/>
      </c>
    </row>
    <row r="24" spans="1:10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ToEquipRange(裝備!H24)</f>
        <v/>
      </c>
      <c r="I24" t="str">
        <f>ToEquipResource(裝備!I24)</f>
        <v/>
      </c>
      <c r="J24" t="str">
        <f>ToEquipResource(裝備!I24)</f>
        <v/>
      </c>
    </row>
    <row r="25" spans="1:10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ToEquipRange(裝備!H25)</f>
        <v/>
      </c>
      <c r="I25" t="str">
        <f>ToEquipResource(裝備!I25)</f>
        <v/>
      </c>
      <c r="J25" t="str">
        <f>ToEquipResource(裝備!I25)</f>
        <v/>
      </c>
    </row>
    <row r="26" spans="1:10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ToEquipRange(裝備!H26)</f>
        <v/>
      </c>
      <c r="I26" t="str">
        <f>ToEquipResource(裝備!I26)</f>
        <v/>
      </c>
      <c r="J26" t="str">
        <f>ToEquipResource(裝備!I26)</f>
        <v/>
      </c>
    </row>
    <row r="27" spans="1:10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ToEquipRange(裝備!H27)</f>
        <v/>
      </c>
      <c r="I27" t="str">
        <f>ToEquipResource(裝備!I27)</f>
        <v/>
      </c>
      <c r="J27" t="str">
        <f>ToEquipResource(裝備!I27)</f>
        <v/>
      </c>
    </row>
    <row r="28" spans="1:10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ToEquipRange(裝備!H28)</f>
        <v/>
      </c>
      <c r="I28" t="str">
        <f>ToEquipResource(裝備!I28)</f>
        <v/>
      </c>
      <c r="J28" t="str">
        <f>ToEquipResource(裝備!I28)</f>
        <v/>
      </c>
    </row>
    <row r="29" spans="1:10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ToEquipRange(裝備!H29)</f>
        <v/>
      </c>
      <c r="I29" t="str">
        <f>ToEquipResource(裝備!I29)</f>
        <v/>
      </c>
      <c r="J29" t="str">
        <f>ToEquipResource(裝備!I29)</f>
        <v/>
      </c>
    </row>
    <row r="30" spans="1:10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ToEquipRange(裝備!H30)</f>
        <v/>
      </c>
      <c r="I30" t="str">
        <f>ToEquipResource(裝備!I30)</f>
        <v/>
      </c>
      <c r="J30" t="str">
        <f>ToEquipResource(裝備!I30)</f>
        <v/>
      </c>
    </row>
    <row r="31" spans="1:10" x14ac:dyDescent="0.25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ToEquipRange(裝備!H31)</f>
        <v/>
      </c>
      <c r="I31" t="str">
        <f>ToEquipResource(裝備!I31)</f>
        <v/>
      </c>
      <c r="J31" t="str">
        <f>ToEquipResource(裝備!I31)</f>
        <v/>
      </c>
    </row>
    <row r="32" spans="1:10" x14ac:dyDescent="0.25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ToEquipRange(裝備!H32)</f>
        <v/>
      </c>
      <c r="I32" t="str">
        <f>ToEquipResource(裝備!I32)</f>
        <v/>
      </c>
      <c r="J32" t="str">
        <f>ToEquipResource(裝備!I32)</f>
        <v/>
      </c>
    </row>
    <row r="33" spans="1:10" x14ac:dyDescent="0.25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ToEquipRange(裝備!H33)</f>
        <v/>
      </c>
      <c r="I33" t="str">
        <f>ToEquipResource(裝備!I33)</f>
        <v/>
      </c>
      <c r="J33" t="str">
        <f>ToEquipResource(裝備!I33)</f>
        <v/>
      </c>
    </row>
    <row r="34" spans="1:10" x14ac:dyDescent="0.25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ToEquipRange(裝備!H34)</f>
        <v/>
      </c>
      <c r="I34" t="str">
        <f>ToEquipResource(裝備!I34)</f>
        <v/>
      </c>
      <c r="J34" t="str">
        <f>ToEquipResource(裝備!I34)</f>
        <v/>
      </c>
    </row>
    <row r="35" spans="1:10" x14ac:dyDescent="0.25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ToEquipRange(裝備!H35)</f>
        <v/>
      </c>
      <c r="I35" t="str">
        <f>ToEquipResource(裝備!I35)</f>
        <v/>
      </c>
      <c r="J35" t="str">
        <f>ToEquipResource(裝備!I35)</f>
        <v/>
      </c>
    </row>
    <row r="36" spans="1:10" x14ac:dyDescent="0.25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ToEquipRange(裝備!H36)</f>
        <v/>
      </c>
      <c r="I36" t="str">
        <f>ToEquipResource(裝備!I36)</f>
        <v/>
      </c>
      <c r="J36" t="str">
        <f>ToEquipResource(裝備!I36)</f>
        <v/>
      </c>
    </row>
    <row r="37" spans="1:10" x14ac:dyDescent="0.25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ToEquipRange(裝備!H37)</f>
        <v/>
      </c>
      <c r="I37" t="str">
        <f>ToEquipResource(裝備!I37)</f>
        <v/>
      </c>
      <c r="J37" t="str">
        <f>ToEquipResource(裝備!I37)</f>
        <v/>
      </c>
    </row>
    <row r="38" spans="1:10" x14ac:dyDescent="0.25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ToEquipRange(裝備!H38)</f>
        <v/>
      </c>
      <c r="I38" t="str">
        <f>ToEquipResource(裝備!I38)</f>
        <v/>
      </c>
      <c r="J38" t="str">
        <f>ToEquipResource(裝備!I38)</f>
        <v/>
      </c>
    </row>
    <row r="39" spans="1:10" x14ac:dyDescent="0.25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ToEquipRange(裝備!H39)</f>
        <v/>
      </c>
      <c r="I39" t="str">
        <f>ToEquipResource(裝備!I39)</f>
        <v/>
      </c>
      <c r="J39" t="str">
        <f>ToEquipResource(裝備!I39)</f>
        <v/>
      </c>
    </row>
    <row r="40" spans="1:10" x14ac:dyDescent="0.25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ToEquipRange(裝備!H40)</f>
        <v/>
      </c>
      <c r="I40" t="str">
        <f>ToEquipResource(裝備!I40)</f>
        <v/>
      </c>
      <c r="J40" t="str">
        <f>ToEquipResource(裝備!I40)</f>
        <v/>
      </c>
    </row>
    <row r="41" spans="1:10" x14ac:dyDescent="0.25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ToEquipRange(裝備!H41)</f>
        <v/>
      </c>
      <c r="I41" t="str">
        <f>ToEquipResource(裝備!I41)</f>
        <v/>
      </c>
      <c r="J41" t="str">
        <f>ToEquipResource(裝備!I41)</f>
        <v/>
      </c>
    </row>
    <row r="42" spans="1:10" x14ac:dyDescent="0.25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ToEquipRange(裝備!H42)</f>
        <v/>
      </c>
      <c r="I42" t="str">
        <f>ToEquipResource(裝備!I42)</f>
        <v/>
      </c>
      <c r="J42" t="str">
        <f>ToEquipResource(裝備!I42)</f>
        <v/>
      </c>
    </row>
    <row r="43" spans="1:10" x14ac:dyDescent="0.25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ToEquipRange(裝備!H43)</f>
        <v/>
      </c>
      <c r="I43" t="str">
        <f>ToEquipResource(裝備!I43)</f>
        <v/>
      </c>
      <c r="J43" t="str">
        <f>ToEquipResource(裝備!I43)</f>
        <v/>
      </c>
    </row>
    <row r="44" spans="1:10" x14ac:dyDescent="0.25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ToEquipRange(裝備!H44)</f>
        <v/>
      </c>
      <c r="I44" t="str">
        <f>ToEquipResource(裝備!I44)</f>
        <v/>
      </c>
      <c r="J44" t="str">
        <f>ToEquipResource(裝備!I44)</f>
        <v/>
      </c>
    </row>
    <row r="45" spans="1:10" x14ac:dyDescent="0.25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ToEquipRange(裝備!H45)</f>
        <v/>
      </c>
      <c r="I45" t="str">
        <f>ToEquipResource(裝備!I45)</f>
        <v/>
      </c>
      <c r="J45" t="str">
        <f>ToEquipResource(裝備!I45)</f>
        <v/>
      </c>
    </row>
    <row r="46" spans="1:10" x14ac:dyDescent="0.25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ToEquipRange(裝備!H46)</f>
        <v/>
      </c>
      <c r="I46" t="str">
        <f>ToEquipResource(裝備!I46)</f>
        <v/>
      </c>
      <c r="J46" t="str">
        <f>ToEquipResource(裝備!I46)</f>
        <v/>
      </c>
    </row>
    <row r="47" spans="1:10" x14ac:dyDescent="0.25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ToEquipRange(裝備!H47)</f>
        <v/>
      </c>
      <c r="I47" t="str">
        <f>ToEquipResource(裝備!I47)</f>
        <v/>
      </c>
      <c r="J47" t="str">
        <f>ToEquipResource(裝備!I47)</f>
        <v/>
      </c>
    </row>
    <row r="48" spans="1:10" x14ac:dyDescent="0.25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ToEquipRange(裝備!H48)</f>
        <v/>
      </c>
      <c r="I48" t="str">
        <f>ToEquipResource(裝備!I48)</f>
        <v/>
      </c>
      <c r="J48" t="str">
        <f>ToEquipResource(裝備!I48)</f>
        <v/>
      </c>
    </row>
    <row r="49" spans="1:10" x14ac:dyDescent="0.25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ToEquipRange(裝備!H49)</f>
        <v/>
      </c>
      <c r="I49" t="str">
        <f>ToEquipResource(裝備!I49)</f>
        <v/>
      </c>
      <c r="J49" t="str">
        <f>ToEquipResource(裝備!I49)</f>
        <v/>
      </c>
    </row>
    <row r="50" spans="1:10" x14ac:dyDescent="0.25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ToEquipRange(裝備!H50)</f>
        <v/>
      </c>
      <c r="I50" t="str">
        <f>ToEquipResource(裝備!I50)</f>
        <v/>
      </c>
      <c r="J50" t="str">
        <f>ToEquipResource(裝備!I50)</f>
        <v/>
      </c>
    </row>
    <row r="51" spans="1:10" x14ac:dyDescent="0.25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ToEquipRange(裝備!H51)</f>
        <v/>
      </c>
      <c r="I51" t="str">
        <f>ToEquipResource(裝備!I51)</f>
        <v/>
      </c>
      <c r="J51" t="str">
        <f>ToEquipResource(裝備!I51)</f>
        <v/>
      </c>
    </row>
    <row r="52" spans="1:10" x14ac:dyDescent="0.25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ToEquipRange(裝備!H52)</f>
        <v/>
      </c>
      <c r="I52" t="str">
        <f>ToEquipResource(裝備!I52)</f>
        <v/>
      </c>
      <c r="J52" t="str">
        <f>ToEquipResource(裝備!I52)</f>
        <v/>
      </c>
    </row>
    <row r="53" spans="1:10" x14ac:dyDescent="0.25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ToEquipRange(裝備!H53)</f>
        <v/>
      </c>
      <c r="I53" t="str">
        <f>ToEquipResource(裝備!I53)</f>
        <v/>
      </c>
      <c r="J53" t="str">
        <f>ToEquipResource(裝備!I53)</f>
        <v/>
      </c>
    </row>
    <row r="54" spans="1:10" x14ac:dyDescent="0.25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ToEquipRange(裝備!H54)</f>
        <v/>
      </c>
      <c r="I54" t="str">
        <f>ToEquipResource(裝備!I54)</f>
        <v/>
      </c>
      <c r="J54" t="str">
        <f>ToEquipResource(裝備!I54)</f>
        <v/>
      </c>
    </row>
    <row r="55" spans="1:10" x14ac:dyDescent="0.25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ToEquipRange(裝備!H55)</f>
        <v/>
      </c>
      <c r="I55" t="str">
        <f>ToEquipResource(裝備!I55)</f>
        <v/>
      </c>
      <c r="J55" t="str">
        <f>ToEquipResource(裝備!I55)</f>
        <v/>
      </c>
    </row>
    <row r="56" spans="1:10" x14ac:dyDescent="0.25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ToEquipRange(裝備!H56)</f>
        <v/>
      </c>
      <c r="I56" t="str">
        <f>ToEquipResource(裝備!I56)</f>
        <v/>
      </c>
      <c r="J56" t="str">
        <f>ToEquipResource(裝備!I56)</f>
        <v/>
      </c>
    </row>
    <row r="57" spans="1:10" x14ac:dyDescent="0.25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ToEquipRange(裝備!H57)</f>
        <v/>
      </c>
      <c r="I57" t="str">
        <f>ToEquipResource(裝備!I57)</f>
        <v/>
      </c>
      <c r="J57" t="str">
        <f>ToEquipResource(裝備!I57)</f>
        <v/>
      </c>
    </row>
    <row r="58" spans="1:10" x14ac:dyDescent="0.25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ToEquipRange(裝備!H58)</f>
        <v/>
      </c>
      <c r="I58" t="str">
        <f>ToEquipResource(裝備!I58)</f>
        <v/>
      </c>
      <c r="J58" t="str">
        <f>ToEquipResource(裝備!I58)</f>
        <v/>
      </c>
    </row>
    <row r="59" spans="1:10" x14ac:dyDescent="0.25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ToEquipRange(裝備!H59)</f>
        <v/>
      </c>
      <c r="I59" t="str">
        <f>ToEquipResource(裝備!I59)</f>
        <v/>
      </c>
      <c r="J59" t="str">
        <f>ToEquipResource(裝備!I59)</f>
        <v/>
      </c>
    </row>
    <row r="60" spans="1:10" x14ac:dyDescent="0.25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ToEquipRange(裝備!H60)</f>
        <v/>
      </c>
      <c r="I60" t="str">
        <f>ToEquipResource(裝備!I60)</f>
        <v/>
      </c>
      <c r="J60" t="str">
        <f>ToEquipResource(裝備!I60)</f>
        <v/>
      </c>
    </row>
    <row r="61" spans="1:10" x14ac:dyDescent="0.25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ToEquipRange(裝備!H61)</f>
        <v/>
      </c>
      <c r="I61" t="str">
        <f>ToEquipResource(裝備!I61)</f>
        <v/>
      </c>
      <c r="J61" t="str">
        <f>ToEquipResource(裝備!I61)</f>
        <v/>
      </c>
    </row>
    <row r="62" spans="1:10" x14ac:dyDescent="0.25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ToEquipRange(裝備!H62)</f>
        <v/>
      </c>
      <c r="I62" t="str">
        <f>ToEquipResource(裝備!I62)</f>
        <v/>
      </c>
      <c r="J62" t="str">
        <f>ToEquipResource(裝備!I62)</f>
        <v/>
      </c>
    </row>
    <row r="63" spans="1:10" x14ac:dyDescent="0.25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ToEquipRange(裝備!H63)</f>
        <v/>
      </c>
      <c r="I63" t="str">
        <f>ToEquipResource(裝備!I63)</f>
        <v/>
      </c>
      <c r="J63" t="str">
        <f>ToEquipResource(裝備!I63)</f>
        <v/>
      </c>
    </row>
    <row r="64" spans="1:10" x14ac:dyDescent="0.25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ToEquipRange(裝備!H64)</f>
        <v/>
      </c>
      <c r="I64" t="str">
        <f>ToEquipResource(裝備!I64)</f>
        <v/>
      </c>
      <c r="J64" t="str">
        <f>ToEquipResource(裝備!I64)</f>
        <v/>
      </c>
    </row>
    <row r="65" spans="1:10" x14ac:dyDescent="0.25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ToEquipRange(裝備!H65)</f>
        <v/>
      </c>
      <c r="I65" t="str">
        <f>ToEquipResource(裝備!I65)</f>
        <v/>
      </c>
      <c r="J65" t="str">
        <f>ToEquipResource(裝備!I65)</f>
        <v/>
      </c>
    </row>
    <row r="66" spans="1:10" x14ac:dyDescent="0.25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ToEquipRange(裝備!H66)</f>
        <v/>
      </c>
      <c r="I66" t="str">
        <f>ToEquipResource(裝備!I66)</f>
        <v/>
      </c>
      <c r="J66" t="str">
        <f>ToEquipResource(裝備!I66)</f>
        <v/>
      </c>
    </row>
    <row r="67" spans="1:10" x14ac:dyDescent="0.25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ToEquipRange(裝備!H67)</f>
        <v/>
      </c>
      <c r="I67" t="str">
        <f>ToEquipResource(裝備!I67)</f>
        <v/>
      </c>
      <c r="J67" t="str">
        <f>ToEquipResource(裝備!I67)</f>
        <v/>
      </c>
    </row>
    <row r="68" spans="1:10" x14ac:dyDescent="0.25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ToEquipRange(裝備!H68)</f>
        <v/>
      </c>
      <c r="I68" t="str">
        <f>ToEquipResource(裝備!I68)</f>
        <v/>
      </c>
      <c r="J68" t="str">
        <f>ToEquipResource(裝備!I68)</f>
        <v/>
      </c>
    </row>
    <row r="69" spans="1:10" x14ac:dyDescent="0.25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ToEquipRange(裝備!H69)</f>
        <v/>
      </c>
      <c r="I69" t="str">
        <f>ToEquipResource(裝備!I69)</f>
        <v/>
      </c>
      <c r="J69" t="str">
        <f>ToEquipResource(裝備!I69)</f>
        <v/>
      </c>
    </row>
    <row r="70" spans="1:10" x14ac:dyDescent="0.25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ToEquipRange(裝備!H70)</f>
        <v/>
      </c>
      <c r="I70" t="str">
        <f>ToEquipResource(裝備!I70)</f>
        <v/>
      </c>
      <c r="J70" t="str">
        <f>ToEquipResource(裝備!I70)</f>
        <v/>
      </c>
    </row>
    <row r="71" spans="1:10" x14ac:dyDescent="0.25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ToEquipRange(裝備!H71)</f>
        <v/>
      </c>
      <c r="I71" t="str">
        <f>ToEquipResource(裝備!I71)</f>
        <v/>
      </c>
      <c r="J71" t="str">
        <f>ToEquipResource(裝備!I71)</f>
        <v/>
      </c>
    </row>
    <row r="72" spans="1:10" x14ac:dyDescent="0.25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ToEquipRange(裝備!H72)</f>
        <v/>
      </c>
      <c r="I72" t="str">
        <f>ToEquipResource(裝備!I72)</f>
        <v/>
      </c>
      <c r="J72" t="str">
        <f>ToEquipResource(裝備!I72)</f>
        <v/>
      </c>
    </row>
    <row r="73" spans="1:10" x14ac:dyDescent="0.25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ToEquipRange(裝備!H73)</f>
        <v/>
      </c>
      <c r="I73" t="str">
        <f>ToEquipResource(裝備!I73)</f>
        <v/>
      </c>
      <c r="J73" t="str">
        <f>ToEquipResource(裝備!I73)</f>
        <v/>
      </c>
    </row>
    <row r="74" spans="1:10" x14ac:dyDescent="0.25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ToEquipRange(裝備!H74)</f>
        <v/>
      </c>
      <c r="I74" t="str">
        <f>ToEquipResource(裝備!I74)</f>
        <v/>
      </c>
      <c r="J74" t="str">
        <f>ToEquipResource(裝備!I74)</f>
        <v/>
      </c>
    </row>
    <row r="75" spans="1:10" x14ac:dyDescent="0.25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ToEquipRange(裝備!H75)</f>
        <v/>
      </c>
      <c r="I75" t="str">
        <f>ToEquipResource(裝備!I75)</f>
        <v/>
      </c>
      <c r="J75" t="str">
        <f>ToEquipResource(裝備!I75)</f>
        <v/>
      </c>
    </row>
    <row r="76" spans="1:10" x14ac:dyDescent="0.25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ToEquipRange(裝備!H76)</f>
        <v/>
      </c>
      <c r="I76" t="str">
        <f>ToEquipResource(裝備!I76)</f>
        <v/>
      </c>
      <c r="J76" t="str">
        <f>ToEquipResource(裝備!I76)</f>
        <v/>
      </c>
    </row>
    <row r="77" spans="1:10" x14ac:dyDescent="0.25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ToEquipRange(裝備!H77)</f>
        <v/>
      </c>
      <c r="I77" t="str">
        <f>ToEquipResource(裝備!I77)</f>
        <v/>
      </c>
      <c r="J77" t="str">
        <f>ToEquipResource(裝備!I77)</f>
        <v/>
      </c>
    </row>
    <row r="78" spans="1:10" x14ac:dyDescent="0.25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ToEquipRange(裝備!H78)</f>
        <v/>
      </c>
      <c r="I78" t="str">
        <f>ToEquipResource(裝備!I78)</f>
        <v/>
      </c>
      <c r="J78" t="str">
        <f>ToEquipResource(裝備!I78)</f>
        <v/>
      </c>
    </row>
    <row r="79" spans="1:10" x14ac:dyDescent="0.25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ToEquipRange(裝備!H79)</f>
        <v/>
      </c>
      <c r="I79" t="str">
        <f>ToEquipResource(裝備!I79)</f>
        <v/>
      </c>
      <c r="J79" t="str">
        <f>ToEquipResource(裝備!I79)</f>
        <v/>
      </c>
    </row>
    <row r="80" spans="1:10" x14ac:dyDescent="0.25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ToEquipRange(裝備!H80)</f>
        <v/>
      </c>
      <c r="I80" t="str">
        <f>ToEquipResource(裝備!I80)</f>
        <v/>
      </c>
      <c r="J80" t="str">
        <f>ToEquipResource(裝備!I80)</f>
        <v/>
      </c>
    </row>
    <row r="81" spans="1:10" x14ac:dyDescent="0.25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ToEquipRange(裝備!H81)</f>
        <v/>
      </c>
      <c r="I81" t="str">
        <f>ToEquipResource(裝備!I81)</f>
        <v/>
      </c>
      <c r="J81" t="str">
        <f>ToEquipResource(裝備!I81)</f>
        <v/>
      </c>
    </row>
    <row r="82" spans="1:10" x14ac:dyDescent="0.25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ToEquipRange(裝備!H82)</f>
        <v/>
      </c>
      <c r="I82" t="str">
        <f>ToEquipResource(裝備!I82)</f>
        <v/>
      </c>
      <c r="J82" t="str">
        <f>ToEquipResource(裝備!I82)</f>
        <v/>
      </c>
    </row>
    <row r="83" spans="1:10" x14ac:dyDescent="0.25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ToEquipRange(裝備!H83)</f>
        <v/>
      </c>
      <c r="I83" t="str">
        <f>ToEquipResource(裝備!I83)</f>
        <v/>
      </c>
      <c r="J83" t="str">
        <f>ToEquipResource(裝備!I83)</f>
        <v/>
      </c>
    </row>
    <row r="84" spans="1:10" x14ac:dyDescent="0.25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ToEquipRange(裝備!H84)</f>
        <v/>
      </c>
      <c r="I84" t="str">
        <f>ToEquipResource(裝備!I84)</f>
        <v/>
      </c>
      <c r="J84" t="str">
        <f>ToEquipResource(裝備!I84)</f>
        <v/>
      </c>
    </row>
    <row r="85" spans="1:10" x14ac:dyDescent="0.25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ToEquipRange(裝備!H85)</f>
        <v/>
      </c>
      <c r="I85" t="str">
        <f>ToEquipResource(裝備!I85)</f>
        <v/>
      </c>
      <c r="J85" t="str">
        <f>ToEquipResource(裝備!I85)</f>
        <v/>
      </c>
    </row>
    <row r="86" spans="1:10" x14ac:dyDescent="0.25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ToEquipRange(裝備!H86)</f>
        <v/>
      </c>
      <c r="I86" t="str">
        <f>ToEquipResource(裝備!I86)</f>
        <v/>
      </c>
      <c r="J86" t="str">
        <f>ToEquipResource(裝備!I86)</f>
        <v/>
      </c>
    </row>
    <row r="87" spans="1:10" x14ac:dyDescent="0.25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ToEquipRange(裝備!H87)</f>
        <v/>
      </c>
      <c r="I87" t="str">
        <f>ToEquipResource(裝備!I87)</f>
        <v/>
      </c>
      <c r="J87" t="str">
        <f>ToEquipResource(裝備!I87)</f>
        <v/>
      </c>
    </row>
    <row r="88" spans="1:10" x14ac:dyDescent="0.25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ToEquipRange(裝備!H88)</f>
        <v/>
      </c>
      <c r="I88" t="str">
        <f>ToEquipResource(裝備!I88)</f>
        <v/>
      </c>
      <c r="J88" t="str">
        <f>ToEquipResource(裝備!I88)</f>
        <v/>
      </c>
    </row>
    <row r="89" spans="1:10" x14ac:dyDescent="0.25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ToEquipRange(裝備!H89)</f>
        <v/>
      </c>
      <c r="I89" t="str">
        <f>ToEquipResource(裝備!I89)</f>
        <v/>
      </c>
      <c r="J89" t="str">
        <f>ToEquipResource(裝備!I89)</f>
        <v/>
      </c>
    </row>
    <row r="90" spans="1:10" x14ac:dyDescent="0.25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ToEquipRange(裝備!H90)</f>
        <v/>
      </c>
      <c r="I90" t="str">
        <f>ToEquipResource(裝備!I90)</f>
        <v/>
      </c>
      <c r="J90" t="str">
        <f>ToEquipResource(裝備!I90)</f>
        <v/>
      </c>
    </row>
    <row r="91" spans="1:10" x14ac:dyDescent="0.25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ToEquipRange(裝備!H91)</f>
        <v/>
      </c>
      <c r="I91" t="str">
        <f>ToEquipResource(裝備!I91)</f>
        <v/>
      </c>
      <c r="J91" t="str">
        <f>ToEquipResource(裝備!I91)</f>
        <v/>
      </c>
    </row>
    <row r="92" spans="1:10" x14ac:dyDescent="0.25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ToEquipRange(裝備!H92)</f>
        <v/>
      </c>
      <c r="I92" t="str">
        <f>ToEquipResource(裝備!I92)</f>
        <v/>
      </c>
      <c r="J92" t="str">
        <f>ToEquipResource(裝備!I92)</f>
        <v/>
      </c>
    </row>
    <row r="93" spans="1:10" x14ac:dyDescent="0.25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ToEquipRange(裝備!H93)</f>
        <v/>
      </c>
      <c r="I93" t="str">
        <f>ToEquipResource(裝備!I93)</f>
        <v/>
      </c>
      <c r="J93" t="str">
        <f>ToEquipResource(裝備!I93)</f>
        <v/>
      </c>
    </row>
    <row r="94" spans="1:10" x14ac:dyDescent="0.25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ToEquipRange(裝備!H94)</f>
        <v/>
      </c>
      <c r="I94" t="str">
        <f>ToEquipResource(裝備!I94)</f>
        <v/>
      </c>
      <c r="J94" t="str">
        <f>ToEquipResource(裝備!I94)</f>
        <v/>
      </c>
    </row>
    <row r="95" spans="1:10" x14ac:dyDescent="0.25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ToEquipRange(裝備!H95)</f>
        <v/>
      </c>
      <c r="I95" t="str">
        <f>ToEquipResource(裝備!I95)</f>
        <v/>
      </c>
      <c r="J95" t="str">
        <f>ToEquipResource(裝備!I95)</f>
        <v/>
      </c>
    </row>
    <row r="96" spans="1:10" x14ac:dyDescent="0.25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ToEquipRange(裝備!H96)</f>
        <v/>
      </c>
      <c r="I96" t="str">
        <f>ToEquipResource(裝備!I96)</f>
        <v/>
      </c>
      <c r="J96" t="str">
        <f>ToEquipResource(裝備!I96)</f>
        <v/>
      </c>
    </row>
    <row r="97" spans="1:10" x14ac:dyDescent="0.25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ToEquipRange(裝備!H97)</f>
        <v/>
      </c>
      <c r="I97" t="str">
        <f>ToEquipResource(裝備!I97)</f>
        <v/>
      </c>
      <c r="J97" t="str">
        <f>ToEquipResource(裝備!I97)</f>
        <v/>
      </c>
    </row>
    <row r="98" spans="1:10" x14ac:dyDescent="0.25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ToEquipRange(裝備!H98)</f>
        <v/>
      </c>
      <c r="I98" t="str">
        <f>ToEquipResource(裝備!I98)</f>
        <v/>
      </c>
      <c r="J98" t="str">
        <f>ToEquipResource(裝備!I98)</f>
        <v/>
      </c>
    </row>
    <row r="99" spans="1:10" x14ac:dyDescent="0.25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ToEquipRange(裝備!H99)</f>
        <v/>
      </c>
      <c r="I99" t="str">
        <f>ToEquipResource(裝備!I99)</f>
        <v/>
      </c>
      <c r="J99" t="str">
        <f>ToEquipResource(裝備!I99)</f>
        <v/>
      </c>
    </row>
    <row r="100" spans="1:10" x14ac:dyDescent="0.25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ToEquipRange(裝備!H100)</f>
        <v/>
      </c>
      <c r="I100" t="str">
        <f>ToEquipResource(裝備!I100)</f>
        <v/>
      </c>
      <c r="J100" t="str">
        <f>ToEquipResource(裝備!I100)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J100"/>
  <sheetViews>
    <sheetView workbookViewId="0">
      <selection activeCell="C14" sqref="C14"/>
    </sheetView>
  </sheetViews>
  <sheetFormatPr defaultRowHeight="16.5" x14ac:dyDescent="0.25"/>
  <cols>
    <col min="1" max="10" width="15.625" customWidth="1"/>
  </cols>
  <sheetData>
    <row r="1" spans="1:10" s="5" customFormat="1" x14ac:dyDescent="0.25">
      <c r="A1" s="5" t="str">
        <f>特性!A1</f>
        <v>GUID</v>
      </c>
      <c r="B1" s="36" t="str">
        <f>特性!B1</f>
        <v>StrID</v>
      </c>
      <c r="C1" s="36" t="str">
        <f>特性!C1</f>
        <v>Mode</v>
      </c>
      <c r="D1" s="36" t="str">
        <f>特性!D1</f>
        <v>Gain</v>
      </c>
      <c r="E1" s="36" t="str">
        <f>特性!E1</f>
        <v>Group</v>
      </c>
      <c r="F1" s="36" t="str">
        <f>特性!F1</f>
        <v>Value</v>
      </c>
      <c r="G1" s="36" t="str">
        <f>特性!G1</f>
        <v>Description</v>
      </c>
      <c r="H1" s="25"/>
      <c r="I1" s="25"/>
      <c r="J1" s="32"/>
    </row>
    <row r="2" spans="1:10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3</v>
      </c>
      <c r="E2" t="str">
        <f>ToResult(特性!E2)</f>
        <v>1</v>
      </c>
      <c r="F2" t="str">
        <f>ToResult(特性!F2)</f>
        <v>4</v>
      </c>
      <c r="G2" t="str">
        <f>ToResult(特性!G2)</f>
        <v>3001</v>
      </c>
    </row>
    <row r="3" spans="1:10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3</v>
      </c>
      <c r="E3" t="str">
        <f>ToResult(特性!E3)</f>
        <v>1</v>
      </c>
      <c r="F3" t="str">
        <f>ToResult(特性!F3)</f>
        <v>8</v>
      </c>
      <c r="G3" t="str">
        <f>ToResult(特性!G3)</f>
        <v>3002</v>
      </c>
    </row>
    <row r="4" spans="1:10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3</v>
      </c>
      <c r="E4" t="str">
        <f>ToResult(特性!E4)</f>
        <v>2</v>
      </c>
      <c r="F4" t="str">
        <f>ToResult(特性!F4)</f>
        <v>-4</v>
      </c>
      <c r="G4" t="str">
        <f>ToResult(特性!G4)</f>
        <v>3003</v>
      </c>
    </row>
    <row r="5" spans="1:10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3</v>
      </c>
      <c r="E5" t="str">
        <f>ToResult(特性!E5)</f>
        <v>2</v>
      </c>
      <c r="F5" t="str">
        <f>ToResult(特性!F5)</f>
        <v>-8</v>
      </c>
      <c r="G5" t="str">
        <f>ToResult(特性!G5)</f>
        <v>3004</v>
      </c>
    </row>
    <row r="6" spans="1:10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3</v>
      </c>
      <c r="E6" t="str">
        <f>ToResult(特性!E6)</f>
        <v>3</v>
      </c>
      <c r="F6" t="str">
        <f>ToResult(特性!F6)</f>
        <v>2</v>
      </c>
      <c r="G6" t="str">
        <f>ToResult(特性!G6)</f>
        <v>3005</v>
      </c>
    </row>
    <row r="7" spans="1:10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3</v>
      </c>
      <c r="E7" t="str">
        <f>ToResult(特性!E7)</f>
        <v>3</v>
      </c>
      <c r="F7" t="str">
        <f>ToResult(特性!F7)</f>
        <v>3</v>
      </c>
      <c r="G7" t="str">
        <f>ToResult(特性!G7)</f>
        <v>3006</v>
      </c>
    </row>
    <row r="8" spans="1:10" x14ac:dyDescent="0.25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3</v>
      </c>
      <c r="E8" t="str">
        <f>ToResult(特性!E8)</f>
        <v>3</v>
      </c>
      <c r="F8" t="str">
        <f>ToResult(特性!F8)</f>
        <v>-2</v>
      </c>
      <c r="G8" t="str">
        <f>ToResult(特性!G8)</f>
        <v>3007</v>
      </c>
    </row>
    <row r="9" spans="1:10" x14ac:dyDescent="0.25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3</v>
      </c>
      <c r="E9" t="str">
        <f>ToResult(特性!E9)</f>
        <v>3</v>
      </c>
      <c r="F9" t="str">
        <f>ToResult(特性!F9)</f>
        <v>-3</v>
      </c>
      <c r="G9" t="str">
        <f>ToResult(特性!G9)</f>
        <v>3008</v>
      </c>
    </row>
    <row r="10" spans="1:10" x14ac:dyDescent="0.25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3</v>
      </c>
      <c r="E10" t="str">
        <f>ToResult(特性!E10)</f>
        <v>5</v>
      </c>
      <c r="F10" t="str">
        <f>ToResult(特性!F10)</f>
        <v>-0.2</v>
      </c>
      <c r="G10" t="str">
        <f>ToResult(特性!G10)</f>
        <v>3011</v>
      </c>
    </row>
    <row r="11" spans="1:10" x14ac:dyDescent="0.25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3</v>
      </c>
      <c r="E11" t="str">
        <f>ToResult(特性!E11)</f>
        <v>5</v>
      </c>
      <c r="F11" t="str">
        <f>ToResult(特性!F11)</f>
        <v>-0.1</v>
      </c>
      <c r="G11" t="str">
        <f>ToResult(特性!G11)</f>
        <v>3012</v>
      </c>
    </row>
    <row r="12" spans="1:10" x14ac:dyDescent="0.25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3</v>
      </c>
      <c r="E12" t="str">
        <f>ToResult(特性!E12)</f>
        <v>5</v>
      </c>
      <c r="F12" t="str">
        <f>ToResult(特性!F12)</f>
        <v>0.1</v>
      </c>
      <c r="G12" t="str">
        <f>ToResult(特性!G12)</f>
        <v>3013</v>
      </c>
    </row>
    <row r="13" spans="1:10" x14ac:dyDescent="0.25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3</v>
      </c>
      <c r="E13" t="str">
        <f>ToResult(特性!E13)</f>
        <v>5</v>
      </c>
      <c r="F13" t="str">
        <f>ToResult(特性!F13)</f>
        <v>0.2</v>
      </c>
      <c r="G13" t="str">
        <f>ToResult(特性!G13)</f>
        <v>3014</v>
      </c>
    </row>
    <row r="14" spans="1:10" x14ac:dyDescent="0.25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3</v>
      </c>
      <c r="E14" t="str">
        <f>ToResult(特性!E14)</f>
        <v>5</v>
      </c>
      <c r="F14" t="str">
        <f>ToResult(特性!F14)</f>
        <v>1</v>
      </c>
      <c r="G14" t="str">
        <f>ToResult(特性!G14)</f>
        <v>3015</v>
      </c>
    </row>
    <row r="15" spans="1:10" x14ac:dyDescent="0.25">
      <c r="A15" t="str">
        <f>ToResult(特性!A15)</f>
        <v/>
      </c>
      <c r="B15" t="str">
        <f>ToResult(特性!B15)</f>
        <v/>
      </c>
      <c r="C15" t="str">
        <f>ToFeatureMode(特性!C15)</f>
        <v/>
      </c>
      <c r="D15" t="str">
        <f>ToResult(特性!D15)</f>
        <v/>
      </c>
      <c r="E15" t="str">
        <f>ToResult(特性!E15)</f>
        <v/>
      </c>
      <c r="F15" t="str">
        <f>ToResult(特性!F15)</f>
        <v/>
      </c>
      <c r="G15" t="str">
        <f>ToResult(特性!G15)</f>
        <v/>
      </c>
      <c r="I15" t="str">
        <f>ToResult(特性!F15)</f>
        <v/>
      </c>
      <c r="J15" t="str">
        <f>ToResult(特性!G15)</f>
        <v/>
      </c>
    </row>
    <row r="16" spans="1:10" x14ac:dyDescent="0.25">
      <c r="A16" t="str">
        <f>ToResult(特性!A16)</f>
        <v/>
      </c>
      <c r="B16" t="str">
        <f>ToResult(特性!B16)</f>
        <v/>
      </c>
      <c r="C16" t="str">
        <f>ToFeatureMode(特性!C16)</f>
        <v/>
      </c>
      <c r="D16" t="str">
        <f>ToResult(特性!D16)</f>
        <v/>
      </c>
      <c r="E16" t="str">
        <f>ToResult(特性!E16)</f>
        <v/>
      </c>
      <c r="F16" t="str">
        <f>ToResult(特性!F16)</f>
        <v/>
      </c>
      <c r="G16" t="str">
        <f>ToResult(特性!G16)</f>
        <v/>
      </c>
      <c r="I16" t="str">
        <f>ToResult(特性!F16)</f>
        <v/>
      </c>
      <c r="J16" t="str">
        <f>ToResult(特性!G16)</f>
        <v/>
      </c>
    </row>
    <row r="17" spans="1:10" x14ac:dyDescent="0.25">
      <c r="A17" t="str">
        <f>ToResult(特性!A17)</f>
        <v/>
      </c>
      <c r="B17" t="str">
        <f>ToResult(特性!B17)</f>
        <v/>
      </c>
      <c r="C17" t="str">
        <f>ToFeatureMode(特性!C17)</f>
        <v/>
      </c>
      <c r="D17" t="str">
        <f>ToResult(特性!D17)</f>
        <v/>
      </c>
      <c r="E17" t="str">
        <f>ToResult(特性!E17)</f>
        <v/>
      </c>
      <c r="F17" t="str">
        <f>ToResult(特性!F17)</f>
        <v/>
      </c>
      <c r="G17" t="str">
        <f>ToResult(特性!G17)</f>
        <v/>
      </c>
      <c r="I17" t="str">
        <f>ToResult(特性!F17)</f>
        <v/>
      </c>
      <c r="J17" t="str">
        <f>ToResult(特性!G17)</f>
        <v/>
      </c>
    </row>
    <row r="18" spans="1:10" x14ac:dyDescent="0.25">
      <c r="A18" t="str">
        <f>ToResult(特性!A18)</f>
        <v/>
      </c>
      <c r="B18" t="str">
        <f>ToResult(特性!B18)</f>
        <v/>
      </c>
      <c r="C18" t="str">
        <f>ToFeatureMode(特性!C18)</f>
        <v/>
      </c>
      <c r="D18" t="str">
        <f>ToResult(特性!D18)</f>
        <v/>
      </c>
      <c r="E18" t="str">
        <f>ToResult(特性!E18)</f>
        <v/>
      </c>
      <c r="F18" t="str">
        <f>ToResult(特性!F18)</f>
        <v/>
      </c>
      <c r="G18" t="str">
        <f>ToResult(特性!G18)</f>
        <v/>
      </c>
      <c r="I18" t="str">
        <f>ToResult(特性!F18)</f>
        <v/>
      </c>
      <c r="J18" t="str">
        <f>ToResult(特性!G18)</f>
        <v/>
      </c>
    </row>
    <row r="19" spans="1:10" x14ac:dyDescent="0.25">
      <c r="A19" t="str">
        <f>ToResult(特性!A19)</f>
        <v/>
      </c>
      <c r="B19" t="str">
        <f>ToResult(特性!B19)</f>
        <v/>
      </c>
      <c r="C19" t="str">
        <f>ToFeatureMode(特性!C19)</f>
        <v/>
      </c>
      <c r="D19" t="str">
        <f>ToResult(特性!D19)</f>
        <v/>
      </c>
      <c r="E19" t="str">
        <f>ToResult(特性!E19)</f>
        <v/>
      </c>
      <c r="F19" t="str">
        <f>ToResult(特性!F19)</f>
        <v/>
      </c>
      <c r="G19" t="str">
        <f>ToResult(特性!G19)</f>
        <v/>
      </c>
      <c r="I19" t="str">
        <f>ToResult(特性!F19)</f>
        <v/>
      </c>
      <c r="J19" t="str">
        <f>ToResult(特性!G19)</f>
        <v/>
      </c>
    </row>
    <row r="20" spans="1:10" x14ac:dyDescent="0.25">
      <c r="A20" t="str">
        <f>ToResult(特性!A20)</f>
        <v/>
      </c>
      <c r="B20" t="str">
        <f>ToResult(特性!B20)</f>
        <v/>
      </c>
      <c r="C20" t="str">
        <f>ToFeatureMode(特性!C20)</f>
        <v/>
      </c>
      <c r="D20" t="str">
        <f>ToResult(特性!D20)</f>
        <v/>
      </c>
      <c r="E20" t="str">
        <f>ToResult(特性!E20)</f>
        <v/>
      </c>
      <c r="F20" t="str">
        <f>ToResult(特性!F20)</f>
        <v/>
      </c>
      <c r="G20" t="str">
        <f>ToResult(特性!G20)</f>
        <v/>
      </c>
      <c r="I20" t="str">
        <f>ToResult(特性!F20)</f>
        <v/>
      </c>
      <c r="J20" t="str">
        <f>ToResult(特性!G20)</f>
        <v/>
      </c>
    </row>
    <row r="21" spans="1:10" x14ac:dyDescent="0.25">
      <c r="A21" t="str">
        <f>ToResult(特性!A21)</f>
        <v/>
      </c>
      <c r="B21" t="str">
        <f>ToResult(特性!B21)</f>
        <v/>
      </c>
      <c r="C21" t="str">
        <f>ToFeatureMode(特性!C21)</f>
        <v/>
      </c>
      <c r="D21" t="str">
        <f>ToResult(特性!D21)</f>
        <v/>
      </c>
      <c r="E21" t="str">
        <f>ToResult(特性!E21)</f>
        <v/>
      </c>
      <c r="F21" t="str">
        <f>ToResult(特性!F21)</f>
        <v/>
      </c>
      <c r="G21" t="str">
        <f>ToResult(特性!G21)</f>
        <v/>
      </c>
      <c r="I21" t="str">
        <f>ToResult(特性!F21)</f>
        <v/>
      </c>
      <c r="J21" t="str">
        <f>ToResult(特性!G21)</f>
        <v/>
      </c>
    </row>
    <row r="22" spans="1:10" x14ac:dyDescent="0.25">
      <c r="A22" t="str">
        <f>ToResult(特性!A22)</f>
        <v/>
      </c>
      <c r="B22" t="str">
        <f>ToResult(特性!B22)</f>
        <v/>
      </c>
      <c r="C22" t="str">
        <f>ToFeatureMode(特性!C22)</f>
        <v/>
      </c>
      <c r="D22" t="str">
        <f>ToResult(特性!D22)</f>
        <v/>
      </c>
      <c r="E22" t="str">
        <f>ToResult(特性!E22)</f>
        <v/>
      </c>
      <c r="F22" t="str">
        <f>ToResult(特性!F22)</f>
        <v/>
      </c>
      <c r="G22" t="str">
        <f>ToResult(特性!G22)</f>
        <v/>
      </c>
      <c r="I22" t="str">
        <f>ToResult(特性!F22)</f>
        <v/>
      </c>
      <c r="J22" t="str">
        <f>ToResult(特性!G22)</f>
        <v/>
      </c>
    </row>
    <row r="23" spans="1:10" x14ac:dyDescent="0.25">
      <c r="A23" t="str">
        <f>ToResult(特性!A23)</f>
        <v/>
      </c>
      <c r="B23" t="str">
        <f>ToResult(特性!B23)</f>
        <v/>
      </c>
      <c r="C23" t="str">
        <f>ToFeatureMode(特性!C23)</f>
        <v/>
      </c>
      <c r="D23" t="str">
        <f>ToResult(特性!D23)</f>
        <v/>
      </c>
      <c r="E23" t="str">
        <f>ToResult(特性!E23)</f>
        <v/>
      </c>
      <c r="F23" t="str">
        <f>ToResult(特性!F23)</f>
        <v/>
      </c>
      <c r="G23" t="str">
        <f>ToResult(特性!G23)</f>
        <v/>
      </c>
      <c r="I23" t="str">
        <f>ToResult(特性!F23)</f>
        <v/>
      </c>
      <c r="J23" t="str">
        <f>ToResult(特性!G23)</f>
        <v/>
      </c>
    </row>
    <row r="24" spans="1:10" x14ac:dyDescent="0.25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I24" t="str">
        <f>ToResult(特性!F24)</f>
        <v/>
      </c>
      <c r="J24" t="str">
        <f>ToResult(特性!G24)</f>
        <v/>
      </c>
    </row>
    <row r="25" spans="1:10" x14ac:dyDescent="0.25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I25" t="str">
        <f>ToResult(特性!F25)</f>
        <v/>
      </c>
      <c r="J25" t="str">
        <f>ToResult(特性!G25)</f>
        <v/>
      </c>
    </row>
    <row r="26" spans="1:10" x14ac:dyDescent="0.25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I26" t="str">
        <f>ToResult(特性!F26)</f>
        <v/>
      </c>
      <c r="J26" t="str">
        <f>ToResult(特性!G26)</f>
        <v/>
      </c>
    </row>
    <row r="27" spans="1:10" x14ac:dyDescent="0.25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I27" t="str">
        <f>ToResult(特性!F27)</f>
        <v/>
      </c>
      <c r="J27" t="str">
        <f>ToResult(特性!G27)</f>
        <v/>
      </c>
    </row>
    <row r="28" spans="1:10" x14ac:dyDescent="0.25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I28" t="str">
        <f>ToResult(特性!F28)</f>
        <v/>
      </c>
      <c r="J28" t="str">
        <f>ToResult(特性!G28)</f>
        <v/>
      </c>
    </row>
    <row r="29" spans="1:10" x14ac:dyDescent="0.25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I29" t="str">
        <f>ToResult(特性!F29)</f>
        <v/>
      </c>
      <c r="J29" t="str">
        <f>ToResult(特性!G29)</f>
        <v/>
      </c>
    </row>
    <row r="30" spans="1:10" x14ac:dyDescent="0.25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I30" t="str">
        <f>ToResult(特性!F30)</f>
        <v/>
      </c>
      <c r="J30" t="str">
        <f>ToResult(特性!G30)</f>
        <v/>
      </c>
    </row>
    <row r="31" spans="1:10" x14ac:dyDescent="0.25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I31" t="str">
        <f>ToResult(特性!F31)</f>
        <v/>
      </c>
      <c r="J31" t="str">
        <f>ToResult(特性!G31)</f>
        <v/>
      </c>
    </row>
    <row r="32" spans="1:10" x14ac:dyDescent="0.25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I32" t="str">
        <f>ToResult(特性!F32)</f>
        <v/>
      </c>
      <c r="J32" t="str">
        <f>ToResult(特性!G32)</f>
        <v/>
      </c>
    </row>
    <row r="33" spans="1:10" x14ac:dyDescent="0.25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I33" t="str">
        <f>ToResult(特性!F33)</f>
        <v/>
      </c>
      <c r="J33" t="str">
        <f>ToResult(特性!G33)</f>
        <v/>
      </c>
    </row>
    <row r="34" spans="1:10" x14ac:dyDescent="0.25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I34" t="str">
        <f>ToResult(特性!F34)</f>
        <v/>
      </c>
      <c r="J34" t="str">
        <f>ToResult(特性!G34)</f>
        <v/>
      </c>
    </row>
    <row r="35" spans="1:10" x14ac:dyDescent="0.25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I35" t="str">
        <f>ToResult(特性!F35)</f>
        <v/>
      </c>
      <c r="J35" t="str">
        <f>ToResult(特性!G35)</f>
        <v/>
      </c>
    </row>
    <row r="36" spans="1:10" x14ac:dyDescent="0.25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I36" t="str">
        <f>ToResult(特性!F36)</f>
        <v/>
      </c>
      <c r="J36" t="str">
        <f>ToResult(特性!G36)</f>
        <v/>
      </c>
    </row>
    <row r="37" spans="1:10" x14ac:dyDescent="0.25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I37" t="str">
        <f>ToResult(特性!F37)</f>
        <v/>
      </c>
      <c r="J37" t="str">
        <f>ToResult(特性!G37)</f>
        <v/>
      </c>
    </row>
    <row r="38" spans="1:10" x14ac:dyDescent="0.25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I38" t="str">
        <f>ToResult(特性!F38)</f>
        <v/>
      </c>
      <c r="J38" t="str">
        <f>ToResult(特性!G38)</f>
        <v/>
      </c>
    </row>
    <row r="39" spans="1:10" x14ac:dyDescent="0.25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I39" t="str">
        <f>ToResult(特性!F39)</f>
        <v/>
      </c>
      <c r="J39" t="str">
        <f>ToResult(特性!G39)</f>
        <v/>
      </c>
    </row>
    <row r="40" spans="1:10" x14ac:dyDescent="0.25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I40" t="str">
        <f>ToResult(特性!F40)</f>
        <v/>
      </c>
      <c r="J40" t="str">
        <f>ToResult(特性!G40)</f>
        <v/>
      </c>
    </row>
    <row r="41" spans="1:10" x14ac:dyDescent="0.25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I41" t="str">
        <f>ToResult(特性!F41)</f>
        <v/>
      </c>
      <c r="J41" t="str">
        <f>ToResult(特性!G41)</f>
        <v/>
      </c>
    </row>
    <row r="42" spans="1:10" x14ac:dyDescent="0.25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I42" t="str">
        <f>ToResult(特性!F42)</f>
        <v/>
      </c>
      <c r="J42" t="str">
        <f>ToResult(特性!G42)</f>
        <v/>
      </c>
    </row>
    <row r="43" spans="1:10" x14ac:dyDescent="0.25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I43" t="str">
        <f>ToResult(特性!F43)</f>
        <v/>
      </c>
      <c r="J43" t="str">
        <f>ToResult(特性!G43)</f>
        <v/>
      </c>
    </row>
    <row r="44" spans="1:10" x14ac:dyDescent="0.25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I44" t="str">
        <f>ToResult(特性!F44)</f>
        <v/>
      </c>
      <c r="J44" t="str">
        <f>ToResult(特性!G44)</f>
        <v/>
      </c>
    </row>
    <row r="45" spans="1:10" x14ac:dyDescent="0.25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I45" t="str">
        <f>ToResult(特性!F45)</f>
        <v/>
      </c>
      <c r="J45" t="str">
        <f>ToResult(特性!G45)</f>
        <v/>
      </c>
    </row>
    <row r="46" spans="1:10" x14ac:dyDescent="0.25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I46" t="str">
        <f>ToResult(特性!F46)</f>
        <v/>
      </c>
      <c r="J46" t="str">
        <f>ToResult(特性!G46)</f>
        <v/>
      </c>
    </row>
    <row r="47" spans="1:10" x14ac:dyDescent="0.25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I47" t="str">
        <f>ToResult(特性!F47)</f>
        <v/>
      </c>
      <c r="J47" t="str">
        <f>ToResult(特性!G47)</f>
        <v/>
      </c>
    </row>
    <row r="48" spans="1:10" x14ac:dyDescent="0.25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I48" t="str">
        <f>ToResult(特性!F48)</f>
        <v/>
      </c>
      <c r="J48" t="str">
        <f>ToResult(特性!G48)</f>
        <v/>
      </c>
    </row>
    <row r="49" spans="1:10" x14ac:dyDescent="0.25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I49" t="str">
        <f>ToResult(特性!F49)</f>
        <v/>
      </c>
      <c r="J49" t="str">
        <f>ToResult(特性!G49)</f>
        <v/>
      </c>
    </row>
    <row r="50" spans="1:10" x14ac:dyDescent="0.25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I50" t="str">
        <f>ToResult(特性!F50)</f>
        <v/>
      </c>
      <c r="J50" t="str">
        <f>ToResult(特性!G50)</f>
        <v/>
      </c>
    </row>
    <row r="51" spans="1:10" x14ac:dyDescent="0.25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I51" t="str">
        <f>ToResult(特性!F51)</f>
        <v/>
      </c>
      <c r="J51" t="str">
        <f>ToResult(特性!G51)</f>
        <v/>
      </c>
    </row>
    <row r="52" spans="1:10" x14ac:dyDescent="0.25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I52" t="str">
        <f>ToResult(特性!F52)</f>
        <v/>
      </c>
      <c r="J52" t="str">
        <f>ToResult(特性!G52)</f>
        <v/>
      </c>
    </row>
    <row r="53" spans="1:10" x14ac:dyDescent="0.25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I53" t="str">
        <f>ToResult(特性!F53)</f>
        <v/>
      </c>
      <c r="J53" t="str">
        <f>ToResult(特性!G53)</f>
        <v/>
      </c>
    </row>
    <row r="54" spans="1:10" x14ac:dyDescent="0.25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I54" t="str">
        <f>ToResult(特性!F54)</f>
        <v/>
      </c>
      <c r="J54" t="str">
        <f>ToResult(特性!G54)</f>
        <v/>
      </c>
    </row>
    <row r="55" spans="1:10" x14ac:dyDescent="0.25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I55" t="str">
        <f>ToResult(特性!F55)</f>
        <v/>
      </c>
      <c r="J55" t="str">
        <f>ToResult(特性!G55)</f>
        <v/>
      </c>
    </row>
    <row r="56" spans="1:10" x14ac:dyDescent="0.25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I56" t="str">
        <f>ToResult(特性!F56)</f>
        <v/>
      </c>
      <c r="J56" t="str">
        <f>ToResult(特性!G56)</f>
        <v/>
      </c>
    </row>
    <row r="57" spans="1:10" x14ac:dyDescent="0.25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I57" t="str">
        <f>ToResult(特性!F57)</f>
        <v/>
      </c>
      <c r="J57" t="str">
        <f>ToResult(特性!G57)</f>
        <v/>
      </c>
    </row>
    <row r="58" spans="1:10" x14ac:dyDescent="0.25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I58" t="str">
        <f>ToResult(特性!F58)</f>
        <v/>
      </c>
      <c r="J58" t="str">
        <f>ToResult(特性!G58)</f>
        <v/>
      </c>
    </row>
    <row r="59" spans="1:10" x14ac:dyDescent="0.25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I59" t="str">
        <f>ToResult(特性!F59)</f>
        <v/>
      </c>
      <c r="J59" t="str">
        <f>ToResult(特性!G59)</f>
        <v/>
      </c>
    </row>
    <row r="60" spans="1:10" x14ac:dyDescent="0.25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I60" t="str">
        <f>ToResult(特性!F60)</f>
        <v/>
      </c>
      <c r="J60" t="str">
        <f>ToResult(特性!G60)</f>
        <v/>
      </c>
    </row>
    <row r="61" spans="1:10" x14ac:dyDescent="0.25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I61" t="str">
        <f>ToResult(特性!F61)</f>
        <v/>
      </c>
      <c r="J61" t="str">
        <f>ToResult(特性!G61)</f>
        <v/>
      </c>
    </row>
    <row r="62" spans="1:10" x14ac:dyDescent="0.25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I62" t="str">
        <f>ToResult(特性!F62)</f>
        <v/>
      </c>
      <c r="J62" t="str">
        <f>ToResult(特性!G62)</f>
        <v/>
      </c>
    </row>
    <row r="63" spans="1:10" x14ac:dyDescent="0.25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I63" t="str">
        <f>ToResult(特性!F63)</f>
        <v/>
      </c>
      <c r="J63" t="str">
        <f>ToResult(特性!G63)</f>
        <v/>
      </c>
    </row>
    <row r="64" spans="1:10" x14ac:dyDescent="0.25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I64" t="str">
        <f>ToResult(特性!F64)</f>
        <v/>
      </c>
      <c r="J64" t="str">
        <f>ToResult(特性!G64)</f>
        <v/>
      </c>
    </row>
    <row r="65" spans="1:10" x14ac:dyDescent="0.25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I65" t="str">
        <f>ToResult(特性!F65)</f>
        <v/>
      </c>
      <c r="J65" t="str">
        <f>ToResult(特性!G65)</f>
        <v/>
      </c>
    </row>
    <row r="66" spans="1:10" x14ac:dyDescent="0.25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I66" t="str">
        <f>ToResult(特性!F66)</f>
        <v/>
      </c>
      <c r="J66" t="str">
        <f>ToResult(特性!G66)</f>
        <v/>
      </c>
    </row>
    <row r="67" spans="1:10" x14ac:dyDescent="0.25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I67" t="str">
        <f>ToResult(特性!F67)</f>
        <v/>
      </c>
      <c r="J67" t="str">
        <f>ToResult(特性!G67)</f>
        <v/>
      </c>
    </row>
    <row r="68" spans="1:10" x14ac:dyDescent="0.25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I68" t="str">
        <f>ToResult(特性!F68)</f>
        <v/>
      </c>
      <c r="J68" t="str">
        <f>ToResult(特性!G68)</f>
        <v/>
      </c>
    </row>
    <row r="69" spans="1:10" x14ac:dyDescent="0.25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I69" t="str">
        <f>ToResult(特性!F69)</f>
        <v/>
      </c>
      <c r="J69" t="str">
        <f>ToResult(特性!G69)</f>
        <v/>
      </c>
    </row>
    <row r="70" spans="1:10" x14ac:dyDescent="0.25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I70" t="str">
        <f>ToResult(特性!F70)</f>
        <v/>
      </c>
      <c r="J70" t="str">
        <f>ToResult(特性!G70)</f>
        <v/>
      </c>
    </row>
    <row r="71" spans="1:10" x14ac:dyDescent="0.25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I71" t="str">
        <f>ToResult(特性!F71)</f>
        <v/>
      </c>
      <c r="J71" t="str">
        <f>ToResult(特性!G71)</f>
        <v/>
      </c>
    </row>
    <row r="72" spans="1:10" x14ac:dyDescent="0.25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I72" t="str">
        <f>ToResult(特性!F72)</f>
        <v/>
      </c>
      <c r="J72" t="str">
        <f>ToResult(特性!G72)</f>
        <v/>
      </c>
    </row>
    <row r="73" spans="1:10" x14ac:dyDescent="0.25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I73" t="str">
        <f>ToResult(特性!F73)</f>
        <v/>
      </c>
      <c r="J73" t="str">
        <f>ToResult(特性!G73)</f>
        <v/>
      </c>
    </row>
    <row r="74" spans="1:10" x14ac:dyDescent="0.25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I74" t="str">
        <f>ToResult(特性!F74)</f>
        <v/>
      </c>
      <c r="J74" t="str">
        <f>ToResult(特性!G74)</f>
        <v/>
      </c>
    </row>
    <row r="75" spans="1:10" x14ac:dyDescent="0.25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I75" t="str">
        <f>ToResult(特性!F75)</f>
        <v/>
      </c>
      <c r="J75" t="str">
        <f>ToResult(特性!G75)</f>
        <v/>
      </c>
    </row>
    <row r="76" spans="1:10" x14ac:dyDescent="0.25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I76" t="str">
        <f>ToResult(特性!F76)</f>
        <v/>
      </c>
      <c r="J76" t="str">
        <f>ToResult(特性!G76)</f>
        <v/>
      </c>
    </row>
    <row r="77" spans="1:10" x14ac:dyDescent="0.25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I77" t="str">
        <f>ToResult(特性!F77)</f>
        <v/>
      </c>
      <c r="J77" t="str">
        <f>ToResult(特性!G77)</f>
        <v/>
      </c>
    </row>
    <row r="78" spans="1:10" x14ac:dyDescent="0.25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I78" t="str">
        <f>ToResult(特性!F78)</f>
        <v/>
      </c>
      <c r="J78" t="str">
        <f>ToResult(特性!G78)</f>
        <v/>
      </c>
    </row>
    <row r="79" spans="1:10" x14ac:dyDescent="0.25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I79" t="str">
        <f>ToResult(特性!F79)</f>
        <v/>
      </c>
      <c r="J79" t="str">
        <f>ToResult(特性!G79)</f>
        <v/>
      </c>
    </row>
    <row r="80" spans="1:10" x14ac:dyDescent="0.25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I80" t="str">
        <f>ToResult(特性!F80)</f>
        <v/>
      </c>
      <c r="J80" t="str">
        <f>ToResult(特性!G80)</f>
        <v/>
      </c>
    </row>
    <row r="81" spans="1:10" x14ac:dyDescent="0.25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I81" t="str">
        <f>ToResult(特性!F81)</f>
        <v/>
      </c>
      <c r="J81" t="str">
        <f>ToResult(特性!G81)</f>
        <v/>
      </c>
    </row>
    <row r="82" spans="1:10" x14ac:dyDescent="0.25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I82" t="str">
        <f>ToResult(特性!F82)</f>
        <v/>
      </c>
      <c r="J82" t="str">
        <f>ToResult(特性!G82)</f>
        <v/>
      </c>
    </row>
    <row r="83" spans="1:10" x14ac:dyDescent="0.25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I83" t="str">
        <f>ToResult(特性!F83)</f>
        <v/>
      </c>
      <c r="J83" t="str">
        <f>ToResult(特性!G83)</f>
        <v/>
      </c>
    </row>
    <row r="84" spans="1:10" x14ac:dyDescent="0.25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I84" t="str">
        <f>ToResult(特性!F84)</f>
        <v/>
      </c>
      <c r="J84" t="str">
        <f>ToResult(特性!G84)</f>
        <v/>
      </c>
    </row>
    <row r="85" spans="1:10" x14ac:dyDescent="0.25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I85" t="str">
        <f>ToResult(特性!F85)</f>
        <v/>
      </c>
      <c r="J85" t="str">
        <f>ToResult(特性!G85)</f>
        <v/>
      </c>
    </row>
    <row r="86" spans="1:10" x14ac:dyDescent="0.25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I86" t="str">
        <f>ToResult(特性!F86)</f>
        <v/>
      </c>
      <c r="J86" t="str">
        <f>ToResult(特性!G86)</f>
        <v/>
      </c>
    </row>
    <row r="87" spans="1:10" x14ac:dyDescent="0.25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I87" t="str">
        <f>ToResult(特性!F87)</f>
        <v/>
      </c>
      <c r="J87" t="str">
        <f>ToResult(特性!G87)</f>
        <v/>
      </c>
    </row>
    <row r="88" spans="1:10" x14ac:dyDescent="0.25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I88" t="str">
        <f>ToResult(特性!F88)</f>
        <v/>
      </c>
      <c r="J88" t="str">
        <f>ToResult(特性!G88)</f>
        <v/>
      </c>
    </row>
    <row r="89" spans="1:10" x14ac:dyDescent="0.25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I89" t="str">
        <f>ToResult(特性!F89)</f>
        <v/>
      </c>
      <c r="J89" t="str">
        <f>ToResult(特性!G89)</f>
        <v/>
      </c>
    </row>
    <row r="90" spans="1:10" x14ac:dyDescent="0.25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I90" t="str">
        <f>ToResult(特性!F90)</f>
        <v/>
      </c>
      <c r="J90" t="str">
        <f>ToResult(特性!G90)</f>
        <v/>
      </c>
    </row>
    <row r="91" spans="1:10" x14ac:dyDescent="0.25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I91" t="str">
        <f>ToResult(特性!F91)</f>
        <v/>
      </c>
      <c r="J91" t="str">
        <f>ToResult(特性!G91)</f>
        <v/>
      </c>
    </row>
    <row r="92" spans="1:10" x14ac:dyDescent="0.25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I92" t="str">
        <f>ToResult(特性!F92)</f>
        <v/>
      </c>
      <c r="J92" t="str">
        <f>ToResult(特性!G92)</f>
        <v/>
      </c>
    </row>
    <row r="93" spans="1:10" x14ac:dyDescent="0.25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I93" t="str">
        <f>ToResult(特性!F93)</f>
        <v/>
      </c>
      <c r="J93" t="str">
        <f>ToResult(特性!G93)</f>
        <v/>
      </c>
    </row>
    <row r="94" spans="1:10" x14ac:dyDescent="0.25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I94" t="str">
        <f>ToResult(特性!F94)</f>
        <v/>
      </c>
      <c r="J94" t="str">
        <f>ToResult(特性!G94)</f>
        <v/>
      </c>
    </row>
    <row r="95" spans="1:10" x14ac:dyDescent="0.25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I95" t="str">
        <f>ToResult(特性!F95)</f>
        <v/>
      </c>
      <c r="J95" t="str">
        <f>ToResult(特性!G95)</f>
        <v/>
      </c>
    </row>
    <row r="96" spans="1:10" x14ac:dyDescent="0.25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I96" t="str">
        <f>ToResult(特性!F96)</f>
        <v/>
      </c>
      <c r="J96" t="str">
        <f>ToResult(特性!G96)</f>
        <v/>
      </c>
    </row>
    <row r="97" spans="1:10" x14ac:dyDescent="0.25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I97" t="str">
        <f>ToResult(特性!F97)</f>
        <v/>
      </c>
      <c r="J97" t="str">
        <f>ToResult(特性!G97)</f>
        <v/>
      </c>
    </row>
    <row r="98" spans="1:10" x14ac:dyDescent="0.25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I98" t="str">
        <f>ToResult(特性!F98)</f>
        <v/>
      </c>
      <c r="J98" t="str">
        <f>ToResult(特性!G98)</f>
        <v/>
      </c>
    </row>
    <row r="99" spans="1:10" x14ac:dyDescent="0.25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I99" t="str">
        <f>ToResult(特性!F99)</f>
        <v/>
      </c>
      <c r="J99" t="str">
        <f>ToResult(特性!G99)</f>
        <v/>
      </c>
    </row>
    <row r="100" spans="1:10" x14ac:dyDescent="0.25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G19" sqref="G19"/>
    </sheetView>
  </sheetViews>
  <sheetFormatPr defaultRowHeight="16.5" x14ac:dyDescent="0.25"/>
  <cols>
    <col min="1" max="7" width="15.625" customWidth="1"/>
  </cols>
  <sheetData>
    <row r="1" spans="1:7" s="8" customFormat="1" x14ac:dyDescent="0.25">
      <c r="A1" s="8" t="str">
        <f>怪物!A1</f>
        <v>GUID</v>
      </c>
      <c r="B1" s="33" t="str">
        <f>怪物!B1</f>
        <v>Mode</v>
      </c>
      <c r="C1" s="33" t="str">
        <f>怪物!C1</f>
        <v>StageID</v>
      </c>
      <c r="D1" s="33" t="str">
        <f>怪物!D1</f>
        <v>Enegry</v>
      </c>
      <c r="E1" s="33" t="str">
        <f>怪物!E1</f>
        <v>HP</v>
      </c>
      <c r="F1" s="33" t="str">
        <f>怪物!F1</f>
        <v>MoveSpeed</v>
      </c>
      <c r="G1" s="33" t="str">
        <f>怪物!G1</f>
        <v>Threat</v>
      </c>
    </row>
    <row r="2" spans="1:7" x14ac:dyDescent="0.25">
      <c r="A2" t="str">
        <f>ToResult(怪物!A2)</f>
        <v>1</v>
      </c>
      <c r="B2" t="str">
        <f>ToMonsterMode(怪物!B2)</f>
        <v>1</v>
      </c>
      <c r="C2" t="str">
        <f>ToResult(怪物!C2)</f>
        <v>1</v>
      </c>
      <c r="D2" t="str">
        <f>ToResult(怪物!D2)</f>
        <v>1</v>
      </c>
      <c r="E2" t="str">
        <f>ToResult(怪物!E2)</f>
        <v>30</v>
      </c>
      <c r="F2" t="str">
        <f>ToResult(怪物!F2)</f>
        <v>0.28</v>
      </c>
      <c r="G2" t="str">
        <f>ToResult(怪物!G2)</f>
        <v>1</v>
      </c>
    </row>
    <row r="3" spans="1:7" x14ac:dyDescent="0.25">
      <c r="A3" t="str">
        <f>ToResult(怪物!A3)</f>
        <v>2</v>
      </c>
      <c r="B3" t="str">
        <f>ToMonsterMode(怪物!B3)</f>
        <v>1</v>
      </c>
      <c r="C3" t="str">
        <f>ToResult(怪物!C3)</f>
        <v>1</v>
      </c>
      <c r="D3" t="str">
        <f>ToResult(怪物!D3)</f>
        <v>2</v>
      </c>
      <c r="E3" t="str">
        <f>ToResult(怪物!E3)</f>
        <v>60</v>
      </c>
      <c r="F3" t="str">
        <f>ToResult(怪物!F3)</f>
        <v>0.28</v>
      </c>
      <c r="G3" t="str">
        <f>ToResult(怪物!G3)</f>
        <v>1</v>
      </c>
    </row>
    <row r="4" spans="1:7" x14ac:dyDescent="0.25">
      <c r="A4" t="str">
        <f>ToResult(怪物!A4)</f>
        <v>3</v>
      </c>
      <c r="B4" t="str">
        <f>ToMonsterMode(怪物!B4)</f>
        <v>1</v>
      </c>
      <c r="C4" t="str">
        <f>ToResult(怪物!C4)</f>
        <v>5</v>
      </c>
      <c r="D4" t="str">
        <f>ToResult(怪物!D4)</f>
        <v>3</v>
      </c>
      <c r="E4" t="str">
        <f>ToResult(怪物!E4)</f>
        <v>90</v>
      </c>
      <c r="F4" t="str">
        <f>ToResult(怪物!F4)</f>
        <v>0.28</v>
      </c>
      <c r="G4" t="str">
        <f>ToResult(怪物!G4)</f>
        <v>1</v>
      </c>
    </row>
    <row r="5" spans="1:7" x14ac:dyDescent="0.25">
      <c r="A5" t="str">
        <f>ToResult(怪物!A5)</f>
        <v>4</v>
      </c>
      <c r="B5" t="str">
        <f>ToMonsterMode(怪物!B5)</f>
        <v>1</v>
      </c>
      <c r="C5" t="str">
        <f>ToResult(怪物!C5)</f>
        <v>9</v>
      </c>
      <c r="D5" t="str">
        <f>ToResult(怪物!D5)</f>
        <v>4</v>
      </c>
      <c r="E5" t="str">
        <f>ToResult(怪物!E5)</f>
        <v>120</v>
      </c>
      <c r="F5" t="str">
        <f>ToResult(怪物!F5)</f>
        <v>0.28</v>
      </c>
      <c r="G5" t="str">
        <f>ToResult(怪物!G5)</f>
        <v>1</v>
      </c>
    </row>
    <row r="6" spans="1:7" x14ac:dyDescent="0.25">
      <c r="A6" t="str">
        <f>ToResult(怪物!A6)</f>
        <v>5</v>
      </c>
      <c r="B6" t="str">
        <f>ToMonsterMode(怪物!B6)</f>
        <v>1</v>
      </c>
      <c r="C6" t="str">
        <f>ToResult(怪物!C6)</f>
        <v>13</v>
      </c>
      <c r="D6" t="str">
        <f>ToResult(怪物!D6)</f>
        <v>5</v>
      </c>
      <c r="E6" t="str">
        <f>ToResult(怪物!E6)</f>
        <v>150</v>
      </c>
      <c r="F6" t="str">
        <f>ToResult(怪物!F6)</f>
        <v>0.28</v>
      </c>
      <c r="G6" t="str">
        <f>ToResult(怪物!G6)</f>
        <v>1</v>
      </c>
    </row>
    <row r="7" spans="1:7" x14ac:dyDescent="0.25">
      <c r="A7" t="str">
        <f>ToResult(怪物!A7)</f>
        <v>11</v>
      </c>
      <c r="B7" t="str">
        <f>ToMonsterMode(怪物!B7)</f>
        <v>1</v>
      </c>
      <c r="C7" t="str">
        <f>ToResult(怪物!C7)</f>
        <v>2</v>
      </c>
      <c r="D7" t="str">
        <f>ToResult(怪物!D7)</f>
        <v>2</v>
      </c>
      <c r="E7" t="str">
        <f>ToResult(怪物!E7)</f>
        <v>50</v>
      </c>
      <c r="F7" t="str">
        <f>ToResult(怪物!F7)</f>
        <v>0.22</v>
      </c>
      <c r="G7" t="str">
        <f>ToResult(怪物!G7)</f>
        <v>3</v>
      </c>
    </row>
    <row r="8" spans="1:7" x14ac:dyDescent="0.25">
      <c r="A8" t="str">
        <f>ToResult(怪物!A8)</f>
        <v>12</v>
      </c>
      <c r="B8" t="str">
        <f>ToMonsterMode(怪物!B8)</f>
        <v>1</v>
      </c>
      <c r="C8" t="str">
        <f>ToResult(怪物!C8)</f>
        <v>6</v>
      </c>
      <c r="D8" t="str">
        <f>ToResult(怪物!D8)</f>
        <v>3</v>
      </c>
      <c r="E8" t="str">
        <f>ToResult(怪物!E8)</f>
        <v>90</v>
      </c>
      <c r="F8" t="str">
        <f>ToResult(怪物!F8)</f>
        <v>0.22</v>
      </c>
      <c r="G8" t="str">
        <f>ToResult(怪物!G8)</f>
        <v>3</v>
      </c>
    </row>
    <row r="9" spans="1:7" x14ac:dyDescent="0.25">
      <c r="A9" t="str">
        <f>ToResult(怪物!A9)</f>
        <v>13</v>
      </c>
      <c r="B9" t="str">
        <f>ToMonsterMode(怪物!B9)</f>
        <v>1</v>
      </c>
      <c r="C9" t="str">
        <f>ToResult(怪物!C9)</f>
        <v>14</v>
      </c>
      <c r="D9" t="str">
        <f>ToResult(怪物!D9)</f>
        <v>4</v>
      </c>
      <c r="E9" t="str">
        <f>ToResult(怪物!E9)</f>
        <v>130</v>
      </c>
      <c r="F9" t="str">
        <f>ToResult(怪物!F9)</f>
        <v>0.22</v>
      </c>
      <c r="G9" t="str">
        <f>ToResult(怪物!G9)</f>
        <v>3</v>
      </c>
    </row>
    <row r="10" spans="1:7" x14ac:dyDescent="0.25">
      <c r="A10" t="str">
        <f>ToResult(怪物!A10)</f>
        <v>14</v>
      </c>
      <c r="B10" t="str">
        <f>ToMonsterMode(怪物!B10)</f>
        <v>1</v>
      </c>
      <c r="C10" t="str">
        <f>ToResult(怪物!C10)</f>
        <v>17</v>
      </c>
      <c r="D10" t="str">
        <f>ToResult(怪物!D10)</f>
        <v>5</v>
      </c>
      <c r="E10" t="str">
        <f>ToResult(怪物!E10)</f>
        <v>170</v>
      </c>
      <c r="F10" t="str">
        <f>ToResult(怪物!F10)</f>
        <v>0.22</v>
      </c>
      <c r="G10" t="str">
        <f>ToResult(怪物!G10)</f>
        <v>3</v>
      </c>
    </row>
    <row r="11" spans="1:7" x14ac:dyDescent="0.25">
      <c r="A11" t="str">
        <f>ToResult(怪物!A11)</f>
        <v>15</v>
      </c>
      <c r="B11" t="str">
        <f>ToMonsterMode(怪物!B11)</f>
        <v>1</v>
      </c>
      <c r="C11" t="str">
        <f>ToResult(怪物!C11)</f>
        <v>18</v>
      </c>
      <c r="D11" t="str">
        <f>ToResult(怪物!D11)</f>
        <v>6</v>
      </c>
      <c r="E11" t="str">
        <f>ToResult(怪物!E11)</f>
        <v>210</v>
      </c>
      <c r="F11" t="str">
        <f>ToResult(怪物!F11)</f>
        <v>0.22</v>
      </c>
      <c r="G11" t="str">
        <f>ToResult(怪物!G11)</f>
        <v>3</v>
      </c>
    </row>
    <row r="12" spans="1:7" x14ac:dyDescent="0.25">
      <c r="A12" t="str">
        <f>ToResult(怪物!A12)</f>
        <v>21</v>
      </c>
      <c r="B12" t="str">
        <f>ToMonsterMode(怪物!B12)</f>
        <v>1</v>
      </c>
      <c r="C12" t="str">
        <f>ToResult(怪物!C12)</f>
        <v>3</v>
      </c>
      <c r="D12" t="str">
        <f>ToResult(怪物!D12)</f>
        <v>2</v>
      </c>
      <c r="E12" t="str">
        <f>ToResult(怪物!E12)</f>
        <v>60</v>
      </c>
      <c r="F12" t="str">
        <f>ToResult(怪物!F12)</f>
        <v>0.6</v>
      </c>
      <c r="G12" t="str">
        <f>ToResult(怪物!G12)</f>
        <v>2</v>
      </c>
    </row>
    <row r="13" spans="1:7" x14ac:dyDescent="0.25">
      <c r="A13" t="str">
        <f>ToResult(怪物!A13)</f>
        <v>22</v>
      </c>
      <c r="B13" t="str">
        <f>ToMonsterMode(怪物!B13)</f>
        <v>1</v>
      </c>
      <c r="C13" t="str">
        <f>ToResult(怪物!C13)</f>
        <v>7</v>
      </c>
      <c r="D13" t="str">
        <f>ToResult(怪物!D13)</f>
        <v>3</v>
      </c>
      <c r="E13" t="str">
        <f>ToResult(怪物!E13)</f>
        <v>80</v>
      </c>
      <c r="F13" t="str">
        <f>ToResult(怪物!F13)</f>
        <v>0.6</v>
      </c>
      <c r="G13" t="str">
        <f>ToResult(怪物!G13)</f>
        <v>2</v>
      </c>
    </row>
    <row r="14" spans="1:7" x14ac:dyDescent="0.25">
      <c r="A14" t="str">
        <f>ToResult(怪物!A14)</f>
        <v>23</v>
      </c>
      <c r="B14" t="str">
        <f>ToMonsterMode(怪物!B14)</f>
        <v>1</v>
      </c>
      <c r="C14" t="str">
        <f>ToResult(怪物!C14)</f>
        <v>11</v>
      </c>
      <c r="D14" t="str">
        <f>ToResult(怪物!D14)</f>
        <v>4</v>
      </c>
      <c r="E14" t="str">
        <f>ToResult(怪物!E14)</f>
        <v>100</v>
      </c>
      <c r="F14" t="str">
        <f>ToResult(怪物!F14)</f>
        <v>0.6</v>
      </c>
      <c r="G14" t="str">
        <f>ToResult(怪物!G14)</f>
        <v>2</v>
      </c>
    </row>
    <row r="15" spans="1:7" x14ac:dyDescent="0.25">
      <c r="A15" t="str">
        <f>ToResult(怪物!A15)</f>
        <v>24</v>
      </c>
      <c r="B15" t="str">
        <f>ToMonsterMode(怪物!B15)</f>
        <v>1</v>
      </c>
      <c r="C15" t="str">
        <f>ToResult(怪物!C15)</f>
        <v>15</v>
      </c>
      <c r="D15" t="str">
        <f>ToResult(怪物!D15)</f>
        <v>5</v>
      </c>
      <c r="E15" t="str">
        <f>ToResult(怪物!E15)</f>
        <v>120</v>
      </c>
      <c r="F15" t="str">
        <f>ToResult(怪物!F15)</f>
        <v>0.6</v>
      </c>
      <c r="G15" t="str">
        <f>ToResult(怪物!G15)</f>
        <v>2</v>
      </c>
    </row>
    <row r="16" spans="1:7" x14ac:dyDescent="0.25">
      <c r="A16" t="str">
        <f>ToResult(怪物!A16)</f>
        <v>25</v>
      </c>
      <c r="B16" t="str">
        <f>ToMonsterMode(怪物!B16)</f>
        <v>1</v>
      </c>
      <c r="C16" t="str">
        <f>ToResult(怪物!C16)</f>
        <v>19</v>
      </c>
      <c r="D16" t="str">
        <f>ToResult(怪物!D16)</f>
        <v>6</v>
      </c>
      <c r="E16" t="str">
        <f>ToResult(怪物!E16)</f>
        <v>140</v>
      </c>
      <c r="F16" t="str">
        <f>ToResult(怪物!F16)</f>
        <v>0.6</v>
      </c>
      <c r="G16" t="str">
        <f>ToResult(怪物!G16)</f>
        <v>2</v>
      </c>
    </row>
    <row r="17" spans="1:7" x14ac:dyDescent="0.25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  <c r="G17" t="str">
        <f>ToResult(怪物!G17)</f>
        <v/>
      </c>
    </row>
    <row r="18" spans="1:7" x14ac:dyDescent="0.25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  <c r="G18" t="str">
        <f>ToResult(怪物!G18)</f>
        <v/>
      </c>
    </row>
    <row r="19" spans="1:7" x14ac:dyDescent="0.25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  <c r="G19" t="str">
        <f>ToResult(怪物!G19)</f>
        <v/>
      </c>
    </row>
    <row r="20" spans="1:7" x14ac:dyDescent="0.25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  <c r="G20" t="str">
        <f>ToResult(怪物!G20)</f>
        <v/>
      </c>
    </row>
    <row r="21" spans="1:7" x14ac:dyDescent="0.25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  <c r="G21" t="str">
        <f>ToResult(怪物!G21)</f>
        <v/>
      </c>
    </row>
    <row r="22" spans="1:7" x14ac:dyDescent="0.25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  <c r="G22" t="str">
        <f>ToResult(怪物!G22)</f>
        <v/>
      </c>
    </row>
    <row r="23" spans="1:7" x14ac:dyDescent="0.25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  <c r="G23" t="str">
        <f>ToResult(怪物!G23)</f>
        <v/>
      </c>
    </row>
    <row r="24" spans="1:7" x14ac:dyDescent="0.25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 x14ac:dyDescent="0.25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 x14ac:dyDescent="0.25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 x14ac:dyDescent="0.25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 x14ac:dyDescent="0.25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 x14ac:dyDescent="0.25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 x14ac:dyDescent="0.25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 x14ac:dyDescent="0.25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 x14ac:dyDescent="0.25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 x14ac:dyDescent="0.25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 x14ac:dyDescent="0.25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 x14ac:dyDescent="0.25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 x14ac:dyDescent="0.25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 x14ac:dyDescent="0.25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 x14ac:dyDescent="0.25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 x14ac:dyDescent="0.25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 x14ac:dyDescent="0.25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 x14ac:dyDescent="0.25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 x14ac:dyDescent="0.25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 x14ac:dyDescent="0.25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 x14ac:dyDescent="0.25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 x14ac:dyDescent="0.25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 x14ac:dyDescent="0.25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 x14ac:dyDescent="0.25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 x14ac:dyDescent="0.25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 x14ac:dyDescent="0.25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 x14ac:dyDescent="0.25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 x14ac:dyDescent="0.25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 x14ac:dyDescent="0.25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 x14ac:dyDescent="0.25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 x14ac:dyDescent="0.25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 x14ac:dyDescent="0.25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 x14ac:dyDescent="0.25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 x14ac:dyDescent="0.25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 x14ac:dyDescent="0.25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 x14ac:dyDescent="0.25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 x14ac:dyDescent="0.25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 x14ac:dyDescent="0.25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 x14ac:dyDescent="0.25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 x14ac:dyDescent="0.25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 x14ac:dyDescent="0.25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 x14ac:dyDescent="0.25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 x14ac:dyDescent="0.25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 x14ac:dyDescent="0.25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 x14ac:dyDescent="0.25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 x14ac:dyDescent="0.25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 x14ac:dyDescent="0.25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 x14ac:dyDescent="0.25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 x14ac:dyDescent="0.25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 x14ac:dyDescent="0.25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 x14ac:dyDescent="0.25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 x14ac:dyDescent="0.25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 x14ac:dyDescent="0.25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 x14ac:dyDescent="0.25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 x14ac:dyDescent="0.25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 x14ac:dyDescent="0.25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 x14ac:dyDescent="0.25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 x14ac:dyDescent="0.25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 x14ac:dyDescent="0.25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 x14ac:dyDescent="0.25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 x14ac:dyDescent="0.25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 x14ac:dyDescent="0.25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 x14ac:dyDescent="0.25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 x14ac:dyDescent="0.25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 x14ac:dyDescent="0.25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 x14ac:dyDescent="0.25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 x14ac:dyDescent="0.25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 x14ac:dyDescent="0.25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 x14ac:dyDescent="0.25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 x14ac:dyDescent="0.25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 x14ac:dyDescent="0.25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 x14ac:dyDescent="0.25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 x14ac:dyDescent="0.25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 x14ac:dyDescent="0.25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 x14ac:dyDescent="0.25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 x14ac:dyDescent="0.25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 x14ac:dyDescent="0.25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2015-05-03T10:36:09Z</dcterms:modified>
</cp:coreProperties>
</file>