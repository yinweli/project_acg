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A3" i="10"/>
  <c r="B3" i="10"/>
  <c r="D3" i="10"/>
  <c r="E3" i="10"/>
  <c r="F3" i="10"/>
  <c r="G3" i="10"/>
  <c r="A4" i="10"/>
  <c r="B4" i="10"/>
  <c r="D4" i="10"/>
  <c r="E4" i="10"/>
  <c r="F4" i="10"/>
  <c r="G4" i="10"/>
  <c r="A5" i="10"/>
  <c r="B5" i="10"/>
  <c r="D5" i="10"/>
  <c r="E5" i="10"/>
  <c r="F5" i="10"/>
  <c r="G5" i="10"/>
  <c r="A6" i="10"/>
  <c r="B6" i="10"/>
  <c r="D6" i="10"/>
  <c r="E6" i="10"/>
  <c r="F6" i="10"/>
  <c r="G6" i="10"/>
  <c r="A7" i="10"/>
  <c r="B7" i="10"/>
  <c r="D7" i="10"/>
  <c r="E7" i="10"/>
  <c r="F7" i="10"/>
  <c r="G7" i="10"/>
  <c r="A8" i="10"/>
  <c r="B8" i="10"/>
  <c r="D8" i="10"/>
  <c r="E8" i="10"/>
  <c r="F8" i="10"/>
  <c r="G8" i="10"/>
  <c r="A9" i="10"/>
  <c r="B9" i="10"/>
  <c r="D9" i="10"/>
  <c r="E9" i="10"/>
  <c r="F9" i="10"/>
  <c r="G9" i="10"/>
  <c r="A10" i="10"/>
  <c r="B10" i="10"/>
  <c r="D10" i="10"/>
  <c r="E10" i="10"/>
  <c r="F10" i="10"/>
  <c r="G10" i="10"/>
  <c r="A11" i="10"/>
  <c r="B11" i="10"/>
  <c r="D11" i="10"/>
  <c r="E11" i="10"/>
  <c r="F11" i="10"/>
  <c r="G11" i="10"/>
  <c r="A12" i="10"/>
  <c r="B12" i="10"/>
  <c r="D12" i="10"/>
  <c r="E12" i="10"/>
  <c r="F12" i="10"/>
  <c r="G12" i="10"/>
  <c r="A13" i="10"/>
  <c r="B13" i="10"/>
  <c r="D13" i="10"/>
  <c r="E13" i="10"/>
  <c r="F13" i="10"/>
  <c r="G13" i="10"/>
  <c r="A14" i="10"/>
  <c r="B14" i="10"/>
  <c r="D14" i="10"/>
  <c r="E14" i="10"/>
  <c r="F14" i="10"/>
  <c r="G14" i="10"/>
  <c r="A15" i="10"/>
  <c r="B15" i="10"/>
  <c r="D15" i="10"/>
  <c r="E15" i="10"/>
  <c r="F15" i="10"/>
  <c r="G15" i="10"/>
  <c r="A16" i="10"/>
  <c r="B16" i="10"/>
  <c r="D16" i="10"/>
  <c r="E16" i="10"/>
  <c r="F16" i="10"/>
  <c r="G16" i="10"/>
  <c r="A17" i="10"/>
  <c r="B17" i="10"/>
  <c r="D17" i="10"/>
  <c r="E17" i="10"/>
  <c r="F17" i="10"/>
  <c r="G17" i="10"/>
  <c r="A18" i="10"/>
  <c r="B18" i="10"/>
  <c r="D18" i="10"/>
  <c r="E18" i="10"/>
  <c r="F18" i="10"/>
  <c r="G18" i="10"/>
  <c r="A19" i="10"/>
  <c r="B19" i="10"/>
  <c r="D19" i="10"/>
  <c r="E19" i="10"/>
  <c r="F19" i="10"/>
  <c r="G19" i="10"/>
  <c r="A20" i="10"/>
  <c r="B20" i="10"/>
  <c r="D20" i="10"/>
  <c r="E20" i="10"/>
  <c r="F20" i="10"/>
  <c r="G20" i="10"/>
  <c r="A21" i="10"/>
  <c r="B21" i="10"/>
  <c r="D21" i="10"/>
  <c r="E21" i="10"/>
  <c r="F21" i="10"/>
  <c r="G21" i="10"/>
  <c r="A22" i="10"/>
  <c r="B22" i="10"/>
  <c r="D22" i="10"/>
  <c r="E22" i="10"/>
  <c r="F22" i="10"/>
  <c r="G22" i="10"/>
  <c r="A23" i="10"/>
  <c r="B23" i="10"/>
  <c r="D23" i="10"/>
  <c r="E23" i="10"/>
  <c r="F23" i="10"/>
  <c r="G23" i="10"/>
  <c r="A24" i="10"/>
  <c r="B24" i="10"/>
  <c r="D24" i="10"/>
  <c r="E24" i="10"/>
  <c r="F24" i="10"/>
  <c r="G24" i="10"/>
  <c r="A25" i="10"/>
  <c r="B25" i="10"/>
  <c r="D25" i="10"/>
  <c r="E25" i="10"/>
  <c r="F25" i="10"/>
  <c r="G25" i="10"/>
  <c r="A26" i="10"/>
  <c r="B26" i="10"/>
  <c r="D26" i="10"/>
  <c r="E26" i="10"/>
  <c r="F26" i="10"/>
  <c r="G26" i="10"/>
  <c r="A27" i="10"/>
  <c r="B27" i="10"/>
  <c r="D27" i="10"/>
  <c r="E27" i="10"/>
  <c r="F27" i="10"/>
  <c r="G27" i="10"/>
  <c r="A28" i="10"/>
  <c r="B28" i="10"/>
  <c r="D28" i="10"/>
  <c r="E28" i="10"/>
  <c r="F28" i="10"/>
  <c r="G28" i="10"/>
  <c r="A29" i="10"/>
  <c r="B29" i="10"/>
  <c r="D29" i="10"/>
  <c r="E29" i="10"/>
  <c r="F29" i="10"/>
  <c r="G29" i="10"/>
  <c r="A30" i="10"/>
  <c r="B30" i="10"/>
  <c r="D30" i="10"/>
  <c r="E30" i="10"/>
  <c r="F30" i="10"/>
  <c r="G30" i="10"/>
  <c r="G2" i="10"/>
  <c r="F2" i="10"/>
  <c r="E2" i="10"/>
  <c r="D2" i="10"/>
  <c r="B2" i="10"/>
  <c r="A2" i="10"/>
  <c r="B1" i="10"/>
  <c r="C1" i="10"/>
  <c r="D1" i="10"/>
  <c r="E1" i="10"/>
  <c r="F1" i="10"/>
  <c r="G1" i="10"/>
  <c r="A1" i="10"/>
  <c r="C3" i="10"/>
  <c r="C4" i="10"/>
  <c r="C2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2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2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2" i="9"/>
  <c r="B1" i="9"/>
  <c r="C1" i="9"/>
  <c r="D1" i="9"/>
  <c r="E1" i="9"/>
  <c r="F1" i="9"/>
  <c r="G1" i="9"/>
  <c r="H1" i="9"/>
  <c r="A1" i="9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B1" i="8"/>
  <c r="C1" i="8"/>
  <c r="D1" i="8"/>
  <c r="E1" i="8"/>
  <c r="F1" i="8"/>
  <c r="G1" i="8"/>
  <c r="A1" i="8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2" i="7"/>
  <c r="C1" i="7"/>
  <c r="B1" i="7"/>
  <c r="A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G4" i="9"/>
  <c r="C4" i="9"/>
  <c r="C3" i="9"/>
  <c r="G5" i="8"/>
  <c r="F5" i="8"/>
  <c r="C5" i="8"/>
  <c r="C7" i="9"/>
  <c r="F3" i="8"/>
  <c r="G6" i="9"/>
  <c r="C5" i="9"/>
  <c r="C2" i="9"/>
  <c r="G2" i="8"/>
  <c r="F2" i="8"/>
  <c r="C2" i="8"/>
  <c r="G5" i="9"/>
  <c r="C3" i="8"/>
  <c r="G7" i="9"/>
  <c r="G2" i="9"/>
  <c r="C6" i="9"/>
  <c r="G3" i="8"/>
  <c r="F4" i="8"/>
  <c r="C4" i="8"/>
  <c r="G3" i="9"/>
  <c r="G4" i="8"/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2" i="8"/>
</calcChain>
</file>

<file path=xl/sharedStrings.xml><?xml version="1.0" encoding="utf-8"?>
<sst xmlns="http://schemas.openxmlformats.org/spreadsheetml/2006/main" count="114" uniqueCount="91">
  <si>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</si>
  <si>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</si>
  <si>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</si>
  <si>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</si>
  <si>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</si>
  <si>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</si>
  <si>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</si>
  <si>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</si>
  <si>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</si>
  <si>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</si>
  <si>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</si>
  <si>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</si>
  <si>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</si>
  <si>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</si>
  <si>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</si>
  <si>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</si>
  <si>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</si>
  <si>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</si>
  <si>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</si>
  <si>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</si>
  <si>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</si>
  <si>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</si>
  <si>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</si>
  <si>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</si>
  <si>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</si>
  <si>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</si>
  <si>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</si>
  <si>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Knife</t>
    <phoneticPr fontId="1" type="noConversion"/>
  </si>
  <si>
    <t>Pistol</t>
    <phoneticPr fontId="1" type="noConversion"/>
  </si>
  <si>
    <t>Machine gun</t>
    <phoneticPr fontId="1" type="noConversion"/>
  </si>
  <si>
    <t>手電筒</t>
  </si>
  <si>
    <t>小刀</t>
  </si>
  <si>
    <t>手槍</t>
  </si>
  <si>
    <t>機槍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</si>
  <si>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</si>
  <si>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</si>
  <si>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</si>
  <si>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</si>
  <si>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</si>
  <si>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</si>
  <si>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</si>
  <si>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</si>
  <si>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</si>
  <si>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</si>
  <si>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</si>
  <si>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</si>
  <si>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</si>
  <si>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</si>
  <si>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</si>
  <si>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</si>
  <si>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</si>
  <si>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</si>
  <si>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</si>
  <si>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</si>
  <si>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</si>
  <si>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</si>
  <si>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</si>
  <si>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</si>
  <si>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</si>
  <si>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</si>
  <si>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</si>
  <si>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</si>
  <si>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</si>
  <si>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</si>
  <si>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</si>
  <si>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</si>
  <si>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</si>
  <si>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</si>
  <si>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</si>
  <si>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</si>
  <si>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</si>
  <si>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</si>
  <si>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StrID</t>
    <phoneticPr fontId="1" type="noConversion"/>
  </si>
  <si>
    <t>Mode</t>
    <phoneticPr fontId="1" type="noConversion"/>
  </si>
  <si>
    <t>HP</t>
    <phoneticPr fontId="1" type="noConversion"/>
  </si>
  <si>
    <t>Speed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</si>
  <si>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</si>
  <si>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</si>
  <si>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</si>
  <si>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</si>
  <si>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</si>
  <si>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</si>
  <si>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</si>
  <si>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</si>
  <si>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怪物2</t>
    <phoneticPr fontId="1" type="noConversion"/>
  </si>
  <si>
    <t>怪物3</t>
    <phoneticPr fontId="1" type="noConversion"/>
  </si>
  <si>
    <t>Zombie</t>
  </si>
  <si>
    <t>Monster2</t>
    <phoneticPr fontId="1" type="noConversion"/>
  </si>
  <si>
    <t>Monster3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</si>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</sst>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</cellXfs>
  <cellStyles count="1">
    <cellStyle name="一般" xfId="0" builtinId="0"/>
  </cellStyles>
  <dxfs count="3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0" totalsRowShown="0" headerRowDxfId="32">
  <autoFilter ref="A1:C30"/>
  <tableColumns count="3">
    <tableColumn id="1" name="GUID" dataDxfId="31"/>
    <tableColumn id="2" name="enUS" dataDxfId="30"/>
    <tableColumn id="3" name="zhTW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G30" totalsRowShown="0" headerRowDxfId="28" headerRowBorderDxfId="27" tableBorderDxfId="26" totalsRowBorderDxfId="25">
  <autoFilter ref="A1:G30"/>
  <tableColumns count="7">
    <tableColumn id="1" name="GUID" dataDxfId="24"/>
    <tableColumn id="2" name="StrID" dataDxfId="23"/>
    <tableColumn id="3" name="Mode" dataDxfId="22"/>
    <tableColumn id="4" name="Damag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17">
  <autoFilter ref="A1:H31"/>
  <tableColumns count="8">
    <tableColumn id="1" name="GUID" dataDxfId="16"/>
    <tableColumn id="2" name="StrID" dataDxfId="15"/>
    <tableColumn id="3" name="Mode" dataDxfId="14"/>
    <tableColumn id="4" name="Group" dataDxfId="13"/>
    <tableColumn id="5" name="Chances" dataDxfId="12"/>
    <tableColumn id="6" name="Cooldown" dataDxfId="11"/>
    <tableColumn id="7" name="Effect" dataDxfId="10"/>
    <tableColumn id="8" name="Value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31" totalsRowShown="0" headerRowDxfId="0" dataDxfId="8">
  <autoFilter ref="A1:G31"/>
  <tableColumns count="7">
    <tableColumn id="1" name="GUID" dataDxfId="7"/>
    <tableColumn id="2" name="StrID" dataDxfId="6"/>
    <tableColumn id="3" name="Mode" dataDxfId="5"/>
    <tableColumn id="4" name="HP" dataDxfId="4"/>
    <tableColumn id="5" name="Speed" dataDxfId="3"/>
    <tableColumn id="6" name="Threat" dataDxfId="2"/>
    <tableColumn id="7" name="Stage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6" t="s">
        <v>89</v>
      </c>
      <c r="B1" s="3" t="s">
        <v>90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4"/>
  <sheetViews>
    <sheetView workbookViewId="0">
      <pane ySplit="1" topLeftCell="A2" activePane="bottomLeft" state="frozen"/>
      <selection pane="bottomLeft" activeCell="B15" sqref="B1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30</v>
      </c>
    </row>
    <row r="3" spans="1:3" x14ac:dyDescent="0.25">
      <c r="A3" s="3">
        <v>1002</v>
      </c>
      <c r="B3" s="3" t="s">
        <v>27</v>
      </c>
      <c r="C3" s="3" t="s">
        <v>31</v>
      </c>
    </row>
    <row r="4" spans="1:3" x14ac:dyDescent="0.25">
      <c r="A4" s="3">
        <v>1003</v>
      </c>
      <c r="B4" s="3" t="s">
        <v>28</v>
      </c>
      <c r="C4" s="3" t="s">
        <v>32</v>
      </c>
    </row>
    <row r="5" spans="1:3" x14ac:dyDescent="0.25">
      <c r="A5" s="3">
        <v>1004</v>
      </c>
      <c r="B5" s="3" t="s">
        <v>29</v>
      </c>
      <c r="C5" s="3" t="s">
        <v>33</v>
      </c>
    </row>
    <row r="6" spans="1:3" x14ac:dyDescent="0.25">
      <c r="A6" s="3">
        <v>2001</v>
      </c>
      <c r="B6" s="3" t="s">
        <v>53</v>
      </c>
      <c r="C6" s="3" t="s">
        <v>44</v>
      </c>
    </row>
    <row r="7" spans="1:3" x14ac:dyDescent="0.25">
      <c r="A7" s="3">
        <v>2002</v>
      </c>
      <c r="B7" s="3" t="s">
        <v>54</v>
      </c>
      <c r="C7" s="3" t="s">
        <v>47</v>
      </c>
    </row>
    <row r="8" spans="1:3" x14ac:dyDescent="0.25">
      <c r="A8" s="3">
        <v>2003</v>
      </c>
      <c r="B8" s="3" t="s">
        <v>55</v>
      </c>
      <c r="C8" s="3" t="s">
        <v>48</v>
      </c>
    </row>
    <row r="9" spans="1:3" x14ac:dyDescent="0.25">
      <c r="A9" s="3">
        <v>2004</v>
      </c>
      <c r="B9" s="3" t="s">
        <v>56</v>
      </c>
      <c r="C9" s="3" t="s">
        <v>49</v>
      </c>
    </row>
    <row r="10" spans="1:3" x14ac:dyDescent="0.25">
      <c r="A10" s="3">
        <v>2005</v>
      </c>
      <c r="B10" s="3" t="s">
        <v>57</v>
      </c>
      <c r="C10" s="3" t="s">
        <v>51</v>
      </c>
    </row>
    <row r="11" spans="1:3" x14ac:dyDescent="0.25">
      <c r="A11" s="3">
        <v>2006</v>
      </c>
      <c r="B11" s="3" t="s">
        <v>58</v>
      </c>
      <c r="C11" s="3" t="s">
        <v>52</v>
      </c>
    </row>
    <row r="12" spans="1:3" x14ac:dyDescent="0.25">
      <c r="A12" s="3">
        <v>3001</v>
      </c>
      <c r="B12" s="3" t="s">
        <v>86</v>
      </c>
      <c r="C12" s="3" t="s">
        <v>83</v>
      </c>
    </row>
    <row r="13" spans="1:3" x14ac:dyDescent="0.25">
      <c r="A13" s="3">
        <v>3002</v>
      </c>
      <c r="B13" s="3" t="s">
        <v>87</v>
      </c>
      <c r="C13" s="3" t="s">
        <v>84</v>
      </c>
    </row>
    <row r="14" spans="1:3" x14ac:dyDescent="0.25">
      <c r="A14" s="3">
        <v>3003</v>
      </c>
      <c r="B14" s="3" t="s">
        <v>88</v>
      </c>
      <c r="C14" s="3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5"/>
  <sheetViews>
    <sheetView workbookViewId="0">
      <pane ySplit="1" topLeftCell="A2" activePane="bottomLeft" state="frozen"/>
      <selection pane="bottomLeft" activeCell="G2" sqref="G2"/>
    </sheetView>
  </sheetViews>
  <sheetFormatPr defaultRowHeight="16.5" x14ac:dyDescent="0.25"/>
  <cols>
    <col min="1" max="7" width="15.625" style="3" customWidth="1"/>
    <col min="8" max="8" width="3.125" style="3" customWidth="1"/>
    <col min="9" max="9" width="40.625" style="3" customWidth="1"/>
    <col min="10" max="16384" width="9" style="3"/>
  </cols>
  <sheetData>
    <row r="1" spans="1:9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I1" s="2" t="s">
        <v>9</v>
      </c>
    </row>
    <row r="2" spans="1:9" x14ac:dyDescent="0.25">
      <c r="A2" s="3">
        <v>1</v>
      </c>
      <c r="B2" s="3">
        <v>1001</v>
      </c>
      <c r="C2" s="3" t="s">
        <v>34</v>
      </c>
      <c r="D2" s="3">
        <v>0</v>
      </c>
      <c r="E2" s="3">
        <v>0</v>
      </c>
      <c r="F2" s="3" t="s">
        <v>15</v>
      </c>
      <c r="G2" s="3" t="s">
        <v>24</v>
      </c>
    </row>
    <row r="3" spans="1:9" x14ac:dyDescent="0.25">
      <c r="A3" s="3">
        <v>2</v>
      </c>
      <c r="B3" s="3">
        <v>1002</v>
      </c>
      <c r="C3" s="3" t="s">
        <v>35</v>
      </c>
      <c r="D3" s="3">
        <v>1</v>
      </c>
      <c r="E3" s="3">
        <v>0.5</v>
      </c>
      <c r="F3" s="3" t="s">
        <v>13</v>
      </c>
      <c r="G3" s="3" t="s">
        <v>18</v>
      </c>
    </row>
    <row r="4" spans="1:9" x14ac:dyDescent="0.25">
      <c r="A4" s="3">
        <v>3</v>
      </c>
      <c r="B4" s="3">
        <v>1003</v>
      </c>
      <c r="C4" s="3" t="s">
        <v>35</v>
      </c>
      <c r="D4" s="3">
        <v>6</v>
      </c>
      <c r="E4" s="3">
        <v>1.5</v>
      </c>
      <c r="F4" s="3" t="s">
        <v>15</v>
      </c>
      <c r="G4" s="3" t="s">
        <v>20</v>
      </c>
    </row>
    <row r="5" spans="1:9" x14ac:dyDescent="0.25">
      <c r="A5" s="3">
        <v>4</v>
      </c>
      <c r="B5" s="3">
        <v>1004</v>
      </c>
      <c r="C5" s="3" t="s">
        <v>35</v>
      </c>
      <c r="D5" s="3">
        <v>2</v>
      </c>
      <c r="E5" s="3">
        <v>0.25</v>
      </c>
      <c r="F5" s="3" t="s">
        <v>15</v>
      </c>
      <c r="G5" s="6" t="s">
        <v>22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G1:G1048576</xm:sqref>
        </x14:dataValidation>
        <x14:dataValidation type="list" allowBlank="1" showInputMessage="1" showErrorMessage="1">
          <x14:formula1>
            <xm:f>選項清單!$C$3:$C$4</xm:f>
          </x14:formula1>
          <xm:sqref>F1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36</v>
      </c>
      <c r="B1" s="2" t="s">
        <v>37</v>
      </c>
      <c r="C1" s="2" t="s">
        <v>38</v>
      </c>
      <c r="D1" s="2" t="s">
        <v>70</v>
      </c>
      <c r="E1" s="2" t="s">
        <v>42</v>
      </c>
      <c r="F1" s="2" t="s">
        <v>39</v>
      </c>
      <c r="G1" s="2" t="s">
        <v>43</v>
      </c>
      <c r="H1" s="2" t="s">
        <v>40</v>
      </c>
      <c r="J1" s="2" t="s">
        <v>41</v>
      </c>
    </row>
    <row r="2" spans="1:10" x14ac:dyDescent="0.25">
      <c r="A2" s="3">
        <v>1</v>
      </c>
      <c r="B2" s="3">
        <v>2001</v>
      </c>
      <c r="C2" s="3" t="s">
        <v>45</v>
      </c>
      <c r="D2" s="3">
        <v>0</v>
      </c>
      <c r="E2" s="3">
        <v>30</v>
      </c>
      <c r="F2" s="3">
        <v>5</v>
      </c>
      <c r="G2" s="3" t="s">
        <v>46</v>
      </c>
      <c r="H2" s="3">
        <v>1</v>
      </c>
    </row>
    <row r="3" spans="1:10" x14ac:dyDescent="0.25">
      <c r="A3" s="3">
        <v>2</v>
      </c>
      <c r="B3" s="3">
        <v>2002</v>
      </c>
      <c r="C3" s="3" t="s">
        <v>45</v>
      </c>
      <c r="D3" s="3">
        <v>0</v>
      </c>
      <c r="E3" s="3">
        <v>10</v>
      </c>
      <c r="F3" s="3">
        <v>20</v>
      </c>
      <c r="G3" s="3" t="s">
        <v>46</v>
      </c>
      <c r="H3" s="3">
        <v>-10</v>
      </c>
    </row>
    <row r="4" spans="1:10" x14ac:dyDescent="0.25">
      <c r="A4" s="3">
        <v>3</v>
      </c>
      <c r="B4" s="3">
        <v>2003</v>
      </c>
      <c r="C4" s="3" t="s">
        <v>45</v>
      </c>
      <c r="D4" s="3">
        <v>0</v>
      </c>
      <c r="E4" s="3">
        <v>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50</v>
      </c>
      <c r="D5" s="3">
        <v>1</v>
      </c>
      <c r="E5" s="3">
        <v>0</v>
      </c>
      <c r="F5" s="3">
        <v>0</v>
      </c>
      <c r="G5" s="3" t="s">
        <v>68</v>
      </c>
      <c r="H5" s="3">
        <v>-1</v>
      </c>
    </row>
    <row r="6" spans="1:10" x14ac:dyDescent="0.25">
      <c r="A6" s="3">
        <v>5</v>
      </c>
      <c r="B6" s="3">
        <v>2005</v>
      </c>
      <c r="C6" s="3" t="s">
        <v>50</v>
      </c>
      <c r="D6" s="3">
        <v>1</v>
      </c>
      <c r="E6" s="3">
        <v>0</v>
      </c>
      <c r="F6" s="3">
        <v>0</v>
      </c>
      <c r="G6" s="3" t="s">
        <v>68</v>
      </c>
      <c r="H6" s="3">
        <v>1</v>
      </c>
    </row>
    <row r="7" spans="1:10" x14ac:dyDescent="0.25">
      <c r="A7" s="3">
        <v>6</v>
      </c>
      <c r="B7" s="3">
        <v>2006</v>
      </c>
      <c r="C7" s="3" t="s">
        <v>50</v>
      </c>
      <c r="D7" s="3">
        <v>1</v>
      </c>
      <c r="E7" s="3">
        <v>0</v>
      </c>
      <c r="F7" s="3">
        <v>0</v>
      </c>
      <c r="G7" s="3" t="s">
        <v>68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4"/>
  <sheetViews>
    <sheetView workbookViewId="0">
      <pane ySplit="1" topLeftCell="A2" activePane="bottomLeft" state="frozen"/>
      <selection pane="bottomLeft" activeCell="G5" sqref="G5"/>
    </sheetView>
  </sheetViews>
  <sheetFormatPr defaultRowHeight="16.5" x14ac:dyDescent="0.25"/>
  <cols>
    <col min="1" max="1" width="15.625" style="13" customWidth="1"/>
    <col min="2" max="2" width="15.625" style="15" customWidth="1"/>
    <col min="3" max="3" width="15.625" style="12" customWidth="1"/>
    <col min="4" max="7" width="15.625" style="15" customWidth="1"/>
    <col min="8" max="8" width="3.125" style="12" customWidth="1"/>
    <col min="9" max="9" width="40.625" style="12" customWidth="1"/>
    <col min="10" max="16384" width="9" style="12"/>
  </cols>
  <sheetData>
    <row r="1" spans="1:9" s="2" customFormat="1" x14ac:dyDescent="0.25">
      <c r="A1" s="14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I1" s="2" t="s">
        <v>78</v>
      </c>
    </row>
    <row r="2" spans="1:9" x14ac:dyDescent="0.25">
      <c r="A2" s="13">
        <v>1</v>
      </c>
      <c r="B2" s="15">
        <v>3001</v>
      </c>
      <c r="C2" s="12" t="s">
        <v>81</v>
      </c>
      <c r="D2" s="15">
        <v>6</v>
      </c>
      <c r="E2" s="15">
        <v>1</v>
      </c>
      <c r="F2" s="15">
        <v>1</v>
      </c>
      <c r="G2" s="15">
        <v>1</v>
      </c>
    </row>
    <row r="3" spans="1:9" x14ac:dyDescent="0.25">
      <c r="A3" s="13">
        <v>2</v>
      </c>
      <c r="B3" s="15">
        <v>3002</v>
      </c>
      <c r="C3" s="12" t="s">
        <v>81</v>
      </c>
      <c r="D3" s="15">
        <v>10</v>
      </c>
      <c r="E3" s="15">
        <v>2</v>
      </c>
      <c r="F3" s="15">
        <v>2</v>
      </c>
      <c r="G3" s="15">
        <v>1</v>
      </c>
    </row>
    <row r="4" spans="1:9" x14ac:dyDescent="0.25">
      <c r="A4" s="13">
        <v>3</v>
      </c>
      <c r="B4" s="15">
        <v>3003</v>
      </c>
      <c r="C4" s="12" t="s">
        <v>81</v>
      </c>
      <c r="D4" s="15">
        <v>14</v>
      </c>
      <c r="E4" s="15">
        <v>3</v>
      </c>
      <c r="F4" s="15">
        <v>3</v>
      </c>
      <c r="G4" s="15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C1:C1048576 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M7" sqref="M7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0" t="s">
        <v>10</v>
      </c>
      <c r="B1" s="10"/>
      <c r="C1" s="10" t="s">
        <v>17</v>
      </c>
      <c r="D1" s="10"/>
      <c r="E1" s="10" t="s">
        <v>62</v>
      </c>
      <c r="F1" s="11"/>
      <c r="G1" s="10" t="s">
        <v>59</v>
      </c>
      <c r="H1" s="11"/>
      <c r="I1" s="10" t="s">
        <v>63</v>
      </c>
      <c r="J1" s="11"/>
      <c r="K1" s="10" t="s">
        <v>79</v>
      </c>
      <c r="L1" s="11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80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60</v>
      </c>
      <c r="H3" s="4">
        <v>1</v>
      </c>
      <c r="I3" s="8" t="s">
        <v>64</v>
      </c>
      <c r="J3" s="4">
        <v>1</v>
      </c>
      <c r="K3" s="4" t="s">
        <v>82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61</v>
      </c>
      <c r="H4" s="4">
        <v>2</v>
      </c>
      <c r="I4" s="8" t="s">
        <v>46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65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66</v>
      </c>
      <c r="J9" s="4">
        <v>7</v>
      </c>
    </row>
    <row r="10" spans="1:12" x14ac:dyDescent="0.25">
      <c r="I10" s="4" t="s">
        <v>67</v>
      </c>
      <c r="J10" s="4">
        <v>8</v>
      </c>
    </row>
    <row r="11" spans="1:12" x14ac:dyDescent="0.25">
      <c r="I11" s="4" t="s">
        <v>69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B5" sqref="B5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>
        <f>IF(ISBLANK(語言列表!A2),"",語言列表!A2)</f>
        <v>1001</v>
      </c>
      <c r="B2" t="str">
        <f>IF(ISBLANK(語言列表!B2),"",語言列表!B2)</f>
        <v>Flashlight</v>
      </c>
      <c r="C2" t="str">
        <f>IF(ISBLANK(語言列表!C2),"",語言列表!C2)</f>
        <v>手電筒</v>
      </c>
    </row>
    <row r="3" spans="1:3" x14ac:dyDescent="0.25">
      <c r="A3">
        <f>IF(ISBLANK(語言列表!A3),"",語言列表!A3)</f>
        <v>1002</v>
      </c>
      <c r="B3" t="str">
        <f>IF(ISBLANK(語言列表!B3),"",語言列表!B3)</f>
        <v>Knife</v>
      </c>
      <c r="C3" t="str">
        <f>IF(ISBLANK(語言列表!C3),"",語言列表!C3)</f>
        <v>小刀</v>
      </c>
    </row>
    <row r="4" spans="1:3" x14ac:dyDescent="0.25">
      <c r="A4">
        <f>IF(ISBLANK(語言列表!A4),"",語言列表!A4)</f>
        <v>1003</v>
      </c>
      <c r="B4" t="str">
        <f>IF(ISBLANK(語言列表!B4),"",語言列表!B4)</f>
        <v>Pistol</v>
      </c>
      <c r="C4" t="str">
        <f>IF(ISBLANK(語言列表!C4),"",語言列表!C4)</f>
        <v>手槍</v>
      </c>
    </row>
    <row r="5" spans="1:3" x14ac:dyDescent="0.25">
      <c r="A5">
        <f>IF(ISBLANK(語言列表!A5),"",語言列表!A5)</f>
        <v>1004</v>
      </c>
      <c r="B5" t="str">
        <f>IF(ISBLANK(語言列表!B5),"",語言列表!B5)</f>
        <v>Machine gun</v>
      </c>
      <c r="C5" t="str">
        <f>IF(ISBLANK(語言列表!C5),"",語言列表!C5)</f>
        <v>機槍</v>
      </c>
    </row>
    <row r="6" spans="1:3" x14ac:dyDescent="0.25">
      <c r="A6">
        <f>IF(ISBLANK(語言列表!A6),"",語言列表!A6)</f>
        <v>2001</v>
      </c>
      <c r="B6" t="str">
        <f>IF(ISBLANK(語言列表!B6),"",語言列表!B6)</f>
        <v>Nervous</v>
      </c>
      <c r="C6" t="str">
        <f>IF(ISBLANK(語言列表!C6),"",語言列表!C6)</f>
        <v>緊張不安</v>
      </c>
    </row>
    <row r="7" spans="1:3" x14ac:dyDescent="0.25">
      <c r="A7">
        <f>IF(ISBLANK(語言列表!A7),"",語言列表!A7)</f>
        <v>2002</v>
      </c>
      <c r="B7" t="str">
        <f>IF(ISBLANK(語言列表!B7),"",語言列表!B7)</f>
        <v>Good appease</v>
      </c>
      <c r="C7" t="str">
        <f>IF(ISBLANK(語言列表!C7),"",語言列表!C7)</f>
        <v>善於安撫</v>
      </c>
    </row>
    <row r="8" spans="1:3" x14ac:dyDescent="0.25">
      <c r="A8">
        <f>IF(ISBLANK(語言列表!A8),"",語言列表!A8)</f>
        <v>2003</v>
      </c>
      <c r="B8" t="str">
        <f>IF(ISBLANK(語言列表!B8),"",語言列表!B8)</f>
        <v>The scavengers</v>
      </c>
      <c r="C8" t="str">
        <f>IF(ISBLANK(語言列表!C8),"",語言列表!C8)</f>
        <v>拾荒者</v>
      </c>
    </row>
    <row r="9" spans="1:3" x14ac:dyDescent="0.25">
      <c r="A9">
        <f>IF(ISBLANK(語言列表!A9),"",語言列表!A9)</f>
        <v>2004</v>
      </c>
      <c r="B9" t="str">
        <f>IF(ISBLANK(語言列表!B9),"",語言列表!B9)</f>
        <v>Clumsy shooter</v>
      </c>
      <c r="C9" t="str">
        <f>IF(ISBLANK(語言列表!C9),"",語言列表!C9)</f>
        <v>笨拙的槍手</v>
      </c>
    </row>
    <row r="10" spans="1:3" x14ac:dyDescent="0.25">
      <c r="A10">
        <f>IF(ISBLANK(語言列表!A10),"",語言列表!A10)</f>
        <v>2005</v>
      </c>
      <c r="B10" t="str">
        <f>IF(ISBLANK(語言列表!B10),"",語言列表!B10)</f>
        <v>Veteran shooter</v>
      </c>
      <c r="C10" t="str">
        <f>IF(ISBLANK(語言列表!C10),"",語言列表!C10)</f>
        <v>老練的槍手</v>
      </c>
    </row>
    <row r="11" spans="1:3" x14ac:dyDescent="0.25">
      <c r="A11">
        <f>IF(ISBLANK(語言列表!A11),"",語言列表!A11)</f>
        <v>2006</v>
      </c>
      <c r="B11" t="str">
        <f>IF(ISBLANK(語言列表!B11),"",語言列表!B11)</f>
        <v>Gifted shooter</v>
      </c>
      <c r="C11" t="str">
        <f>IF(ISBLANK(語言列表!C11),"",語言列表!C11)</f>
        <v>天才的槍手</v>
      </c>
    </row>
    <row r="12" spans="1:3" x14ac:dyDescent="0.25">
      <c r="A12">
        <f>IF(ISBLANK(語言列表!A12),"",語言列表!A12)</f>
        <v>3001</v>
      </c>
      <c r="B12" t="str">
        <f>IF(ISBLANK(語言列表!B12),"",語言列表!B12)</f>
        <v>Zombie</v>
      </c>
      <c r="C12" t="str">
        <f>IF(ISBLANK(語言列表!C12),"",語言列表!C12)</f>
        <v>殭屍</v>
      </c>
    </row>
    <row r="13" spans="1:3" x14ac:dyDescent="0.25">
      <c r="A13">
        <f>IF(ISBLANK(語言列表!A13),"",語言列表!A13)</f>
        <v>3002</v>
      </c>
      <c r="B13" t="str">
        <f>IF(ISBLANK(語言列表!B13),"",語言列表!B13)</f>
        <v>Monster2</v>
      </c>
      <c r="C13" t="str">
        <f>IF(ISBLANK(語言列表!C13),"",語言列表!C13)</f>
        <v>怪物2</v>
      </c>
    </row>
    <row r="14" spans="1:3" x14ac:dyDescent="0.25">
      <c r="A14">
        <f>IF(ISBLANK(語言列表!A14),"",語言列表!A14)</f>
        <v>3003</v>
      </c>
      <c r="B14" t="str">
        <f>IF(ISBLANK(語言列表!B14),"",語言列表!B14)</f>
        <v>Monster3</v>
      </c>
      <c r="C14" t="str">
        <f>IF(ISBLANK(語言列表!C14),"",語言列表!C14)</f>
        <v>怪物3</v>
      </c>
    </row>
    <row r="15" spans="1:3" x14ac:dyDescent="0.25">
      <c r="A15" t="str">
        <f>IF(ISBLANK(語言列表!A15),"",語言列表!A15)</f>
        <v/>
      </c>
      <c r="B15" t="str">
        <f>IF(ISBLANK(語言列表!B15),"",語言列表!B15)</f>
        <v/>
      </c>
      <c r="C15" t="str">
        <f>IF(ISBLANK(語言列表!C15),"",語言列表!C15)</f>
        <v/>
      </c>
    </row>
    <row r="16" spans="1:3" x14ac:dyDescent="0.25">
      <c r="A16" t="str">
        <f>IF(ISBLANK(語言列表!A16),"",語言列表!A16)</f>
        <v/>
      </c>
      <c r="B16" t="str">
        <f>IF(ISBLANK(語言列表!B16),"",語言列表!B16)</f>
        <v/>
      </c>
      <c r="C16" t="str">
        <f>IF(ISBLANK(語言列表!C16),"",語言列表!C16)</f>
        <v/>
      </c>
    </row>
    <row r="17" spans="1:3" x14ac:dyDescent="0.25">
      <c r="A17" t="str">
        <f>IF(ISBLANK(語言列表!A17),"",語言列表!A17)</f>
        <v/>
      </c>
      <c r="B17" t="str">
        <f>IF(ISBLANK(語言列表!B17),"",語言列表!B17)</f>
        <v/>
      </c>
      <c r="C17" t="str">
        <f>IF(ISBLANK(語言列表!C17),"",語言列表!C17)</f>
        <v/>
      </c>
    </row>
    <row r="18" spans="1:3" x14ac:dyDescent="0.25">
      <c r="A18" t="str">
        <f>IF(ISBLANK(語言列表!A18),"",語言列表!A18)</f>
        <v/>
      </c>
      <c r="B18" t="str">
        <f>IF(ISBLANK(語言列表!B18),"",語言列表!B18)</f>
        <v/>
      </c>
      <c r="C18" t="str">
        <f>IF(ISBLANK(語言列表!C18),"",語言列表!C18)</f>
        <v/>
      </c>
    </row>
    <row r="19" spans="1:3" x14ac:dyDescent="0.25">
      <c r="A19" t="str">
        <f>IF(ISBLANK(語言列表!A19),"",語言列表!A19)</f>
        <v/>
      </c>
      <c r="B19" t="str">
        <f>IF(ISBLANK(語言列表!B19),"",語言列表!B19)</f>
        <v/>
      </c>
      <c r="C19" t="str">
        <f>IF(ISBLANK(語言列表!C19),"",語言列表!C19)</f>
        <v/>
      </c>
    </row>
    <row r="20" spans="1:3" x14ac:dyDescent="0.25">
      <c r="A20" t="str">
        <f>IF(ISBLANK(語言列表!A20),"",語言列表!A20)</f>
        <v/>
      </c>
      <c r="B20" t="str">
        <f>IF(ISBLANK(語言列表!B20),"",語言列表!B20)</f>
        <v/>
      </c>
      <c r="C20" t="str">
        <f>IF(ISBLANK(語言列表!C20),"",語言列表!C20)</f>
        <v/>
      </c>
    </row>
    <row r="21" spans="1:3" x14ac:dyDescent="0.25">
      <c r="A21" t="str">
        <f>IF(ISBLANK(語言列表!A21),"",語言列表!A21)</f>
        <v/>
      </c>
      <c r="B21" t="str">
        <f>IF(ISBLANK(語言列表!B21),"",語言列表!B21)</f>
        <v/>
      </c>
      <c r="C21" t="str">
        <f>IF(ISBLANK(語言列表!C21),"",語言列表!C21)</f>
        <v/>
      </c>
    </row>
    <row r="22" spans="1:3" x14ac:dyDescent="0.25">
      <c r="A22" t="str">
        <f>IF(ISBLANK(語言列表!A22),"",語言列表!A22)</f>
        <v/>
      </c>
      <c r="B22" t="str">
        <f>IF(ISBLANK(語言列表!B22),"",語言列表!B22)</f>
        <v/>
      </c>
      <c r="C22" t="str">
        <f>IF(ISBLANK(語言列表!C22),"",語言列表!C22)</f>
        <v/>
      </c>
    </row>
    <row r="23" spans="1:3" x14ac:dyDescent="0.25">
      <c r="A23" t="str">
        <f>IF(ISBLANK(語言列表!A23),"",語言列表!A23)</f>
        <v/>
      </c>
      <c r="B23" t="str">
        <f>IF(ISBLANK(語言列表!B23),"",語言列表!B23)</f>
        <v/>
      </c>
      <c r="C23" t="str">
        <f>IF(ISBLANK(語言列表!C23),"",語言列表!C23)</f>
        <v/>
      </c>
    </row>
    <row r="24" spans="1:3" x14ac:dyDescent="0.25">
      <c r="A24" t="str">
        <f>IF(ISBLANK(語言列表!A24),"",語言列表!A24)</f>
        <v/>
      </c>
      <c r="B24" t="str">
        <f>IF(ISBLANK(語言列表!B24),"",語言列表!B24)</f>
        <v/>
      </c>
      <c r="C24" t="str">
        <f>IF(ISBLANK(語言列表!C24),"",語言列表!C24)</f>
        <v/>
      </c>
    </row>
    <row r="25" spans="1:3" x14ac:dyDescent="0.25">
      <c r="A25" t="str">
        <f>IF(ISBLANK(語言列表!A25),"",語言列表!A25)</f>
        <v/>
      </c>
      <c r="B25" t="str">
        <f>IF(ISBLANK(語言列表!B25),"",語言列表!B25)</f>
        <v/>
      </c>
      <c r="C25" t="str">
        <f>IF(ISBLANK(語言列表!C25),"",語言列表!C25)</f>
        <v/>
      </c>
    </row>
    <row r="26" spans="1:3" x14ac:dyDescent="0.25">
      <c r="A26" t="str">
        <f>IF(ISBLANK(語言列表!A26),"",語言列表!A26)</f>
        <v/>
      </c>
      <c r="B26" t="str">
        <f>IF(ISBLANK(語言列表!B26),"",語言列表!B26)</f>
        <v/>
      </c>
      <c r="C26" t="str">
        <f>IF(ISBLANK(語言列表!C26),"",語言列表!C26)</f>
        <v/>
      </c>
    </row>
    <row r="27" spans="1:3" x14ac:dyDescent="0.25">
      <c r="A27" t="str">
        <f>IF(ISBLANK(語言列表!A27),"",語言列表!A27)</f>
        <v/>
      </c>
      <c r="B27" t="str">
        <f>IF(ISBLANK(語言列表!B27),"",語言列表!B27)</f>
        <v/>
      </c>
      <c r="C27" t="str">
        <f>IF(ISBLANK(語言列表!C27),"",語言列表!C27)</f>
        <v/>
      </c>
    </row>
    <row r="28" spans="1:3" x14ac:dyDescent="0.25">
      <c r="A28" t="str">
        <f>IF(ISBLANK(語言列表!A28),"",語言列表!A28)</f>
        <v/>
      </c>
      <c r="B28" t="str">
        <f>IF(ISBLANK(語言列表!B28),"",語言列表!B28)</f>
        <v/>
      </c>
      <c r="C28" t="str">
        <f>IF(ISBLANK(語言列表!C28),"",語言列表!C28)</f>
        <v/>
      </c>
    </row>
    <row r="29" spans="1:3" x14ac:dyDescent="0.25">
      <c r="A29" t="str">
        <f>IF(ISBLANK(語言列表!A29),"",語言列表!A29)</f>
        <v/>
      </c>
      <c r="B29" t="str">
        <f>IF(ISBLANK(語言列表!B29),"",語言列表!B29)</f>
        <v/>
      </c>
      <c r="C29" t="str">
        <f>IF(ISBLANK(語言列表!C29),"",語言列表!C29)</f>
        <v/>
      </c>
    </row>
    <row r="30" spans="1:3" x14ac:dyDescent="0.25">
      <c r="A30" t="str">
        <f>IF(ISBLANK(語言列表!A30),"",語言列表!A30)</f>
        <v/>
      </c>
      <c r="B30" t="str">
        <f>IF(ISBLANK(語言列表!B30),"",語言列表!B30)</f>
        <v/>
      </c>
      <c r="C30" t="str">
        <f>IF(ISBLANK(語言列表!C30),"",語言列表!C30)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G30"/>
  <sheetViews>
    <sheetView workbookViewId="0">
      <selection activeCell="C2" sqref="C2"/>
    </sheetView>
  </sheetViews>
  <sheetFormatPr defaultRowHeight="16.5" x14ac:dyDescent="0.25"/>
  <cols>
    <col min="1" max="7" width="15.625" customWidth="1"/>
  </cols>
  <sheetData>
    <row r="1" spans="1:7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FireRate</v>
      </c>
      <c r="F1" t="str">
        <f>裝備!F1</f>
        <v>Range</v>
      </c>
      <c r="G1" t="str">
        <f>裝備!G1</f>
        <v>Resource</v>
      </c>
    </row>
    <row r="2" spans="1:7" x14ac:dyDescent="0.25">
      <c r="A2">
        <f>IF(ISBLANK(裝備!A2),"",裝備!A2)</f>
        <v>1</v>
      </c>
      <c r="B2">
        <f>IF(ISBLANK(裝備!B2),"",裝備!B2)</f>
        <v>1001</v>
      </c>
      <c r="C2">
        <f>IF(ISBLANK(裝備!C2),"",ToEquipMode(裝備!C2))</f>
        <v>1</v>
      </c>
      <c r="D2">
        <f>IF(ISBLANK(表格2[[#This Row],[Damage]]),"",表格2[[#This Row],[Damage]])</f>
        <v>0</v>
      </c>
      <c r="E2">
        <f>IF(ISBLANK(表格2[[#This Row],[FireRate]]),"",表格2[[#This Row],[FireRate]])</f>
        <v>0</v>
      </c>
      <c r="F2">
        <f>IF(ISBLANK(裝備!F2),"",ToEquipRange(裝備!F2))</f>
        <v>2</v>
      </c>
      <c r="G2">
        <f>IF(ISBLANK(裝備!G2),"",ToEquipResource(裝備!G2))</f>
        <v>1</v>
      </c>
    </row>
    <row r="3" spans="1:7" x14ac:dyDescent="0.25">
      <c r="A3">
        <f>IF(ISBLANK(裝備!A3),"",裝備!A3)</f>
        <v>2</v>
      </c>
      <c r="B3">
        <f>IF(ISBLANK(裝備!B3),"",裝備!B3)</f>
        <v>1002</v>
      </c>
      <c r="C3">
        <f>IF(ISBLANK(裝備!C3),"",ToEquipMode(裝備!C3))</f>
        <v>2</v>
      </c>
      <c r="D3">
        <f>IF(ISBLANK(表格2[[#This Row],[Damage]]),"",表格2[[#This Row],[Damage]])</f>
        <v>1</v>
      </c>
      <c r="E3">
        <f>IF(ISBLANK(表格2[[#This Row],[FireRate]]),"",表格2[[#This Row],[FireRate]])</f>
        <v>0.5</v>
      </c>
      <c r="F3">
        <f>IF(ISBLANK(裝備!F3),"",ToEquipRange(裝備!F3))</f>
        <v>1</v>
      </c>
      <c r="G3">
        <f>IF(ISBLANK(裝備!G3),"",ToEquipResource(裝備!G3))</f>
        <v>0</v>
      </c>
    </row>
    <row r="4" spans="1:7" x14ac:dyDescent="0.25">
      <c r="A4">
        <f>IF(ISBLANK(裝備!A4),"",裝備!A4)</f>
        <v>3</v>
      </c>
      <c r="B4">
        <f>IF(ISBLANK(裝備!B4),"",裝備!B4)</f>
        <v>1003</v>
      </c>
      <c r="C4">
        <f>IF(ISBLANK(裝備!C4),"",ToEquipMode(裝備!C4))</f>
        <v>2</v>
      </c>
      <c r="D4">
        <f>IF(ISBLANK(表格2[[#This Row],[Damage]]),"",表格2[[#This Row],[Damage]])</f>
        <v>6</v>
      </c>
      <c r="E4">
        <f>IF(ISBLANK(表格2[[#This Row],[FireRate]]),"",表格2[[#This Row],[FireRate]])</f>
        <v>1.5</v>
      </c>
      <c r="F4">
        <f>IF(ISBLANK(裝備!F4),"",ToEquipRange(裝備!F4))</f>
        <v>2</v>
      </c>
      <c r="G4">
        <f>IF(ISBLANK(裝備!G4),"",ToEquipResource(裝備!G4))</f>
        <v>2</v>
      </c>
    </row>
    <row r="5" spans="1:7" x14ac:dyDescent="0.25">
      <c r="A5">
        <f>IF(ISBLANK(裝備!A5),"",裝備!A5)</f>
        <v>4</v>
      </c>
      <c r="B5">
        <f>IF(ISBLANK(裝備!B5),"",裝備!B5)</f>
        <v>1004</v>
      </c>
      <c r="C5">
        <f>IF(ISBLANK(裝備!C5),"",ToEquipMode(裝備!C5))</f>
        <v>2</v>
      </c>
      <c r="D5">
        <f>IF(ISBLANK(表格2[[#This Row],[Damage]]),"",表格2[[#This Row],[Damage]])</f>
        <v>2</v>
      </c>
      <c r="E5">
        <f>IF(ISBLANK(表格2[[#This Row],[FireRate]]),"",表格2[[#This Row],[FireRate]])</f>
        <v>0.25</v>
      </c>
      <c r="F5">
        <f>IF(ISBLANK(裝備!F5),"",ToEquipRange(裝備!F5))</f>
        <v>2</v>
      </c>
      <c r="G5">
        <f>IF(ISBLANK(裝備!G5),"",ToEquipResource(裝備!G5))</f>
        <v>3</v>
      </c>
    </row>
    <row r="6" spans="1:7" x14ac:dyDescent="0.25">
      <c r="A6" t="str">
        <f>IF(ISBLANK(裝備!A6),"",裝備!A6)</f>
        <v/>
      </c>
      <c r="B6" t="str">
        <f>IF(ISBLANK(裝備!B6),"",裝備!B6)</f>
        <v/>
      </c>
      <c r="C6" t="str">
        <f>IF(ISBLANK(裝備!C6),"",ToEquipMode(裝備!C6))</f>
        <v/>
      </c>
      <c r="D6" t="str">
        <f>IF(ISBLANK(表格2[[#This Row],[Damage]]),"",表格2[[#This Row],[Damage]])</f>
        <v/>
      </c>
      <c r="E6" t="str">
        <f>IF(ISBLANK(表格2[[#This Row],[FireRate]]),"",表格2[[#This Row],[FireRate]])</f>
        <v/>
      </c>
      <c r="F6" t="str">
        <f>IF(ISBLANK(裝備!F6),"",ToEquipRange(裝備!F6))</f>
        <v/>
      </c>
      <c r="G6" t="str">
        <f>IF(ISBLANK(裝備!G6),"",ToEquipResource(裝備!G6))</f>
        <v/>
      </c>
    </row>
    <row r="7" spans="1:7" x14ac:dyDescent="0.25">
      <c r="A7" t="str">
        <f>IF(ISBLANK(裝備!A7),"",裝備!A7)</f>
        <v/>
      </c>
      <c r="B7" t="str">
        <f>IF(ISBLANK(裝備!B7),"",裝備!B7)</f>
        <v/>
      </c>
      <c r="C7" t="str">
        <f>IF(ISBLANK(裝備!C7),"",ToEquipMode(裝備!C7))</f>
        <v/>
      </c>
      <c r="D7" t="str">
        <f>IF(ISBLANK(表格2[[#This Row],[Damage]]),"",表格2[[#This Row],[Damage]])</f>
        <v/>
      </c>
      <c r="E7" t="str">
        <f>IF(ISBLANK(表格2[[#This Row],[FireRate]]),"",表格2[[#This Row],[FireRate]])</f>
        <v/>
      </c>
      <c r="F7" t="str">
        <f>IF(ISBLANK(裝備!F7),"",ToEquipRange(裝備!F7))</f>
        <v/>
      </c>
      <c r="G7" t="str">
        <f>IF(ISBLANK(裝備!G7),"",ToEquipResource(裝備!G7))</f>
        <v/>
      </c>
    </row>
    <row r="8" spans="1:7" x14ac:dyDescent="0.25">
      <c r="A8" t="str">
        <f>IF(ISBLANK(裝備!A8),"",裝備!A8)</f>
        <v/>
      </c>
      <c r="B8" t="str">
        <f>IF(ISBLANK(裝備!B8),"",裝備!B8)</f>
        <v/>
      </c>
      <c r="C8" t="str">
        <f>IF(ISBLANK(裝備!C8),"",ToEquipMode(裝備!C8))</f>
        <v/>
      </c>
      <c r="D8" t="str">
        <f>IF(ISBLANK(表格2[[#This Row],[Damage]]),"",表格2[[#This Row],[Damage]])</f>
        <v/>
      </c>
      <c r="E8" t="str">
        <f>IF(ISBLANK(表格2[[#This Row],[FireRate]]),"",表格2[[#This Row],[FireRate]])</f>
        <v/>
      </c>
      <c r="F8" t="str">
        <f>IF(ISBLANK(裝備!F8),"",ToEquipRange(裝備!F8))</f>
        <v/>
      </c>
      <c r="G8" t="str">
        <f>IF(ISBLANK(裝備!G8),"",ToEquipResource(裝備!G8))</f>
        <v/>
      </c>
    </row>
    <row r="9" spans="1:7" x14ac:dyDescent="0.25">
      <c r="A9" t="str">
        <f>IF(ISBLANK(裝備!A9),"",裝備!A9)</f>
        <v/>
      </c>
      <c r="B9" t="str">
        <f>IF(ISBLANK(裝備!B9),"",裝備!B9)</f>
        <v/>
      </c>
      <c r="C9" t="str">
        <f>IF(ISBLANK(裝備!C9),"",ToEquipMode(裝備!C9))</f>
        <v/>
      </c>
      <c r="D9" t="str">
        <f>IF(ISBLANK(表格2[[#This Row],[Damage]]),"",表格2[[#This Row],[Damage]])</f>
        <v/>
      </c>
      <c r="E9" t="str">
        <f>IF(ISBLANK(表格2[[#This Row],[FireRate]]),"",表格2[[#This Row],[FireRate]])</f>
        <v/>
      </c>
      <c r="F9" t="str">
        <f>IF(ISBLANK(裝備!F9),"",ToEquipRange(裝備!F9))</f>
        <v/>
      </c>
      <c r="G9" t="str">
        <f>IF(ISBLANK(裝備!G9),"",ToEquipResource(裝備!G9))</f>
        <v/>
      </c>
    </row>
    <row r="10" spans="1:7" x14ac:dyDescent="0.25">
      <c r="A10" t="str">
        <f>IF(ISBLANK(裝備!A10),"",裝備!A10)</f>
        <v/>
      </c>
      <c r="B10" t="str">
        <f>IF(ISBLANK(裝備!B10),"",裝備!B10)</f>
        <v/>
      </c>
      <c r="C10" t="str">
        <f>IF(ISBLANK(裝備!C10),"",ToEquipMode(裝備!C10))</f>
        <v/>
      </c>
      <c r="D10" t="str">
        <f>IF(ISBLANK(表格2[[#This Row],[Damage]]),"",表格2[[#This Row],[Damage]])</f>
        <v/>
      </c>
      <c r="E10" t="str">
        <f>IF(ISBLANK(表格2[[#This Row],[FireRate]]),"",表格2[[#This Row],[FireRate]])</f>
        <v/>
      </c>
      <c r="F10" t="str">
        <f>IF(ISBLANK(裝備!F10),"",ToEquipRange(裝備!F10))</f>
        <v/>
      </c>
      <c r="G10" t="str">
        <f>IF(ISBLANK(裝備!G10),"",ToEquipResource(裝備!G10))</f>
        <v/>
      </c>
    </row>
    <row r="11" spans="1:7" x14ac:dyDescent="0.25">
      <c r="A11" t="str">
        <f>IF(ISBLANK(裝備!A11),"",裝備!A11)</f>
        <v/>
      </c>
      <c r="B11" t="str">
        <f>IF(ISBLANK(裝備!B11),"",裝備!B11)</f>
        <v/>
      </c>
      <c r="C11" t="str">
        <f>IF(ISBLANK(裝備!C11),"",ToEquipMode(裝備!C11))</f>
        <v/>
      </c>
      <c r="D11" t="str">
        <f>IF(ISBLANK(表格2[[#This Row],[Damage]]),"",表格2[[#This Row],[Damage]])</f>
        <v/>
      </c>
      <c r="E11" t="str">
        <f>IF(ISBLANK(表格2[[#This Row],[FireRate]]),"",表格2[[#This Row],[FireRate]])</f>
        <v/>
      </c>
      <c r="F11" t="str">
        <f>IF(ISBLANK(裝備!F11),"",ToEquipRange(裝備!F11))</f>
        <v/>
      </c>
      <c r="G11" t="str">
        <f>IF(ISBLANK(裝備!G11),"",ToEquipResource(裝備!G11))</f>
        <v/>
      </c>
    </row>
    <row r="12" spans="1:7" x14ac:dyDescent="0.25">
      <c r="A12" t="str">
        <f>IF(ISBLANK(裝備!A12),"",裝備!A12)</f>
        <v/>
      </c>
      <c r="B12" t="str">
        <f>IF(ISBLANK(裝備!B12),"",裝備!B12)</f>
        <v/>
      </c>
      <c r="C12" t="str">
        <f>IF(ISBLANK(裝備!C12),"",ToEquipMode(裝備!C12))</f>
        <v/>
      </c>
      <c r="D12" t="str">
        <f>IF(ISBLANK(表格2[[#This Row],[Damage]]),"",表格2[[#This Row],[Damage]])</f>
        <v/>
      </c>
      <c r="E12" t="str">
        <f>IF(ISBLANK(表格2[[#This Row],[FireRate]]),"",表格2[[#This Row],[FireRate]])</f>
        <v/>
      </c>
      <c r="F12" t="str">
        <f>IF(ISBLANK(裝備!F12),"",ToEquipRange(裝備!F12))</f>
        <v/>
      </c>
      <c r="G12" t="str">
        <f>IF(ISBLANK(裝備!G12),"",ToEquipResource(裝備!G12))</f>
        <v/>
      </c>
    </row>
    <row r="13" spans="1:7" x14ac:dyDescent="0.25">
      <c r="A13" t="str">
        <f>IF(ISBLANK(裝備!A13),"",裝備!A13)</f>
        <v/>
      </c>
      <c r="B13" t="str">
        <f>IF(ISBLANK(裝備!B13),"",裝備!B13)</f>
        <v/>
      </c>
      <c r="C13" t="str">
        <f>IF(ISBLANK(裝備!C13),"",ToEquipMode(裝備!C13))</f>
        <v/>
      </c>
      <c r="D13" t="str">
        <f>IF(ISBLANK(表格2[[#This Row],[Damage]]),"",表格2[[#This Row],[Damage]])</f>
        <v/>
      </c>
      <c r="E13" t="str">
        <f>IF(ISBLANK(表格2[[#This Row],[FireRate]]),"",表格2[[#This Row],[FireRate]])</f>
        <v/>
      </c>
      <c r="F13" t="str">
        <f>IF(ISBLANK(裝備!F13),"",ToEquipRange(裝備!F13))</f>
        <v/>
      </c>
      <c r="G13" t="str">
        <f>IF(ISBLANK(裝備!G13),"",ToEquipResource(裝備!G13))</f>
        <v/>
      </c>
    </row>
    <row r="14" spans="1:7" x14ac:dyDescent="0.25">
      <c r="A14" t="str">
        <f>IF(ISBLANK(裝備!A14),"",裝備!A14)</f>
        <v/>
      </c>
      <c r="B14" t="str">
        <f>IF(ISBLANK(裝備!B14),"",裝備!B14)</f>
        <v/>
      </c>
      <c r="C14" t="str">
        <f>IF(ISBLANK(裝備!C14),"",ToEquipMode(裝備!C14))</f>
        <v/>
      </c>
      <c r="D14" t="str">
        <f>IF(ISBLANK(表格2[[#This Row],[Damage]]),"",表格2[[#This Row],[Damage]])</f>
        <v/>
      </c>
      <c r="E14" t="str">
        <f>IF(ISBLANK(表格2[[#This Row],[FireRate]]),"",表格2[[#This Row],[FireRate]])</f>
        <v/>
      </c>
      <c r="F14" t="str">
        <f>IF(ISBLANK(裝備!F14),"",ToEquipRange(裝備!F14))</f>
        <v/>
      </c>
      <c r="G14" t="str">
        <f>IF(ISBLANK(裝備!G14),"",ToEquipResource(裝備!G14))</f>
        <v/>
      </c>
    </row>
    <row r="15" spans="1:7" x14ac:dyDescent="0.25">
      <c r="A15" t="str">
        <f>IF(ISBLANK(裝備!A15),"",裝備!A15)</f>
        <v/>
      </c>
      <c r="B15" t="str">
        <f>IF(ISBLANK(裝備!B15),"",裝備!B15)</f>
        <v/>
      </c>
      <c r="C15" t="str">
        <f>IF(ISBLANK(裝備!C15),"",ToEquipMode(裝備!C15))</f>
        <v/>
      </c>
      <c r="D15" t="str">
        <f>IF(ISBLANK(表格2[[#This Row],[Damage]]),"",表格2[[#This Row],[Damage]])</f>
        <v/>
      </c>
      <c r="E15" t="str">
        <f>IF(ISBLANK(表格2[[#This Row],[FireRate]]),"",表格2[[#This Row],[FireRate]])</f>
        <v/>
      </c>
      <c r="F15" t="str">
        <f>IF(ISBLANK(裝備!F15),"",ToEquipRange(裝備!F15))</f>
        <v/>
      </c>
      <c r="G15" t="str">
        <f>IF(ISBLANK(裝備!G15),"",ToEquipResource(裝備!G15))</f>
        <v/>
      </c>
    </row>
    <row r="16" spans="1:7" x14ac:dyDescent="0.25">
      <c r="A16" t="str">
        <f>IF(ISBLANK(裝備!A16),"",裝備!A16)</f>
        <v/>
      </c>
      <c r="B16" t="str">
        <f>IF(ISBLANK(裝備!B16),"",裝備!B16)</f>
        <v/>
      </c>
      <c r="C16" t="str">
        <f>IF(ISBLANK(裝備!C16),"",ToEquipMode(裝備!C16))</f>
        <v/>
      </c>
      <c r="D16" t="str">
        <f>IF(ISBLANK(表格2[[#This Row],[Damage]]),"",表格2[[#This Row],[Damage]])</f>
        <v/>
      </c>
      <c r="E16" t="str">
        <f>IF(ISBLANK(表格2[[#This Row],[FireRate]]),"",表格2[[#This Row],[FireRate]])</f>
        <v/>
      </c>
      <c r="F16" t="str">
        <f>IF(ISBLANK(裝備!F16),"",ToEquipRange(裝備!F16))</f>
        <v/>
      </c>
      <c r="G16" t="str">
        <f>IF(ISBLANK(裝備!G16),"",ToEquipResource(裝備!G16))</f>
        <v/>
      </c>
    </row>
    <row r="17" spans="1:7" x14ac:dyDescent="0.25">
      <c r="A17" t="str">
        <f>IF(ISBLANK(裝備!A17),"",裝備!A17)</f>
        <v/>
      </c>
      <c r="B17" t="str">
        <f>IF(ISBLANK(裝備!B17),"",裝備!B17)</f>
        <v/>
      </c>
      <c r="C17" t="str">
        <f>IF(ISBLANK(裝備!C17),"",ToEquipMode(裝備!C17))</f>
        <v/>
      </c>
      <c r="D17" t="str">
        <f>IF(ISBLANK(表格2[[#This Row],[Damage]]),"",表格2[[#This Row],[Damage]])</f>
        <v/>
      </c>
      <c r="E17" t="str">
        <f>IF(ISBLANK(表格2[[#This Row],[FireRate]]),"",表格2[[#This Row],[FireRate]])</f>
        <v/>
      </c>
      <c r="F17" t="str">
        <f>IF(ISBLANK(裝備!F17),"",ToEquipRange(裝備!F17))</f>
        <v/>
      </c>
      <c r="G17" t="str">
        <f>IF(ISBLANK(裝備!G17),"",ToEquipResource(裝備!G17))</f>
        <v/>
      </c>
    </row>
    <row r="18" spans="1:7" x14ac:dyDescent="0.25">
      <c r="A18" t="str">
        <f>IF(ISBLANK(裝備!A18),"",裝備!A18)</f>
        <v/>
      </c>
      <c r="B18" t="str">
        <f>IF(ISBLANK(裝備!B18),"",裝備!B18)</f>
        <v/>
      </c>
      <c r="C18" t="str">
        <f>IF(ISBLANK(裝備!C18),"",ToEquipMode(裝備!C18))</f>
        <v/>
      </c>
      <c r="D18" t="str">
        <f>IF(ISBLANK(表格2[[#This Row],[Damage]]),"",表格2[[#This Row],[Damage]])</f>
        <v/>
      </c>
      <c r="E18" t="str">
        <f>IF(ISBLANK(表格2[[#This Row],[FireRate]]),"",表格2[[#This Row],[FireRate]])</f>
        <v/>
      </c>
      <c r="F18" t="str">
        <f>IF(ISBLANK(裝備!F18),"",ToEquipRange(裝備!F18))</f>
        <v/>
      </c>
      <c r="G18" t="str">
        <f>IF(ISBLANK(裝備!G18),"",ToEquipResource(裝備!G18))</f>
        <v/>
      </c>
    </row>
    <row r="19" spans="1:7" x14ac:dyDescent="0.25">
      <c r="A19" t="str">
        <f>IF(ISBLANK(裝備!A19),"",裝備!A19)</f>
        <v/>
      </c>
      <c r="B19" t="str">
        <f>IF(ISBLANK(裝備!B19),"",裝備!B19)</f>
        <v/>
      </c>
      <c r="C19" t="str">
        <f>IF(ISBLANK(裝備!C19),"",ToEquipMode(裝備!C19))</f>
        <v/>
      </c>
      <c r="D19" t="str">
        <f>IF(ISBLANK(表格2[[#This Row],[Damage]]),"",表格2[[#This Row],[Damage]])</f>
        <v/>
      </c>
      <c r="E19" t="str">
        <f>IF(ISBLANK(表格2[[#This Row],[FireRate]]),"",表格2[[#This Row],[FireRate]])</f>
        <v/>
      </c>
      <c r="F19" t="str">
        <f>IF(ISBLANK(裝備!F19),"",ToEquipRange(裝備!F19))</f>
        <v/>
      </c>
      <c r="G19" t="str">
        <f>IF(ISBLANK(裝備!G19),"",ToEquipResource(裝備!G19))</f>
        <v/>
      </c>
    </row>
    <row r="20" spans="1:7" x14ac:dyDescent="0.25">
      <c r="A20" t="str">
        <f>IF(ISBLANK(裝備!A20),"",裝備!A20)</f>
        <v/>
      </c>
      <c r="B20" t="str">
        <f>IF(ISBLANK(裝備!B20),"",裝備!B20)</f>
        <v/>
      </c>
      <c r="C20" t="str">
        <f>IF(ISBLANK(裝備!C20),"",ToEquipMode(裝備!C20))</f>
        <v/>
      </c>
      <c r="D20" t="str">
        <f>IF(ISBLANK(表格2[[#This Row],[Damage]]),"",表格2[[#This Row],[Damage]])</f>
        <v/>
      </c>
      <c r="E20" t="str">
        <f>IF(ISBLANK(表格2[[#This Row],[FireRate]]),"",表格2[[#This Row],[FireRate]])</f>
        <v/>
      </c>
      <c r="F20" t="str">
        <f>IF(ISBLANK(裝備!F20),"",ToEquipRange(裝備!F20))</f>
        <v/>
      </c>
      <c r="G20" t="str">
        <f>IF(ISBLANK(裝備!G20),"",ToEquipResource(裝備!G20))</f>
        <v/>
      </c>
    </row>
    <row r="21" spans="1:7" x14ac:dyDescent="0.25">
      <c r="A21" t="str">
        <f>IF(ISBLANK(裝備!A21),"",裝備!A21)</f>
        <v/>
      </c>
      <c r="B21" t="str">
        <f>IF(ISBLANK(裝備!B21),"",裝備!B21)</f>
        <v/>
      </c>
      <c r="C21" t="str">
        <f>IF(ISBLANK(裝備!C21),"",ToEquipMode(裝備!C21))</f>
        <v/>
      </c>
      <c r="D21" t="str">
        <f>IF(ISBLANK(表格2[[#This Row],[Damage]]),"",表格2[[#This Row],[Damage]])</f>
        <v/>
      </c>
      <c r="E21" t="str">
        <f>IF(ISBLANK(表格2[[#This Row],[FireRate]]),"",表格2[[#This Row],[FireRate]])</f>
        <v/>
      </c>
      <c r="F21" t="str">
        <f>IF(ISBLANK(裝備!F21),"",ToEquipRange(裝備!F21))</f>
        <v/>
      </c>
      <c r="G21" t="str">
        <f>IF(ISBLANK(裝備!G21),"",ToEquipResource(裝備!G21))</f>
        <v/>
      </c>
    </row>
    <row r="22" spans="1:7" x14ac:dyDescent="0.25">
      <c r="A22" t="str">
        <f>IF(ISBLANK(裝備!A22),"",裝備!A22)</f>
        <v/>
      </c>
      <c r="B22" t="str">
        <f>IF(ISBLANK(裝備!B22),"",裝備!B22)</f>
        <v/>
      </c>
      <c r="C22" t="str">
        <f>IF(ISBLANK(裝備!C22),"",ToEquipMode(裝備!C22))</f>
        <v/>
      </c>
      <c r="D22" t="str">
        <f>IF(ISBLANK(表格2[[#This Row],[Damage]]),"",表格2[[#This Row],[Damage]])</f>
        <v/>
      </c>
      <c r="E22" t="str">
        <f>IF(ISBLANK(表格2[[#This Row],[FireRate]]),"",表格2[[#This Row],[FireRate]])</f>
        <v/>
      </c>
      <c r="F22" t="str">
        <f>IF(ISBLANK(裝備!F22),"",ToEquipRange(裝備!F22))</f>
        <v/>
      </c>
      <c r="G22" t="str">
        <f>IF(ISBLANK(裝備!G22),"",ToEquipResource(裝備!G22))</f>
        <v/>
      </c>
    </row>
    <row r="23" spans="1:7" x14ac:dyDescent="0.25">
      <c r="A23" t="str">
        <f>IF(ISBLANK(裝備!A23),"",裝備!A23)</f>
        <v/>
      </c>
      <c r="B23" t="str">
        <f>IF(ISBLANK(裝備!B23),"",裝備!B23)</f>
        <v/>
      </c>
      <c r="C23" t="str">
        <f>IF(ISBLANK(裝備!C23),"",ToEquipMode(裝備!C23))</f>
        <v/>
      </c>
      <c r="D23" t="str">
        <f>IF(ISBLANK(表格2[[#This Row],[Damage]]),"",表格2[[#This Row],[Damage]])</f>
        <v/>
      </c>
      <c r="E23" t="str">
        <f>IF(ISBLANK(表格2[[#This Row],[FireRate]]),"",表格2[[#This Row],[FireRate]])</f>
        <v/>
      </c>
      <c r="F23" t="str">
        <f>IF(ISBLANK(裝備!F23),"",ToEquipRange(裝備!F23))</f>
        <v/>
      </c>
      <c r="G23" t="str">
        <f>IF(ISBLANK(裝備!G23),"",ToEquipResource(裝備!G23))</f>
        <v/>
      </c>
    </row>
    <row r="24" spans="1:7" x14ac:dyDescent="0.25">
      <c r="A24" t="str">
        <f>IF(ISBLANK(裝備!A24),"",裝備!A24)</f>
        <v/>
      </c>
      <c r="B24" t="str">
        <f>IF(ISBLANK(裝備!B24),"",裝備!B24)</f>
        <v/>
      </c>
      <c r="C24" t="str">
        <f>IF(ISBLANK(裝備!C24),"",ToEquipMode(裝備!C24))</f>
        <v/>
      </c>
      <c r="D24" t="str">
        <f>IF(ISBLANK(表格2[[#This Row],[Damage]]),"",表格2[[#This Row],[Damage]])</f>
        <v/>
      </c>
      <c r="E24" t="str">
        <f>IF(ISBLANK(表格2[[#This Row],[FireRate]]),"",表格2[[#This Row],[FireRate]])</f>
        <v/>
      </c>
      <c r="F24" t="str">
        <f>IF(ISBLANK(裝備!F24),"",ToEquipRange(裝備!F24))</f>
        <v/>
      </c>
      <c r="G24" t="str">
        <f>IF(ISBLANK(裝備!G24),"",ToEquipResource(裝備!G24))</f>
        <v/>
      </c>
    </row>
    <row r="25" spans="1:7" x14ac:dyDescent="0.25">
      <c r="A25" t="str">
        <f>IF(ISBLANK(裝備!A25),"",裝備!A25)</f>
        <v/>
      </c>
      <c r="B25" t="str">
        <f>IF(ISBLANK(裝備!B25),"",裝備!B25)</f>
        <v/>
      </c>
      <c r="C25" t="str">
        <f>IF(ISBLANK(裝備!C25),"",ToEquipMode(裝備!C25))</f>
        <v/>
      </c>
      <c r="D25" t="str">
        <f>IF(ISBLANK(表格2[[#This Row],[Damage]]),"",表格2[[#This Row],[Damage]])</f>
        <v/>
      </c>
      <c r="E25" t="str">
        <f>IF(ISBLANK(表格2[[#This Row],[FireRate]]),"",表格2[[#This Row],[FireRate]])</f>
        <v/>
      </c>
      <c r="F25" t="str">
        <f>IF(ISBLANK(裝備!F25),"",ToEquipRange(裝備!F25))</f>
        <v/>
      </c>
      <c r="G25" t="str">
        <f>IF(ISBLANK(裝備!G25),"",ToEquipResource(裝備!G25))</f>
        <v/>
      </c>
    </row>
    <row r="26" spans="1:7" x14ac:dyDescent="0.25">
      <c r="A26" t="str">
        <f>IF(ISBLANK(裝備!A26),"",裝備!A26)</f>
        <v/>
      </c>
      <c r="B26" t="str">
        <f>IF(ISBLANK(裝備!B26),"",裝備!B26)</f>
        <v/>
      </c>
      <c r="C26" t="str">
        <f>IF(ISBLANK(裝備!C26),"",ToEquipMode(裝備!C26))</f>
        <v/>
      </c>
      <c r="D26" t="str">
        <f>IF(ISBLANK(表格2[[#This Row],[Damage]]),"",表格2[[#This Row],[Damage]])</f>
        <v/>
      </c>
      <c r="E26" t="str">
        <f>IF(ISBLANK(表格2[[#This Row],[FireRate]]),"",表格2[[#This Row],[FireRate]])</f>
        <v/>
      </c>
      <c r="F26" t="str">
        <f>IF(ISBLANK(裝備!F26),"",ToEquipRange(裝備!F26))</f>
        <v/>
      </c>
      <c r="G26" t="str">
        <f>IF(ISBLANK(裝備!G26),"",ToEquipResource(裝備!G26))</f>
        <v/>
      </c>
    </row>
    <row r="27" spans="1:7" x14ac:dyDescent="0.25">
      <c r="A27" t="str">
        <f>IF(ISBLANK(裝備!A27),"",裝備!A27)</f>
        <v/>
      </c>
      <c r="B27" t="str">
        <f>IF(ISBLANK(裝備!B27),"",裝備!B27)</f>
        <v/>
      </c>
      <c r="C27" t="str">
        <f>IF(ISBLANK(裝備!C27),"",ToEquipMode(裝備!C27))</f>
        <v/>
      </c>
      <c r="D27" t="str">
        <f>IF(ISBLANK(表格2[[#This Row],[Damage]]),"",表格2[[#This Row],[Damage]])</f>
        <v/>
      </c>
      <c r="E27" t="str">
        <f>IF(ISBLANK(表格2[[#This Row],[FireRate]]),"",表格2[[#This Row],[FireRate]])</f>
        <v/>
      </c>
      <c r="F27" t="str">
        <f>IF(ISBLANK(裝備!F27),"",ToEquipRange(裝備!F27))</f>
        <v/>
      </c>
      <c r="G27" t="str">
        <f>IF(ISBLANK(裝備!G27),"",ToEquipResource(裝備!G27))</f>
        <v/>
      </c>
    </row>
    <row r="28" spans="1:7" x14ac:dyDescent="0.25">
      <c r="A28" t="str">
        <f>IF(ISBLANK(裝備!A28),"",裝備!A28)</f>
        <v/>
      </c>
      <c r="B28" t="str">
        <f>IF(ISBLANK(裝備!B28),"",裝備!B28)</f>
        <v/>
      </c>
      <c r="C28" t="str">
        <f>IF(ISBLANK(裝備!C28),"",ToEquipMode(裝備!C28))</f>
        <v/>
      </c>
      <c r="D28" t="str">
        <f>IF(ISBLANK(表格2[[#This Row],[Damage]]),"",表格2[[#This Row],[Damage]])</f>
        <v/>
      </c>
      <c r="E28" t="str">
        <f>IF(ISBLANK(表格2[[#This Row],[FireRate]]),"",表格2[[#This Row],[FireRate]])</f>
        <v/>
      </c>
      <c r="F28" t="str">
        <f>IF(ISBLANK(裝備!F28),"",ToEquipRange(裝備!F28))</f>
        <v/>
      </c>
      <c r="G28" t="str">
        <f>IF(ISBLANK(裝備!G28),"",ToEquipResource(裝備!G28))</f>
        <v/>
      </c>
    </row>
    <row r="29" spans="1:7" x14ac:dyDescent="0.25">
      <c r="A29" t="str">
        <f>IF(ISBLANK(裝備!A29),"",裝備!A29)</f>
        <v/>
      </c>
      <c r="B29" t="str">
        <f>IF(ISBLANK(裝備!B29),"",裝備!B29)</f>
        <v/>
      </c>
      <c r="C29" t="str">
        <f>IF(ISBLANK(裝備!C29),"",ToEquipMode(裝備!C29))</f>
        <v/>
      </c>
      <c r="D29" t="str">
        <f>IF(ISBLANK(表格2[[#This Row],[Damage]]),"",表格2[[#This Row],[Damage]])</f>
        <v/>
      </c>
      <c r="E29" t="str">
        <f>IF(ISBLANK(表格2[[#This Row],[FireRate]]),"",表格2[[#This Row],[FireRate]])</f>
        <v/>
      </c>
      <c r="F29" t="str">
        <f>IF(ISBLANK(裝備!F29),"",ToEquipRange(裝備!F29))</f>
        <v/>
      </c>
      <c r="G29" t="str">
        <f>IF(ISBLANK(裝備!G29),"",ToEquipResource(裝備!G29))</f>
        <v/>
      </c>
    </row>
    <row r="30" spans="1:7" x14ac:dyDescent="0.25">
      <c r="A30" t="str">
        <f>IF(ISBLANK(裝備!A30),"",裝備!A30)</f>
        <v/>
      </c>
      <c r="B30" t="str">
        <f>IF(ISBLANK(裝備!B30),"",裝備!B30)</f>
        <v/>
      </c>
      <c r="C30" t="str">
        <f>IF(ISBLANK(裝備!C30),"",ToEquipMode(裝備!C30))</f>
        <v/>
      </c>
      <c r="D30" t="str">
        <f>IF(ISBLANK(表格2[[#This Row],[Damage]]),"",表格2[[#This Row],[Damage]])</f>
        <v/>
      </c>
      <c r="E30" t="str">
        <f>IF(ISBLANK(表格2[[#This Row],[FireRate]]),"",表格2[[#This Row],[FireRate]])</f>
        <v/>
      </c>
      <c r="F30" t="str">
        <f>IF(ISBLANK(裝備!F30),"",ToEquipRange(裝備!F30))</f>
        <v/>
      </c>
      <c r="G30" t="str">
        <f>IF(ISBLANK(裝備!G30),"",ToEquipResource(裝備!G30))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C2" sqref="C2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>
        <f>IF(ISBLANK(特性!A2),"",特性!A2)</f>
        <v>1</v>
      </c>
      <c r="B2">
        <f>IF(ISBLANK(特性!B2),"",特性!B2)</f>
        <v>2001</v>
      </c>
      <c r="C2">
        <f>IF(ISBLANK(特性!C2),"",ToFeatureMode(特性!C2))</f>
        <v>1</v>
      </c>
      <c r="D2">
        <f>IF(ISBLANK(特性!D2),"",特性!D2)</f>
        <v>0</v>
      </c>
      <c r="E2">
        <f>IF(ISBLANK(特性!E2),"",特性!E2)</f>
        <v>30</v>
      </c>
      <c r="F2">
        <f>IF(ISBLANK(特性!F2),"",特性!F2)</f>
        <v>5</v>
      </c>
      <c r="G2">
        <f>IF(ISBLANK(特性!G2),"",ToFeatureEffect(特性!G2))</f>
        <v>2</v>
      </c>
      <c r="H2">
        <f>IF(ISBLANK(特性!H2),"",特性!H2)</f>
        <v>1</v>
      </c>
    </row>
    <row r="3" spans="1:8" x14ac:dyDescent="0.25">
      <c r="A3">
        <f>IF(ISBLANK(特性!A3),"",特性!A3)</f>
        <v>2</v>
      </c>
      <c r="B3">
        <f>IF(ISBLANK(特性!B3),"",特性!B3)</f>
        <v>2002</v>
      </c>
      <c r="C3">
        <f>IF(ISBLANK(特性!C3),"",ToFeatureMode(特性!C3))</f>
        <v>1</v>
      </c>
      <c r="D3">
        <f>IF(ISBLANK(特性!D3),"",特性!D3)</f>
        <v>0</v>
      </c>
      <c r="E3">
        <f>IF(ISBLANK(特性!E3),"",特性!E3)</f>
        <v>10</v>
      </c>
      <c r="F3">
        <f>IF(ISBLANK(特性!F3),"",特性!F3)</f>
        <v>20</v>
      </c>
      <c r="G3">
        <f>IF(ISBLANK(特性!G3),"",ToFeatureEffect(特性!G3))</f>
        <v>2</v>
      </c>
      <c r="H3">
        <f>IF(ISBLANK(特性!H3),"",特性!H3)</f>
        <v>-10</v>
      </c>
    </row>
    <row r="4" spans="1:8" x14ac:dyDescent="0.25">
      <c r="A4">
        <f>IF(ISBLANK(特性!A4),"",特性!A4)</f>
        <v>3</v>
      </c>
      <c r="B4">
        <f>IF(ISBLANK(特性!B4),"",特性!B4)</f>
        <v>2003</v>
      </c>
      <c r="C4">
        <f>IF(ISBLANK(特性!C4),"",ToFeatureMode(特性!C4))</f>
        <v>1</v>
      </c>
      <c r="D4">
        <f>IF(ISBLANK(特性!D4),"",特性!D4)</f>
        <v>0</v>
      </c>
      <c r="E4">
        <f>IF(ISBLANK(特性!E4),"",特性!E4)</f>
        <v>5</v>
      </c>
      <c r="F4">
        <f>IF(ISBLANK(特性!F4),"",特性!F4)</f>
        <v>30</v>
      </c>
      <c r="G4">
        <f>IF(ISBLANK(特性!G4),"",ToFeatureEffect(特性!G4))</f>
        <v>4</v>
      </c>
      <c r="H4">
        <f>IF(ISBLANK(特性!H4),"",特性!H4)</f>
        <v>5</v>
      </c>
    </row>
    <row r="5" spans="1:8" x14ac:dyDescent="0.25">
      <c r="A5">
        <f>IF(ISBLANK(特性!A5),"",特性!A5)</f>
        <v>4</v>
      </c>
      <c r="B5">
        <f>IF(ISBLANK(特性!B5),"",特性!B5)</f>
        <v>2004</v>
      </c>
      <c r="C5">
        <f>IF(ISBLANK(特性!C5),"",ToFeatureMode(特性!C5))</f>
        <v>2</v>
      </c>
      <c r="D5">
        <f>IF(ISBLANK(特性!D5),"",特性!D5)</f>
        <v>1</v>
      </c>
      <c r="E5">
        <f>IF(ISBLANK(特性!E5),"",特性!E5)</f>
        <v>0</v>
      </c>
      <c r="F5">
        <f>IF(ISBLANK(特性!F5),"",特性!F5)</f>
        <v>0</v>
      </c>
      <c r="G5">
        <f>IF(ISBLANK(特性!G5),"",ToFeatureEffect(特性!G5))</f>
        <v>9</v>
      </c>
      <c r="H5">
        <f>IF(ISBLANK(特性!H5),"",特性!H5)</f>
        <v>-1</v>
      </c>
    </row>
    <row r="6" spans="1:8" x14ac:dyDescent="0.25">
      <c r="A6">
        <f>IF(ISBLANK(特性!A6),"",特性!A6)</f>
        <v>5</v>
      </c>
      <c r="B6">
        <f>IF(ISBLANK(特性!B6),"",特性!B6)</f>
        <v>2005</v>
      </c>
      <c r="C6">
        <f>IF(ISBLANK(特性!C6),"",ToFeatureMode(特性!C6))</f>
        <v>2</v>
      </c>
      <c r="D6">
        <f>IF(ISBLANK(特性!D6),"",特性!D6)</f>
        <v>1</v>
      </c>
      <c r="E6">
        <f>IF(ISBLANK(特性!E6),"",特性!E6)</f>
        <v>0</v>
      </c>
      <c r="F6">
        <f>IF(ISBLANK(特性!F6),"",特性!F6)</f>
        <v>0</v>
      </c>
      <c r="G6">
        <f>IF(ISBLANK(特性!G6),"",ToFeatureEffect(特性!G6))</f>
        <v>9</v>
      </c>
      <c r="H6">
        <f>IF(ISBLANK(特性!H6),"",特性!H6)</f>
        <v>1</v>
      </c>
    </row>
    <row r="7" spans="1:8" x14ac:dyDescent="0.25">
      <c r="A7">
        <f>IF(ISBLANK(特性!A7),"",特性!A7)</f>
        <v>6</v>
      </c>
      <c r="B7">
        <f>IF(ISBLANK(特性!B7),"",特性!B7)</f>
        <v>2006</v>
      </c>
      <c r="C7">
        <f>IF(ISBLANK(特性!C7),"",ToFeatureMode(特性!C7))</f>
        <v>2</v>
      </c>
      <c r="D7">
        <f>IF(ISBLANK(特性!D7),"",特性!D7)</f>
        <v>1</v>
      </c>
      <c r="E7">
        <f>IF(ISBLANK(特性!E7),"",特性!E7)</f>
        <v>0</v>
      </c>
      <c r="F7">
        <f>IF(ISBLANK(特性!F7),"",特性!F7)</f>
        <v>0</v>
      </c>
      <c r="G7">
        <f>IF(ISBLANK(特性!G7),"",ToFeatureEffect(特性!G7))</f>
        <v>9</v>
      </c>
      <c r="H7">
        <f>IF(ISBLANK(特性!H7),"",特性!H7)</f>
        <v>2</v>
      </c>
    </row>
    <row r="8" spans="1:8" x14ac:dyDescent="0.25">
      <c r="A8" t="str">
        <f>IF(ISBLANK(特性!A8),"",特性!A8)</f>
        <v/>
      </c>
      <c r="B8" t="str">
        <f>IF(ISBLANK(特性!B8),"",特性!B8)</f>
        <v/>
      </c>
      <c r="C8" t="str">
        <f>IF(ISBLANK(特性!C8),"",ToFeatureMode(特性!C8))</f>
        <v/>
      </c>
      <c r="D8" t="str">
        <f>IF(ISBLANK(特性!D8),"",特性!D8)</f>
        <v/>
      </c>
      <c r="E8" t="str">
        <f>IF(ISBLANK(特性!E8),"",特性!E8)</f>
        <v/>
      </c>
      <c r="F8" t="str">
        <f>IF(ISBLANK(特性!F8),"",特性!F8)</f>
        <v/>
      </c>
      <c r="G8" t="str">
        <f>IF(ISBLANK(特性!G8),"",ToFeatureEffect(特性!G8))</f>
        <v/>
      </c>
      <c r="H8" t="str">
        <f>IF(ISBLANK(特性!H8),"",特性!H8)</f>
        <v/>
      </c>
    </row>
    <row r="9" spans="1:8" x14ac:dyDescent="0.25">
      <c r="A9" t="str">
        <f>IF(ISBLANK(特性!A9),"",特性!A9)</f>
        <v/>
      </c>
      <c r="B9" t="str">
        <f>IF(ISBLANK(特性!B9),"",特性!B9)</f>
        <v/>
      </c>
      <c r="C9" t="str">
        <f>IF(ISBLANK(特性!C9),"",ToFeatureMode(特性!C9))</f>
        <v/>
      </c>
      <c r="D9" t="str">
        <f>IF(ISBLANK(特性!D9),"",特性!D9)</f>
        <v/>
      </c>
      <c r="E9" t="str">
        <f>IF(ISBLANK(特性!E9),"",特性!E9)</f>
        <v/>
      </c>
      <c r="F9" t="str">
        <f>IF(ISBLANK(特性!F9),"",特性!F9)</f>
        <v/>
      </c>
      <c r="G9" t="str">
        <f>IF(ISBLANK(特性!G9),"",ToFeatureEffect(特性!G9))</f>
        <v/>
      </c>
      <c r="H9" t="str">
        <f>IF(ISBLANK(特性!H9),"",特性!H9)</f>
        <v/>
      </c>
    </row>
    <row r="10" spans="1:8" x14ac:dyDescent="0.25">
      <c r="A10" t="str">
        <f>IF(ISBLANK(特性!A10),"",特性!A10)</f>
        <v/>
      </c>
      <c r="B10" t="str">
        <f>IF(ISBLANK(特性!B10),"",特性!B10)</f>
        <v/>
      </c>
      <c r="C10" t="str">
        <f>IF(ISBLANK(特性!C10),"",ToFeatureMode(特性!C10))</f>
        <v/>
      </c>
      <c r="D10" t="str">
        <f>IF(ISBLANK(特性!D10),"",特性!D10)</f>
        <v/>
      </c>
      <c r="E10" t="str">
        <f>IF(ISBLANK(特性!E10),"",特性!E10)</f>
        <v/>
      </c>
      <c r="F10" t="str">
        <f>IF(ISBLANK(特性!F10),"",特性!F10)</f>
        <v/>
      </c>
      <c r="G10" t="str">
        <f>IF(ISBLANK(特性!G10),"",ToFeatureEffect(特性!G10))</f>
        <v/>
      </c>
      <c r="H10" t="str">
        <f>IF(ISBLANK(特性!H10),"",特性!H10)</f>
        <v/>
      </c>
    </row>
    <row r="11" spans="1:8" x14ac:dyDescent="0.25">
      <c r="A11" t="str">
        <f>IF(ISBLANK(特性!A11),"",特性!A11)</f>
        <v/>
      </c>
      <c r="B11" t="str">
        <f>IF(ISBLANK(特性!B11),"",特性!B11)</f>
        <v/>
      </c>
      <c r="C11" t="str">
        <f>IF(ISBLANK(特性!C11),"",ToFeatureMode(特性!C11))</f>
        <v/>
      </c>
      <c r="D11" t="str">
        <f>IF(ISBLANK(特性!D11),"",特性!D11)</f>
        <v/>
      </c>
      <c r="E11" t="str">
        <f>IF(ISBLANK(特性!E11),"",特性!E11)</f>
        <v/>
      </c>
      <c r="F11" t="str">
        <f>IF(ISBLANK(特性!F11),"",特性!F11)</f>
        <v/>
      </c>
      <c r="G11" t="str">
        <f>IF(ISBLANK(特性!G11),"",ToFeatureEffect(特性!G11))</f>
        <v/>
      </c>
      <c r="H11" t="str">
        <f>IF(ISBLANK(特性!H11),"",特性!H11)</f>
        <v/>
      </c>
    </row>
    <row r="12" spans="1:8" x14ac:dyDescent="0.25">
      <c r="A12" t="str">
        <f>IF(ISBLANK(特性!A12),"",特性!A12)</f>
        <v/>
      </c>
      <c r="B12" t="str">
        <f>IF(ISBLANK(特性!B12),"",特性!B12)</f>
        <v/>
      </c>
      <c r="C12" t="str">
        <f>IF(ISBLANK(特性!C12),"",ToFeatureMode(特性!C12))</f>
        <v/>
      </c>
      <c r="D12" t="str">
        <f>IF(ISBLANK(特性!D12),"",特性!D12)</f>
        <v/>
      </c>
      <c r="E12" t="str">
        <f>IF(ISBLANK(特性!E12),"",特性!E12)</f>
        <v/>
      </c>
      <c r="F12" t="str">
        <f>IF(ISBLANK(特性!F12),"",特性!F12)</f>
        <v/>
      </c>
      <c r="G12" t="str">
        <f>IF(ISBLANK(特性!G12),"",ToFeatureEffect(特性!G12))</f>
        <v/>
      </c>
      <c r="H12" t="str">
        <f>IF(ISBLANK(特性!H12),"",特性!H12)</f>
        <v/>
      </c>
    </row>
    <row r="13" spans="1:8" x14ac:dyDescent="0.25">
      <c r="A13" t="str">
        <f>IF(ISBLANK(特性!A13),"",特性!A13)</f>
        <v/>
      </c>
      <c r="B13" t="str">
        <f>IF(ISBLANK(特性!B13),"",特性!B13)</f>
        <v/>
      </c>
      <c r="C13" t="str">
        <f>IF(ISBLANK(特性!C13),"",ToFeatureMode(特性!C13))</f>
        <v/>
      </c>
      <c r="D13" t="str">
        <f>IF(ISBLANK(特性!D13),"",特性!D13)</f>
        <v/>
      </c>
      <c r="E13" t="str">
        <f>IF(ISBLANK(特性!E13),"",特性!E13)</f>
        <v/>
      </c>
      <c r="F13" t="str">
        <f>IF(ISBLANK(特性!F13),"",特性!F13)</f>
        <v/>
      </c>
      <c r="G13" t="str">
        <f>IF(ISBLANK(特性!G13),"",ToFeatureEffect(特性!G13))</f>
        <v/>
      </c>
      <c r="H13" t="str">
        <f>IF(ISBLANK(特性!H13),"",特性!H13)</f>
        <v/>
      </c>
    </row>
    <row r="14" spans="1:8" x14ac:dyDescent="0.25">
      <c r="A14" t="str">
        <f>IF(ISBLANK(特性!A14),"",特性!A14)</f>
        <v/>
      </c>
      <c r="B14" t="str">
        <f>IF(ISBLANK(特性!B14),"",特性!B14)</f>
        <v/>
      </c>
      <c r="C14" t="str">
        <f>IF(ISBLANK(特性!C14),"",ToFeatureMode(特性!C14))</f>
        <v/>
      </c>
      <c r="D14" t="str">
        <f>IF(ISBLANK(特性!D14),"",特性!D14)</f>
        <v/>
      </c>
      <c r="E14" t="str">
        <f>IF(ISBLANK(特性!E14),"",特性!E14)</f>
        <v/>
      </c>
      <c r="F14" t="str">
        <f>IF(ISBLANK(特性!F14),"",特性!F14)</f>
        <v/>
      </c>
      <c r="G14" t="str">
        <f>IF(ISBLANK(特性!G14),"",ToFeatureEffect(特性!G14))</f>
        <v/>
      </c>
      <c r="H14" t="str">
        <f>IF(ISBLANK(特性!H14),"",特性!H14)</f>
        <v/>
      </c>
    </row>
    <row r="15" spans="1:8" x14ac:dyDescent="0.25">
      <c r="A15" t="str">
        <f>IF(ISBLANK(特性!A15),"",特性!A15)</f>
        <v/>
      </c>
      <c r="B15" t="str">
        <f>IF(ISBLANK(特性!B15),"",特性!B15)</f>
        <v/>
      </c>
      <c r="C15" t="str">
        <f>IF(ISBLANK(特性!C15),"",ToFeatureMode(特性!C15))</f>
        <v/>
      </c>
      <c r="D15" t="str">
        <f>IF(ISBLANK(特性!D15),"",特性!D15)</f>
        <v/>
      </c>
      <c r="E15" t="str">
        <f>IF(ISBLANK(特性!E15),"",特性!E15)</f>
        <v/>
      </c>
      <c r="F15" t="str">
        <f>IF(ISBLANK(特性!F15),"",特性!F15)</f>
        <v/>
      </c>
      <c r="G15" t="str">
        <f>IF(ISBLANK(特性!G15),"",ToFeatureEffect(特性!G15))</f>
        <v/>
      </c>
      <c r="H15" t="str">
        <f>IF(ISBLANK(特性!H15),"",特性!H15)</f>
        <v/>
      </c>
    </row>
    <row r="16" spans="1:8" x14ac:dyDescent="0.25">
      <c r="A16" t="str">
        <f>IF(ISBLANK(特性!A16),"",特性!A16)</f>
        <v/>
      </c>
      <c r="B16" t="str">
        <f>IF(ISBLANK(特性!B16),"",特性!B16)</f>
        <v/>
      </c>
      <c r="C16" t="str">
        <f>IF(ISBLANK(特性!C16),"",ToFeatureMode(特性!C16))</f>
        <v/>
      </c>
      <c r="D16" t="str">
        <f>IF(ISBLANK(特性!D16),"",特性!D16)</f>
        <v/>
      </c>
      <c r="E16" t="str">
        <f>IF(ISBLANK(特性!E16),"",特性!E16)</f>
        <v/>
      </c>
      <c r="F16" t="str">
        <f>IF(ISBLANK(特性!F16),"",特性!F16)</f>
        <v/>
      </c>
      <c r="G16" t="str">
        <f>IF(ISBLANK(特性!G16),"",ToFeatureEffect(特性!G16))</f>
        <v/>
      </c>
      <c r="H16" t="str">
        <f>IF(ISBLANK(特性!H16),"",特性!H16)</f>
        <v/>
      </c>
    </row>
    <row r="17" spans="1:8" x14ac:dyDescent="0.25">
      <c r="A17" t="str">
        <f>IF(ISBLANK(特性!A17),"",特性!A17)</f>
        <v/>
      </c>
      <c r="B17" t="str">
        <f>IF(ISBLANK(特性!B17),"",特性!B17)</f>
        <v/>
      </c>
      <c r="C17" t="str">
        <f>IF(ISBLANK(特性!C17),"",ToFeatureMode(特性!C17))</f>
        <v/>
      </c>
      <c r="D17" t="str">
        <f>IF(ISBLANK(特性!D17),"",特性!D17)</f>
        <v/>
      </c>
      <c r="E17" t="str">
        <f>IF(ISBLANK(特性!E17),"",特性!E17)</f>
        <v/>
      </c>
      <c r="F17" t="str">
        <f>IF(ISBLANK(特性!F17),"",特性!F17)</f>
        <v/>
      </c>
      <c r="G17" t="str">
        <f>IF(ISBLANK(特性!G17),"",ToFeatureEffect(特性!G17))</f>
        <v/>
      </c>
      <c r="H17" t="str">
        <f>IF(ISBLANK(特性!H17),"",特性!H17)</f>
        <v/>
      </c>
    </row>
    <row r="18" spans="1:8" x14ac:dyDescent="0.25">
      <c r="A18" t="str">
        <f>IF(ISBLANK(特性!A18),"",特性!A18)</f>
        <v/>
      </c>
      <c r="B18" t="str">
        <f>IF(ISBLANK(特性!B18),"",特性!B18)</f>
        <v/>
      </c>
      <c r="C18" t="str">
        <f>IF(ISBLANK(特性!C18),"",ToFeatureMode(特性!C18))</f>
        <v/>
      </c>
      <c r="D18" t="str">
        <f>IF(ISBLANK(特性!D18),"",特性!D18)</f>
        <v/>
      </c>
      <c r="E18" t="str">
        <f>IF(ISBLANK(特性!E18),"",特性!E18)</f>
        <v/>
      </c>
      <c r="F18" t="str">
        <f>IF(ISBLANK(特性!F18),"",特性!F18)</f>
        <v/>
      </c>
      <c r="G18" t="str">
        <f>IF(ISBLANK(特性!G18),"",ToFeatureEffect(特性!G18))</f>
        <v/>
      </c>
      <c r="H18" t="str">
        <f>IF(ISBLANK(特性!H18),"",特性!H18)</f>
        <v/>
      </c>
    </row>
    <row r="19" spans="1:8" x14ac:dyDescent="0.25">
      <c r="A19" t="str">
        <f>IF(ISBLANK(特性!A19),"",特性!A19)</f>
        <v/>
      </c>
      <c r="B19" t="str">
        <f>IF(ISBLANK(特性!B19),"",特性!B19)</f>
        <v/>
      </c>
      <c r="C19" t="str">
        <f>IF(ISBLANK(特性!C19),"",ToFeatureMode(特性!C19))</f>
        <v/>
      </c>
      <c r="D19" t="str">
        <f>IF(ISBLANK(特性!D19),"",特性!D19)</f>
        <v/>
      </c>
      <c r="E19" t="str">
        <f>IF(ISBLANK(特性!E19),"",特性!E19)</f>
        <v/>
      </c>
      <c r="F19" t="str">
        <f>IF(ISBLANK(特性!F19),"",特性!F19)</f>
        <v/>
      </c>
      <c r="G19" t="str">
        <f>IF(ISBLANK(特性!G19),"",ToFeatureEffect(特性!G19))</f>
        <v/>
      </c>
      <c r="H19" t="str">
        <f>IF(ISBLANK(特性!H19),"",特性!H19)</f>
        <v/>
      </c>
    </row>
    <row r="20" spans="1:8" x14ac:dyDescent="0.25">
      <c r="A20" t="str">
        <f>IF(ISBLANK(特性!A20),"",特性!A20)</f>
        <v/>
      </c>
      <c r="B20" t="str">
        <f>IF(ISBLANK(特性!B20),"",特性!B20)</f>
        <v/>
      </c>
      <c r="C20" t="str">
        <f>IF(ISBLANK(特性!C20),"",ToFeatureMode(特性!C20))</f>
        <v/>
      </c>
      <c r="D20" t="str">
        <f>IF(ISBLANK(特性!D20),"",特性!D20)</f>
        <v/>
      </c>
      <c r="E20" t="str">
        <f>IF(ISBLANK(特性!E20),"",特性!E20)</f>
        <v/>
      </c>
      <c r="F20" t="str">
        <f>IF(ISBLANK(特性!F20),"",特性!F20)</f>
        <v/>
      </c>
      <c r="G20" t="str">
        <f>IF(ISBLANK(特性!G20),"",ToFeatureEffect(特性!G20))</f>
        <v/>
      </c>
      <c r="H20" t="str">
        <f>IF(ISBLANK(特性!H20),"",特性!H20)</f>
        <v/>
      </c>
    </row>
    <row r="21" spans="1:8" x14ac:dyDescent="0.25">
      <c r="A21" t="str">
        <f>IF(ISBLANK(特性!A21),"",特性!A21)</f>
        <v/>
      </c>
      <c r="B21" t="str">
        <f>IF(ISBLANK(特性!B21),"",特性!B21)</f>
        <v/>
      </c>
      <c r="C21" t="str">
        <f>IF(ISBLANK(特性!C21),"",ToFeatureMode(特性!C21))</f>
        <v/>
      </c>
      <c r="D21" t="str">
        <f>IF(ISBLANK(特性!D21),"",特性!D21)</f>
        <v/>
      </c>
      <c r="E21" t="str">
        <f>IF(ISBLANK(特性!E21),"",特性!E21)</f>
        <v/>
      </c>
      <c r="F21" t="str">
        <f>IF(ISBLANK(特性!F21),"",特性!F21)</f>
        <v/>
      </c>
      <c r="G21" t="str">
        <f>IF(ISBLANK(特性!G21),"",ToFeatureEffect(特性!G21))</f>
        <v/>
      </c>
      <c r="H21" t="str">
        <f>IF(ISBLANK(特性!H21),"",特性!H21)</f>
        <v/>
      </c>
    </row>
    <row r="22" spans="1:8" x14ac:dyDescent="0.25">
      <c r="A22" t="str">
        <f>IF(ISBLANK(特性!A22),"",特性!A22)</f>
        <v/>
      </c>
      <c r="B22" t="str">
        <f>IF(ISBLANK(特性!B22),"",特性!B22)</f>
        <v/>
      </c>
      <c r="C22" t="str">
        <f>IF(ISBLANK(特性!C22),"",ToFeatureMode(特性!C22))</f>
        <v/>
      </c>
      <c r="D22" t="str">
        <f>IF(ISBLANK(特性!D22),"",特性!D22)</f>
        <v/>
      </c>
      <c r="E22" t="str">
        <f>IF(ISBLANK(特性!E22),"",特性!E22)</f>
        <v/>
      </c>
      <c r="F22" t="str">
        <f>IF(ISBLANK(特性!F22),"",特性!F22)</f>
        <v/>
      </c>
      <c r="G22" t="str">
        <f>IF(ISBLANK(特性!G22),"",ToFeatureEffect(特性!G22))</f>
        <v/>
      </c>
      <c r="H22" t="str">
        <f>IF(ISBLANK(特性!H22),"",特性!H22)</f>
        <v/>
      </c>
    </row>
    <row r="23" spans="1:8" x14ac:dyDescent="0.25">
      <c r="A23" t="str">
        <f>IF(ISBLANK(特性!A23),"",特性!A23)</f>
        <v/>
      </c>
      <c r="B23" t="str">
        <f>IF(ISBLANK(特性!B23),"",特性!B23)</f>
        <v/>
      </c>
      <c r="C23" t="str">
        <f>IF(ISBLANK(特性!C23),"",ToFeatureMode(特性!C23))</f>
        <v/>
      </c>
      <c r="D23" t="str">
        <f>IF(ISBLANK(特性!D23),"",特性!D23)</f>
        <v/>
      </c>
      <c r="E23" t="str">
        <f>IF(ISBLANK(特性!E23),"",特性!E23)</f>
        <v/>
      </c>
      <c r="F23" t="str">
        <f>IF(ISBLANK(特性!F23),"",特性!F23)</f>
        <v/>
      </c>
      <c r="G23" t="str">
        <f>IF(ISBLANK(特性!G23),"",ToFeatureEffect(特性!G23))</f>
        <v/>
      </c>
      <c r="H23" t="str">
        <f>IF(ISBLANK(特性!H23),"",特性!H23)</f>
        <v/>
      </c>
    </row>
    <row r="24" spans="1:8" x14ac:dyDescent="0.25">
      <c r="A24" t="str">
        <f>IF(ISBLANK(特性!A24),"",特性!A24)</f>
        <v/>
      </c>
      <c r="B24" t="str">
        <f>IF(ISBLANK(特性!B24),"",特性!B24)</f>
        <v/>
      </c>
      <c r="C24" t="str">
        <f>IF(ISBLANK(特性!C24),"",ToFeatureMode(特性!C24))</f>
        <v/>
      </c>
      <c r="D24" t="str">
        <f>IF(ISBLANK(特性!D24),"",特性!D24)</f>
        <v/>
      </c>
      <c r="E24" t="str">
        <f>IF(ISBLANK(特性!E24),"",特性!E24)</f>
        <v/>
      </c>
      <c r="F24" t="str">
        <f>IF(ISBLANK(特性!F24),"",特性!F24)</f>
        <v/>
      </c>
      <c r="G24" t="str">
        <f>IF(ISBLANK(特性!G24),"",ToFeatureEffect(特性!G24))</f>
        <v/>
      </c>
      <c r="H24" t="str">
        <f>IF(ISBLANK(特性!H24),"",特性!H24)</f>
        <v/>
      </c>
    </row>
    <row r="25" spans="1:8" x14ac:dyDescent="0.25">
      <c r="A25" t="str">
        <f>IF(ISBLANK(特性!A25),"",特性!A25)</f>
        <v/>
      </c>
      <c r="B25" t="str">
        <f>IF(ISBLANK(特性!B25),"",特性!B25)</f>
        <v/>
      </c>
      <c r="C25" t="str">
        <f>IF(ISBLANK(特性!C25),"",ToFeatureMode(特性!C25))</f>
        <v/>
      </c>
      <c r="D25" t="str">
        <f>IF(ISBLANK(特性!D25),"",特性!D25)</f>
        <v/>
      </c>
      <c r="E25" t="str">
        <f>IF(ISBLANK(特性!E25),"",特性!E25)</f>
        <v/>
      </c>
      <c r="F25" t="str">
        <f>IF(ISBLANK(特性!F25),"",特性!F25)</f>
        <v/>
      </c>
      <c r="G25" t="str">
        <f>IF(ISBLANK(特性!G25),"",ToFeatureEffect(特性!G25))</f>
        <v/>
      </c>
      <c r="H25" t="str">
        <f>IF(ISBLANK(特性!H25),"",特性!H25)</f>
        <v/>
      </c>
    </row>
    <row r="26" spans="1:8" x14ac:dyDescent="0.25">
      <c r="A26" t="str">
        <f>IF(ISBLANK(特性!A26),"",特性!A26)</f>
        <v/>
      </c>
      <c r="B26" t="str">
        <f>IF(ISBLANK(特性!B26),"",特性!B26)</f>
        <v/>
      </c>
      <c r="C26" t="str">
        <f>IF(ISBLANK(特性!C26),"",ToFeatureMode(特性!C26))</f>
        <v/>
      </c>
      <c r="D26" t="str">
        <f>IF(ISBLANK(特性!D26),"",特性!D26)</f>
        <v/>
      </c>
      <c r="E26" t="str">
        <f>IF(ISBLANK(特性!E26),"",特性!E26)</f>
        <v/>
      </c>
      <c r="F26" t="str">
        <f>IF(ISBLANK(特性!F26),"",特性!F26)</f>
        <v/>
      </c>
      <c r="G26" t="str">
        <f>IF(ISBLANK(特性!G26),"",ToFeatureEffect(特性!G26))</f>
        <v/>
      </c>
      <c r="H26" t="str">
        <f>IF(ISBLANK(特性!H26),"",特性!H26)</f>
        <v/>
      </c>
    </row>
    <row r="27" spans="1:8" x14ac:dyDescent="0.25">
      <c r="A27" t="str">
        <f>IF(ISBLANK(特性!A27),"",特性!A27)</f>
        <v/>
      </c>
      <c r="B27" t="str">
        <f>IF(ISBLANK(特性!B27),"",特性!B27)</f>
        <v/>
      </c>
      <c r="C27" t="str">
        <f>IF(ISBLANK(特性!C27),"",ToFeatureMode(特性!C27))</f>
        <v/>
      </c>
      <c r="D27" t="str">
        <f>IF(ISBLANK(特性!D27),"",特性!D27)</f>
        <v/>
      </c>
      <c r="E27" t="str">
        <f>IF(ISBLANK(特性!E27),"",特性!E27)</f>
        <v/>
      </c>
      <c r="F27" t="str">
        <f>IF(ISBLANK(特性!F27),"",特性!F27)</f>
        <v/>
      </c>
      <c r="G27" t="str">
        <f>IF(ISBLANK(特性!G27),"",ToFeatureEffect(特性!G27))</f>
        <v/>
      </c>
      <c r="H27" t="str">
        <f>IF(ISBLANK(特性!H27),"",特性!H27)</f>
        <v/>
      </c>
    </row>
    <row r="28" spans="1:8" x14ac:dyDescent="0.25">
      <c r="A28" t="str">
        <f>IF(ISBLANK(特性!A28),"",特性!A28)</f>
        <v/>
      </c>
      <c r="B28" t="str">
        <f>IF(ISBLANK(特性!B28),"",特性!B28)</f>
        <v/>
      </c>
      <c r="C28" t="str">
        <f>IF(ISBLANK(特性!C28),"",ToFeatureMode(特性!C28))</f>
        <v/>
      </c>
      <c r="D28" t="str">
        <f>IF(ISBLANK(特性!D28),"",特性!D28)</f>
        <v/>
      </c>
      <c r="E28" t="str">
        <f>IF(ISBLANK(特性!E28),"",特性!E28)</f>
        <v/>
      </c>
      <c r="F28" t="str">
        <f>IF(ISBLANK(特性!F28),"",特性!F28)</f>
        <v/>
      </c>
      <c r="G28" t="str">
        <f>IF(ISBLANK(特性!G28),"",ToFeatureEffect(特性!G28))</f>
        <v/>
      </c>
      <c r="H28" t="str">
        <f>IF(ISBLANK(特性!H28),"",特性!H28)</f>
        <v/>
      </c>
    </row>
    <row r="29" spans="1:8" x14ac:dyDescent="0.25">
      <c r="A29" t="str">
        <f>IF(ISBLANK(特性!A29),"",特性!A29)</f>
        <v/>
      </c>
      <c r="B29" t="str">
        <f>IF(ISBLANK(特性!B29),"",特性!B29)</f>
        <v/>
      </c>
      <c r="C29" t="str">
        <f>IF(ISBLANK(特性!C29),"",ToFeatureMode(特性!C29))</f>
        <v/>
      </c>
      <c r="D29" t="str">
        <f>IF(ISBLANK(特性!D29),"",特性!D29)</f>
        <v/>
      </c>
      <c r="E29" t="str">
        <f>IF(ISBLANK(特性!E29),"",特性!E29)</f>
        <v/>
      </c>
      <c r="F29" t="str">
        <f>IF(ISBLANK(特性!F29),"",特性!F29)</f>
        <v/>
      </c>
      <c r="G29" t="str">
        <f>IF(ISBLANK(特性!G29),"",ToFeatureEffect(特性!G29))</f>
        <v/>
      </c>
      <c r="H29" t="str">
        <f>IF(ISBLANK(特性!H29),"",特性!H29)</f>
        <v/>
      </c>
    </row>
    <row r="30" spans="1:8" x14ac:dyDescent="0.25">
      <c r="A30" t="str">
        <f>IF(ISBLANK(特性!A30),"",特性!A30)</f>
        <v/>
      </c>
      <c r="B30" t="str">
        <f>IF(ISBLANK(特性!B30),"",特性!B30)</f>
        <v/>
      </c>
      <c r="C30" t="str">
        <f>IF(ISBLANK(特性!C30),"",ToFeatureMode(特性!C30))</f>
        <v/>
      </c>
      <c r="D30" t="str">
        <f>IF(ISBLANK(特性!D30),"",特性!D30)</f>
        <v/>
      </c>
      <c r="E30" t="str">
        <f>IF(ISBLANK(特性!E30),"",特性!E30)</f>
        <v/>
      </c>
      <c r="F30" t="str">
        <f>IF(ISBLANK(特性!F30),"",特性!F30)</f>
        <v/>
      </c>
      <c r="G30" t="str">
        <f>IF(ISBLANK(特性!G30),"",ToFeatureEffect(特性!G30))</f>
        <v/>
      </c>
      <c r="H30" t="str">
        <f>IF(ISBLANK(特性!H30),"",特性!H30)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0"/>
  <sheetViews>
    <sheetView workbookViewId="0">
      <selection activeCell="F12" sqref="F12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9" t="str">
        <f>怪物!B1</f>
        <v>StrID</v>
      </c>
      <c r="C1" s="9" t="str">
        <f>怪物!C1</f>
        <v>Mode</v>
      </c>
      <c r="D1" s="9" t="str">
        <f>怪物!D1</f>
        <v>HP</v>
      </c>
      <c r="E1" s="9" t="str">
        <f>怪物!E1</f>
        <v>Speed</v>
      </c>
      <c r="F1" s="9" t="str">
        <f>怪物!F1</f>
        <v>Threat</v>
      </c>
      <c r="G1" s="9" t="str">
        <f>怪物!G1</f>
        <v>StageID</v>
      </c>
    </row>
    <row r="2" spans="1:7" x14ac:dyDescent="0.25">
      <c r="A2">
        <f>IF(ISBLANK(怪物!A2),"",怪物!A2)</f>
        <v>1</v>
      </c>
      <c r="B2">
        <f>IF(ISBLANK(怪物!B2),"",怪物!B2)</f>
        <v>3001</v>
      </c>
      <c r="C2">
        <f>IF(ISBLANK(怪物!C2),"",ToMonsterMode(怪物!C2))</f>
        <v>1</v>
      </c>
      <c r="D2">
        <f>IF(ISBLANK(怪物!D2),"",怪物!D2)</f>
        <v>6</v>
      </c>
      <c r="E2">
        <f>IF(ISBLANK(怪物!E2),"",怪物!E2)</f>
        <v>1</v>
      </c>
      <c r="F2">
        <f>IF(ISBLANK(怪物!F2),"",怪物!F2)</f>
        <v>1</v>
      </c>
      <c r="G2">
        <f>IF(ISBLANK(怪物!G2),"",怪物!G2)</f>
        <v>1</v>
      </c>
    </row>
    <row r="3" spans="1:7" x14ac:dyDescent="0.25">
      <c r="A3">
        <f>IF(ISBLANK(怪物!A3),"",怪物!A3)</f>
        <v>2</v>
      </c>
      <c r="B3">
        <f>IF(ISBLANK(怪物!B3),"",怪物!B3)</f>
        <v>3002</v>
      </c>
      <c r="C3">
        <f>IF(ISBLANK(怪物!C3),"",ToMonsterMode(怪物!C3))</f>
        <v>1</v>
      </c>
      <c r="D3">
        <f>IF(ISBLANK(怪物!D3),"",怪物!D3)</f>
        <v>10</v>
      </c>
      <c r="E3">
        <f>IF(ISBLANK(怪物!E3),"",怪物!E3)</f>
        <v>2</v>
      </c>
      <c r="F3">
        <f>IF(ISBLANK(怪物!F3),"",怪物!F3)</f>
        <v>2</v>
      </c>
      <c r="G3">
        <f>IF(ISBLANK(怪物!G3),"",怪物!G3)</f>
        <v>1</v>
      </c>
    </row>
    <row r="4" spans="1:7" x14ac:dyDescent="0.25">
      <c r="A4">
        <f>IF(ISBLANK(怪物!A4),"",怪物!A4)</f>
        <v>3</v>
      </c>
      <c r="B4">
        <f>IF(ISBLANK(怪物!B4),"",怪物!B4)</f>
        <v>3003</v>
      </c>
      <c r="C4">
        <f>IF(ISBLANK(怪物!C4),"",ToMonsterMode(怪物!C4))</f>
        <v>1</v>
      </c>
      <c r="D4">
        <f>IF(ISBLANK(怪物!D4),"",怪物!D4)</f>
        <v>14</v>
      </c>
      <c r="E4">
        <f>IF(ISBLANK(怪物!E4),"",怪物!E4)</f>
        <v>3</v>
      </c>
      <c r="F4">
        <f>IF(ISBLANK(怪物!F4),"",怪物!F4)</f>
        <v>3</v>
      </c>
      <c r="G4">
        <f>IF(ISBLANK(怪物!G4),"",怪物!G4)</f>
        <v>1</v>
      </c>
    </row>
    <row r="5" spans="1:7" x14ac:dyDescent="0.25">
      <c r="A5" t="str">
        <f>IF(ISBLANK(怪物!A5),"",怪物!A5)</f>
        <v/>
      </c>
      <c r="B5" t="str">
        <f>IF(ISBLANK(怪物!B5),"",怪物!B5)</f>
        <v/>
      </c>
      <c r="C5" t="str">
        <f>IF(ISBLANK(怪物!C5),"",ToMonsterMode(怪物!C5))</f>
        <v/>
      </c>
      <c r="D5" t="str">
        <f>IF(ISBLANK(怪物!D5),"",怪物!D5)</f>
        <v/>
      </c>
      <c r="E5" t="str">
        <f>IF(ISBLANK(怪物!E5),"",怪物!E5)</f>
        <v/>
      </c>
      <c r="F5" t="str">
        <f>IF(ISBLANK(怪物!F5),"",怪物!F5)</f>
        <v/>
      </c>
      <c r="G5" t="str">
        <f>IF(ISBLANK(怪物!G5),"",怪物!G5)</f>
        <v/>
      </c>
    </row>
    <row r="6" spans="1:7" x14ac:dyDescent="0.25">
      <c r="A6" t="str">
        <f>IF(ISBLANK(怪物!A6),"",怪物!A6)</f>
        <v/>
      </c>
      <c r="B6" t="str">
        <f>IF(ISBLANK(怪物!B6),"",怪物!B6)</f>
        <v/>
      </c>
      <c r="C6" t="str">
        <f>IF(ISBLANK(怪物!C6),"",ToMonsterMode(怪物!C6))</f>
        <v/>
      </c>
      <c r="D6" t="str">
        <f>IF(ISBLANK(怪物!D6),"",怪物!D6)</f>
        <v/>
      </c>
      <c r="E6" t="str">
        <f>IF(ISBLANK(怪物!E6),"",怪物!E6)</f>
        <v/>
      </c>
      <c r="F6" t="str">
        <f>IF(ISBLANK(怪物!F6),"",怪物!F6)</f>
        <v/>
      </c>
      <c r="G6" t="str">
        <f>IF(ISBLANK(怪物!G6),"",怪物!G6)</f>
        <v/>
      </c>
    </row>
    <row r="7" spans="1:7" x14ac:dyDescent="0.25">
      <c r="A7" t="str">
        <f>IF(ISBLANK(怪物!A7),"",怪物!A7)</f>
        <v/>
      </c>
      <c r="B7" t="str">
        <f>IF(ISBLANK(怪物!B7),"",怪物!B7)</f>
        <v/>
      </c>
      <c r="C7" t="str">
        <f>IF(ISBLANK(怪物!C7),"",ToMonsterMode(怪物!C7))</f>
        <v/>
      </c>
      <c r="D7" t="str">
        <f>IF(ISBLANK(怪物!D7),"",怪物!D7)</f>
        <v/>
      </c>
      <c r="E7" t="str">
        <f>IF(ISBLANK(怪物!E7),"",怪物!E7)</f>
        <v/>
      </c>
      <c r="F7" t="str">
        <f>IF(ISBLANK(怪物!F7),"",怪物!F7)</f>
        <v/>
      </c>
      <c r="G7" t="str">
        <f>IF(ISBLANK(怪物!G7),"",怪物!G7)</f>
        <v/>
      </c>
    </row>
    <row r="8" spans="1:7" x14ac:dyDescent="0.25">
      <c r="A8" t="str">
        <f>IF(ISBLANK(怪物!A8),"",怪物!A8)</f>
        <v/>
      </c>
      <c r="B8" t="str">
        <f>IF(ISBLANK(怪物!B8),"",怪物!B8)</f>
        <v/>
      </c>
      <c r="C8" t="str">
        <f>IF(ISBLANK(怪物!C8),"",ToMonsterMode(怪物!C8))</f>
        <v/>
      </c>
      <c r="D8" t="str">
        <f>IF(ISBLANK(怪物!D8),"",怪物!D8)</f>
        <v/>
      </c>
      <c r="E8" t="str">
        <f>IF(ISBLANK(怪物!E8),"",怪物!E8)</f>
        <v/>
      </c>
      <c r="F8" t="str">
        <f>IF(ISBLANK(怪物!F8),"",怪物!F8)</f>
        <v/>
      </c>
      <c r="G8" t="str">
        <f>IF(ISBLANK(怪物!G8),"",怪物!G8)</f>
        <v/>
      </c>
    </row>
    <row r="9" spans="1:7" x14ac:dyDescent="0.25">
      <c r="A9" t="str">
        <f>IF(ISBLANK(怪物!A9),"",怪物!A9)</f>
        <v/>
      </c>
      <c r="B9" t="str">
        <f>IF(ISBLANK(怪物!B9),"",怪物!B9)</f>
        <v/>
      </c>
      <c r="C9" t="str">
        <f>IF(ISBLANK(怪物!C9),"",ToMonsterMode(怪物!C9))</f>
        <v/>
      </c>
      <c r="D9" t="str">
        <f>IF(ISBLANK(怪物!D9),"",怪物!D9)</f>
        <v/>
      </c>
      <c r="E9" t="str">
        <f>IF(ISBLANK(怪物!E9),"",怪物!E9)</f>
        <v/>
      </c>
      <c r="F9" t="str">
        <f>IF(ISBLANK(怪物!F9),"",怪物!F9)</f>
        <v/>
      </c>
      <c r="G9" t="str">
        <f>IF(ISBLANK(怪物!G9),"",怪物!G9)</f>
        <v/>
      </c>
    </row>
    <row r="10" spans="1:7" x14ac:dyDescent="0.25">
      <c r="A10" t="str">
        <f>IF(ISBLANK(怪物!A10),"",怪物!A10)</f>
        <v/>
      </c>
      <c r="B10" t="str">
        <f>IF(ISBLANK(怪物!B10),"",怪物!B10)</f>
        <v/>
      </c>
      <c r="C10" t="str">
        <f>IF(ISBLANK(怪物!C10),"",ToMonsterMode(怪物!C10))</f>
        <v/>
      </c>
      <c r="D10" t="str">
        <f>IF(ISBLANK(怪物!D10),"",怪物!D10)</f>
        <v/>
      </c>
      <c r="E10" t="str">
        <f>IF(ISBLANK(怪物!E10),"",怪物!E10)</f>
        <v/>
      </c>
      <c r="F10" t="str">
        <f>IF(ISBLANK(怪物!F10),"",怪物!F10)</f>
        <v/>
      </c>
      <c r="G10" t="str">
        <f>IF(ISBLANK(怪物!G10),"",怪物!G10)</f>
        <v/>
      </c>
    </row>
    <row r="11" spans="1:7" x14ac:dyDescent="0.25">
      <c r="A11" t="str">
        <f>IF(ISBLANK(怪物!A11),"",怪物!A11)</f>
        <v/>
      </c>
      <c r="B11" t="str">
        <f>IF(ISBLANK(怪物!B11),"",怪物!B11)</f>
        <v/>
      </c>
      <c r="C11" t="str">
        <f>IF(ISBLANK(怪物!C11),"",ToMonsterMode(怪物!C11))</f>
        <v/>
      </c>
      <c r="D11" t="str">
        <f>IF(ISBLANK(怪物!D11),"",怪物!D11)</f>
        <v/>
      </c>
      <c r="E11" t="str">
        <f>IF(ISBLANK(怪物!E11),"",怪物!E11)</f>
        <v/>
      </c>
      <c r="F11" t="str">
        <f>IF(ISBLANK(怪物!F11),"",怪物!F11)</f>
        <v/>
      </c>
      <c r="G11" t="str">
        <f>IF(ISBLANK(怪物!G11),"",怪物!G11)</f>
        <v/>
      </c>
    </row>
    <row r="12" spans="1:7" x14ac:dyDescent="0.25">
      <c r="A12" t="str">
        <f>IF(ISBLANK(怪物!A12),"",怪物!A12)</f>
        <v/>
      </c>
      <c r="B12" t="str">
        <f>IF(ISBLANK(怪物!B12),"",怪物!B12)</f>
        <v/>
      </c>
      <c r="C12" t="str">
        <f>IF(ISBLANK(怪物!C12),"",ToMonsterMode(怪物!C12))</f>
        <v/>
      </c>
      <c r="D12" t="str">
        <f>IF(ISBLANK(怪物!D12),"",怪物!D12)</f>
        <v/>
      </c>
      <c r="E12" t="str">
        <f>IF(ISBLANK(怪物!E12),"",怪物!E12)</f>
        <v/>
      </c>
      <c r="F12" t="str">
        <f>IF(ISBLANK(怪物!F12),"",怪物!F12)</f>
        <v/>
      </c>
      <c r="G12" t="str">
        <f>IF(ISBLANK(怪物!G12),"",怪物!G12)</f>
        <v/>
      </c>
    </row>
    <row r="13" spans="1:7" x14ac:dyDescent="0.25">
      <c r="A13" t="str">
        <f>IF(ISBLANK(怪物!A13),"",怪物!A13)</f>
        <v/>
      </c>
      <c r="B13" t="str">
        <f>IF(ISBLANK(怪物!B13),"",怪物!B13)</f>
        <v/>
      </c>
      <c r="C13" t="str">
        <f>IF(ISBLANK(怪物!C13),"",ToMonsterMode(怪物!C13))</f>
        <v/>
      </c>
      <c r="D13" t="str">
        <f>IF(ISBLANK(怪物!D13),"",怪物!D13)</f>
        <v/>
      </c>
      <c r="E13" t="str">
        <f>IF(ISBLANK(怪物!E13),"",怪物!E13)</f>
        <v/>
      </c>
      <c r="F13" t="str">
        <f>IF(ISBLANK(怪物!F13),"",怪物!F13)</f>
        <v/>
      </c>
      <c r="G13" t="str">
        <f>IF(ISBLANK(怪物!G13),"",怪物!G13)</f>
        <v/>
      </c>
    </row>
    <row r="14" spans="1:7" x14ac:dyDescent="0.25">
      <c r="A14" t="str">
        <f>IF(ISBLANK(怪物!A14),"",怪物!A14)</f>
        <v/>
      </c>
      <c r="B14" t="str">
        <f>IF(ISBLANK(怪物!B14),"",怪物!B14)</f>
        <v/>
      </c>
      <c r="C14" t="str">
        <f>IF(ISBLANK(怪物!C14),"",ToMonsterMode(怪物!C14))</f>
        <v/>
      </c>
      <c r="D14" t="str">
        <f>IF(ISBLANK(怪物!D14),"",怪物!D14)</f>
        <v/>
      </c>
      <c r="E14" t="str">
        <f>IF(ISBLANK(怪物!E14),"",怪物!E14)</f>
        <v/>
      </c>
      <c r="F14" t="str">
        <f>IF(ISBLANK(怪物!F14),"",怪物!F14)</f>
        <v/>
      </c>
      <c r="G14" t="str">
        <f>IF(ISBLANK(怪物!G14),"",怪物!G14)</f>
        <v/>
      </c>
    </row>
    <row r="15" spans="1:7" x14ac:dyDescent="0.25">
      <c r="A15" t="str">
        <f>IF(ISBLANK(怪物!A15),"",怪物!A15)</f>
        <v/>
      </c>
      <c r="B15" t="str">
        <f>IF(ISBLANK(怪物!B15),"",怪物!B15)</f>
        <v/>
      </c>
      <c r="C15" t="str">
        <f>IF(ISBLANK(怪物!C15),"",ToMonsterMode(怪物!C15))</f>
        <v/>
      </c>
      <c r="D15" t="str">
        <f>IF(ISBLANK(怪物!D15),"",怪物!D15)</f>
        <v/>
      </c>
      <c r="E15" t="str">
        <f>IF(ISBLANK(怪物!E15),"",怪物!E15)</f>
        <v/>
      </c>
      <c r="F15" t="str">
        <f>IF(ISBLANK(怪物!F15),"",怪物!F15)</f>
        <v/>
      </c>
      <c r="G15" t="str">
        <f>IF(ISBLANK(怪物!G15),"",怪物!G15)</f>
        <v/>
      </c>
    </row>
    <row r="16" spans="1:7" x14ac:dyDescent="0.25">
      <c r="A16" t="str">
        <f>IF(ISBLANK(怪物!A16),"",怪物!A16)</f>
        <v/>
      </c>
      <c r="B16" t="str">
        <f>IF(ISBLANK(怪物!B16),"",怪物!B16)</f>
        <v/>
      </c>
      <c r="C16" t="str">
        <f>IF(ISBLANK(怪物!C16),"",ToMonsterMode(怪物!C16))</f>
        <v/>
      </c>
      <c r="D16" t="str">
        <f>IF(ISBLANK(怪物!D16),"",怪物!D16)</f>
        <v/>
      </c>
      <c r="E16" t="str">
        <f>IF(ISBLANK(怪物!E16),"",怪物!E16)</f>
        <v/>
      </c>
      <c r="F16" t="str">
        <f>IF(ISBLANK(怪物!F16),"",怪物!F16)</f>
        <v/>
      </c>
      <c r="G16" t="str">
        <f>IF(ISBLANK(怪物!G16),"",怪物!G16)</f>
        <v/>
      </c>
    </row>
    <row r="17" spans="1:7" x14ac:dyDescent="0.25">
      <c r="A17" t="str">
        <f>IF(ISBLANK(怪物!A17),"",怪物!A17)</f>
        <v/>
      </c>
      <c r="B17" t="str">
        <f>IF(ISBLANK(怪物!B17),"",怪物!B17)</f>
        <v/>
      </c>
      <c r="C17" t="str">
        <f>IF(ISBLANK(怪物!C17),"",ToMonsterMode(怪物!C17))</f>
        <v/>
      </c>
      <c r="D17" t="str">
        <f>IF(ISBLANK(怪物!D17),"",怪物!D17)</f>
        <v/>
      </c>
      <c r="E17" t="str">
        <f>IF(ISBLANK(怪物!E17),"",怪物!E17)</f>
        <v/>
      </c>
      <c r="F17" t="str">
        <f>IF(ISBLANK(怪物!F17),"",怪物!F17)</f>
        <v/>
      </c>
      <c r="G17" t="str">
        <f>IF(ISBLANK(怪物!G17),"",怪物!G17)</f>
        <v/>
      </c>
    </row>
    <row r="18" spans="1:7" x14ac:dyDescent="0.25">
      <c r="A18" t="str">
        <f>IF(ISBLANK(怪物!A18),"",怪物!A18)</f>
        <v/>
      </c>
      <c r="B18" t="str">
        <f>IF(ISBLANK(怪物!B18),"",怪物!B18)</f>
        <v/>
      </c>
      <c r="C18" t="str">
        <f>IF(ISBLANK(怪物!C18),"",ToMonsterMode(怪物!C18))</f>
        <v/>
      </c>
      <c r="D18" t="str">
        <f>IF(ISBLANK(怪物!D18),"",怪物!D18)</f>
        <v/>
      </c>
      <c r="E18" t="str">
        <f>IF(ISBLANK(怪物!E18),"",怪物!E18)</f>
        <v/>
      </c>
      <c r="F18" t="str">
        <f>IF(ISBLANK(怪物!F18),"",怪物!F18)</f>
        <v/>
      </c>
      <c r="G18" t="str">
        <f>IF(ISBLANK(怪物!G18),"",怪物!G18)</f>
        <v/>
      </c>
    </row>
    <row r="19" spans="1:7" x14ac:dyDescent="0.25">
      <c r="A19" t="str">
        <f>IF(ISBLANK(怪物!A19),"",怪物!A19)</f>
        <v/>
      </c>
      <c r="B19" t="str">
        <f>IF(ISBLANK(怪物!B19),"",怪物!B19)</f>
        <v/>
      </c>
      <c r="C19" t="str">
        <f>IF(ISBLANK(怪物!C19),"",ToMonsterMode(怪物!C19))</f>
        <v/>
      </c>
      <c r="D19" t="str">
        <f>IF(ISBLANK(怪物!D19),"",怪物!D19)</f>
        <v/>
      </c>
      <c r="E19" t="str">
        <f>IF(ISBLANK(怪物!E19),"",怪物!E19)</f>
        <v/>
      </c>
      <c r="F19" t="str">
        <f>IF(ISBLANK(怪物!F19),"",怪物!F19)</f>
        <v/>
      </c>
      <c r="G19" t="str">
        <f>IF(ISBLANK(怪物!G19),"",怪物!G19)</f>
        <v/>
      </c>
    </row>
    <row r="20" spans="1:7" x14ac:dyDescent="0.25">
      <c r="A20" t="str">
        <f>IF(ISBLANK(怪物!A20),"",怪物!A20)</f>
        <v/>
      </c>
      <c r="B20" t="str">
        <f>IF(ISBLANK(怪物!B20),"",怪物!B20)</f>
        <v/>
      </c>
      <c r="C20" t="str">
        <f>IF(ISBLANK(怪物!C20),"",ToMonsterMode(怪物!C20))</f>
        <v/>
      </c>
      <c r="D20" t="str">
        <f>IF(ISBLANK(怪物!D20),"",怪物!D20)</f>
        <v/>
      </c>
      <c r="E20" t="str">
        <f>IF(ISBLANK(怪物!E20),"",怪物!E20)</f>
        <v/>
      </c>
      <c r="F20" t="str">
        <f>IF(ISBLANK(怪物!F20),"",怪物!F20)</f>
        <v/>
      </c>
      <c r="G20" t="str">
        <f>IF(ISBLANK(怪物!G20),"",怪物!G20)</f>
        <v/>
      </c>
    </row>
    <row r="21" spans="1:7" x14ac:dyDescent="0.25">
      <c r="A21" t="str">
        <f>IF(ISBLANK(怪物!A21),"",怪物!A21)</f>
        <v/>
      </c>
      <c r="B21" t="str">
        <f>IF(ISBLANK(怪物!B21),"",怪物!B21)</f>
        <v/>
      </c>
      <c r="C21" t="str">
        <f>IF(ISBLANK(怪物!C21),"",ToMonsterMode(怪物!C21))</f>
        <v/>
      </c>
      <c r="D21" t="str">
        <f>IF(ISBLANK(怪物!D21),"",怪物!D21)</f>
        <v/>
      </c>
      <c r="E21" t="str">
        <f>IF(ISBLANK(怪物!E21),"",怪物!E21)</f>
        <v/>
      </c>
      <c r="F21" t="str">
        <f>IF(ISBLANK(怪物!F21),"",怪物!F21)</f>
        <v/>
      </c>
      <c r="G21" t="str">
        <f>IF(ISBLANK(怪物!G21),"",怪物!G21)</f>
        <v/>
      </c>
    </row>
    <row r="22" spans="1:7" x14ac:dyDescent="0.25">
      <c r="A22" t="str">
        <f>IF(ISBLANK(怪物!A22),"",怪物!A22)</f>
        <v/>
      </c>
      <c r="B22" t="str">
        <f>IF(ISBLANK(怪物!B22),"",怪物!B22)</f>
        <v/>
      </c>
      <c r="C22" t="str">
        <f>IF(ISBLANK(怪物!C22),"",ToMonsterMode(怪物!C22))</f>
        <v/>
      </c>
      <c r="D22" t="str">
        <f>IF(ISBLANK(怪物!D22),"",怪物!D22)</f>
        <v/>
      </c>
      <c r="E22" t="str">
        <f>IF(ISBLANK(怪物!E22),"",怪物!E22)</f>
        <v/>
      </c>
      <c r="F22" t="str">
        <f>IF(ISBLANK(怪物!F22),"",怪物!F22)</f>
        <v/>
      </c>
      <c r="G22" t="str">
        <f>IF(ISBLANK(怪物!G22),"",怪物!G22)</f>
        <v/>
      </c>
    </row>
    <row r="23" spans="1:7" x14ac:dyDescent="0.25">
      <c r="A23" t="str">
        <f>IF(ISBLANK(怪物!A23),"",怪物!A23)</f>
        <v/>
      </c>
      <c r="B23" t="str">
        <f>IF(ISBLANK(怪物!B23),"",怪物!B23)</f>
        <v/>
      </c>
      <c r="C23" t="str">
        <f>IF(ISBLANK(怪物!C23),"",ToMonsterMode(怪物!C23))</f>
        <v/>
      </c>
      <c r="D23" t="str">
        <f>IF(ISBLANK(怪物!D23),"",怪物!D23)</f>
        <v/>
      </c>
      <c r="E23" t="str">
        <f>IF(ISBLANK(怪物!E23),"",怪物!E23)</f>
        <v/>
      </c>
      <c r="F23" t="str">
        <f>IF(ISBLANK(怪物!F23),"",怪物!F23)</f>
        <v/>
      </c>
      <c r="G23" t="str">
        <f>IF(ISBLANK(怪物!G23),"",怪物!G23)</f>
        <v/>
      </c>
    </row>
    <row r="24" spans="1:7" x14ac:dyDescent="0.25">
      <c r="A24" t="str">
        <f>IF(ISBLANK(怪物!A24),"",怪物!A24)</f>
        <v/>
      </c>
      <c r="B24" t="str">
        <f>IF(ISBLANK(怪物!B24),"",怪物!B24)</f>
        <v/>
      </c>
      <c r="C24" t="str">
        <f>IF(ISBLANK(怪物!C24),"",ToMonsterMode(怪物!C24))</f>
        <v/>
      </c>
      <c r="D24" t="str">
        <f>IF(ISBLANK(怪物!D24),"",怪物!D24)</f>
        <v/>
      </c>
      <c r="E24" t="str">
        <f>IF(ISBLANK(怪物!E24),"",怪物!E24)</f>
        <v/>
      </c>
      <c r="F24" t="str">
        <f>IF(ISBLANK(怪物!F24),"",怪物!F24)</f>
        <v/>
      </c>
      <c r="G24" t="str">
        <f>IF(ISBLANK(怪物!G24),"",怪物!G24)</f>
        <v/>
      </c>
    </row>
    <row r="25" spans="1:7" x14ac:dyDescent="0.25">
      <c r="A25" t="str">
        <f>IF(ISBLANK(怪物!A25),"",怪物!A25)</f>
        <v/>
      </c>
      <c r="B25" t="str">
        <f>IF(ISBLANK(怪物!B25),"",怪物!B25)</f>
        <v/>
      </c>
      <c r="C25" t="str">
        <f>IF(ISBLANK(怪物!C25),"",ToMonsterMode(怪物!C25))</f>
        <v/>
      </c>
      <c r="D25" t="str">
        <f>IF(ISBLANK(怪物!D25),"",怪物!D25)</f>
        <v/>
      </c>
      <c r="E25" t="str">
        <f>IF(ISBLANK(怪物!E25),"",怪物!E25)</f>
        <v/>
      </c>
      <c r="F25" t="str">
        <f>IF(ISBLANK(怪物!F25),"",怪物!F25)</f>
        <v/>
      </c>
      <c r="G25" t="str">
        <f>IF(ISBLANK(怪物!G25),"",怪物!G25)</f>
        <v/>
      </c>
    </row>
    <row r="26" spans="1:7" x14ac:dyDescent="0.25">
      <c r="A26" t="str">
        <f>IF(ISBLANK(怪物!A26),"",怪物!A26)</f>
        <v/>
      </c>
      <c r="B26" t="str">
        <f>IF(ISBLANK(怪物!B26),"",怪物!B26)</f>
        <v/>
      </c>
      <c r="C26" t="str">
        <f>IF(ISBLANK(怪物!C26),"",ToMonsterMode(怪物!C26))</f>
        <v/>
      </c>
      <c r="D26" t="str">
        <f>IF(ISBLANK(怪物!D26),"",怪物!D26)</f>
        <v/>
      </c>
      <c r="E26" t="str">
        <f>IF(ISBLANK(怪物!E26),"",怪物!E26)</f>
        <v/>
      </c>
      <c r="F26" t="str">
        <f>IF(ISBLANK(怪物!F26),"",怪物!F26)</f>
        <v/>
      </c>
      <c r="G26" t="str">
        <f>IF(ISBLANK(怪物!G26),"",怪物!G26)</f>
        <v/>
      </c>
    </row>
    <row r="27" spans="1:7" x14ac:dyDescent="0.25">
      <c r="A27" t="str">
        <f>IF(ISBLANK(怪物!A27),"",怪物!A27)</f>
        <v/>
      </c>
      <c r="B27" t="str">
        <f>IF(ISBLANK(怪物!B27),"",怪物!B27)</f>
        <v/>
      </c>
      <c r="C27" t="str">
        <f>IF(ISBLANK(怪物!C27),"",ToMonsterMode(怪物!C27))</f>
        <v/>
      </c>
      <c r="D27" t="str">
        <f>IF(ISBLANK(怪物!D27),"",怪物!D27)</f>
        <v/>
      </c>
      <c r="E27" t="str">
        <f>IF(ISBLANK(怪物!E27),"",怪物!E27)</f>
        <v/>
      </c>
      <c r="F27" t="str">
        <f>IF(ISBLANK(怪物!F27),"",怪物!F27)</f>
        <v/>
      </c>
      <c r="G27" t="str">
        <f>IF(ISBLANK(怪物!G27),"",怪物!G27)</f>
        <v/>
      </c>
    </row>
    <row r="28" spans="1:7" x14ac:dyDescent="0.25">
      <c r="A28" t="str">
        <f>IF(ISBLANK(怪物!A28),"",怪物!A28)</f>
        <v/>
      </c>
      <c r="B28" t="str">
        <f>IF(ISBLANK(怪物!B28),"",怪物!B28)</f>
        <v/>
      </c>
      <c r="C28" t="str">
        <f>IF(ISBLANK(怪物!C28),"",ToMonsterMode(怪物!C28))</f>
        <v/>
      </c>
      <c r="D28" t="str">
        <f>IF(ISBLANK(怪物!D28),"",怪物!D28)</f>
        <v/>
      </c>
      <c r="E28" t="str">
        <f>IF(ISBLANK(怪物!E28),"",怪物!E28)</f>
        <v/>
      </c>
      <c r="F28" t="str">
        <f>IF(ISBLANK(怪物!F28),"",怪物!F28)</f>
        <v/>
      </c>
      <c r="G28" t="str">
        <f>IF(ISBLANK(怪物!G28),"",怪物!G28)</f>
        <v/>
      </c>
    </row>
    <row r="29" spans="1:7" x14ac:dyDescent="0.25">
      <c r="A29" t="str">
        <f>IF(ISBLANK(怪物!A29),"",怪物!A29)</f>
        <v/>
      </c>
      <c r="B29" t="str">
        <f>IF(ISBLANK(怪物!B29),"",怪物!B29)</f>
        <v/>
      </c>
      <c r="C29" t="str">
        <f>IF(ISBLANK(怪物!C29),"",ToMonsterMode(怪物!C29))</f>
        <v/>
      </c>
      <c r="D29" t="str">
        <f>IF(ISBLANK(怪物!D29),"",怪物!D29)</f>
        <v/>
      </c>
      <c r="E29" t="str">
        <f>IF(ISBLANK(怪物!E29),"",怪物!E29)</f>
        <v/>
      </c>
      <c r="F29" t="str">
        <f>IF(ISBLANK(怪物!F29),"",怪物!F29)</f>
        <v/>
      </c>
      <c r="G29" t="str">
        <f>IF(ISBLANK(怪物!G29),"",怪物!G29)</f>
        <v/>
      </c>
    </row>
    <row r="30" spans="1:7" x14ac:dyDescent="0.25">
      <c r="A30" t="str">
        <f>IF(ISBLANK(怪物!A30),"",怪物!A30)</f>
        <v/>
      </c>
      <c r="B30" t="str">
        <f>IF(ISBLANK(怪物!B30),"",怪物!B30)</f>
        <v/>
      </c>
      <c r="C30" t="str">
        <f>IF(ISBLANK(怪物!C30),"",ToMonsterMode(怪物!C30))</f>
        <v/>
      </c>
      <c r="D30" t="str">
        <f>IF(ISBLANK(怪物!D30),"",怪物!D30)</f>
        <v/>
      </c>
      <c r="E30" t="str">
        <f>IF(ISBLANK(怪物!E30),"",怪物!E30)</f>
        <v/>
      </c>
      <c r="F30" t="str">
        <f>IF(ISBLANK(怪物!F30),"",怪物!F30)</f>
        <v/>
      </c>
      <c r="G30" t="str">
        <f>IF(ISBLANK(怪物!G30),"",怪物!G30)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2015-03-30T11:12:52Z</dcterms:modified>
</cp:coreProperties>
</file>