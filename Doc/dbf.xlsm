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D3" i="10"/>
  <c r="G12" i="10"/>
  <c r="G16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G9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D5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0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F2" i="10"/>
  <c r="G3" i="10"/>
  <c r="G7" i="10"/>
  <c r="F12" i="10"/>
  <c r="F16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F5" i="10"/>
  <c r="F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6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F11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F7" i="10"/>
  <c r="F1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F4" i="10"/>
  <c r="F8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D4" i="10"/>
  <c r="G17" i="10"/>
  <c r="F30" i="10"/>
  <c r="E43" i="10"/>
  <c r="D56" i="10"/>
  <c r="C69" i="10"/>
  <c r="G81" i="10"/>
  <c r="D13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F13" i="10"/>
  <c r="D27" i="10"/>
  <c r="F33" i="10"/>
  <c r="E46" i="10"/>
  <c r="D59" i="10"/>
  <c r="C72" i="10"/>
  <c r="G84" i="10"/>
  <c r="F97" i="10"/>
  <c r="G33" i="10"/>
  <c r="E59" i="10"/>
  <c r="D72" i="10"/>
  <c r="F10" i="10"/>
  <c r="D36" i="10"/>
  <c r="F74" i="10"/>
  <c r="D100" i="10"/>
  <c r="D33" i="10"/>
  <c r="G58" i="10"/>
  <c r="E84" i="10"/>
  <c r="G97" i="10"/>
  <c r="G54" i="10"/>
  <c r="D69" i="10"/>
  <c r="C90" i="10"/>
  <c r="G2" i="10"/>
  <c r="G11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D15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G13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G14" i="10"/>
  <c r="C66" i="10"/>
  <c r="C5" i="10"/>
  <c r="G1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G8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F14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D6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F3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E14" i="10"/>
  <c r="D8" i="10"/>
  <c r="D10" i="10"/>
  <c r="D9" i="10"/>
  <c r="D7" i="10"/>
  <c r="D11" i="10"/>
  <c r="C16" i="10"/>
  <c r="C11" i="10"/>
  <c r="C15" i="10"/>
  <c r="C6" i="10"/>
  <c r="C14" i="10"/>
  <c r="C9" i="10"/>
  <c r="C13" i="10"/>
  <c r="C8" i="10"/>
  <c r="C4" i="10"/>
  <c r="C12" i="10"/>
  <c r="C7" i="10"/>
  <c r="C3" i="10"/>
  <c r="E16" i="10"/>
  <c r="E15" i="10"/>
  <c r="E13" i="10"/>
  <c r="E12" i="10"/>
  <c r="E6" i="10"/>
  <c r="E5" i="10"/>
  <c r="E4" i="10"/>
  <c r="E3" i="10"/>
  <c r="E2" i="10"/>
  <c r="E11" i="10"/>
  <c r="E10" i="10"/>
  <c r="E8" i="10"/>
  <c r="E9" i="10"/>
  <c r="E7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D8" i="8"/>
  <c r="D7" i="8"/>
  <c r="D5" i="8"/>
  <c r="D6" i="8"/>
  <c r="D4" i="8"/>
  <c r="E3" i="8"/>
  <c r="E8" i="8"/>
  <c r="E7" i="8"/>
  <c r="E5" i="8"/>
  <c r="E4" i="8"/>
  <c r="E6" i="8"/>
  <c r="E2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<sst xmlns="http://schemas.openxmlformats.org/spreadsheetml/2006/main" count="259" uniqueCount="176">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</sst>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3" sqref="B13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172</v>
      </c>
      <c r="C20" s="21" t="s">
        <v>99</v>
      </c>
    </row>
    <row r="21" spans="1:3" x14ac:dyDescent="0.25">
      <c r="A21" s="3">
        <v>2010</v>
      </c>
      <c r="B21" s="3" t="s">
        <v>173</v>
      </c>
      <c r="C21" s="21" t="s">
        <v>100</v>
      </c>
    </row>
    <row r="22" spans="1:3" x14ac:dyDescent="0.25">
      <c r="A22" s="3">
        <v>2011</v>
      </c>
      <c r="B22" s="3" t="s">
        <v>174</v>
      </c>
      <c r="C22" s="21" t="s">
        <v>101</v>
      </c>
    </row>
    <row r="23" spans="1:3" x14ac:dyDescent="0.25">
      <c r="A23" s="3">
        <v>2012</v>
      </c>
      <c r="B23" s="3" t="s">
        <v>175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156</v>
      </c>
      <c r="C25" s="21" t="s">
        <v>140</v>
      </c>
    </row>
    <row r="26" spans="1:3" x14ac:dyDescent="0.25">
      <c r="A26" s="3">
        <v>3002</v>
      </c>
      <c r="B26" s="3" t="s">
        <v>157</v>
      </c>
      <c r="C26" s="21" t="s">
        <v>141</v>
      </c>
    </row>
    <row r="27" spans="1:3" x14ac:dyDescent="0.25">
      <c r="A27" s="3">
        <v>3003</v>
      </c>
      <c r="B27" s="3" t="s">
        <v>158</v>
      </c>
      <c r="C27" s="21" t="s">
        <v>142</v>
      </c>
    </row>
    <row r="28" spans="1:3" x14ac:dyDescent="0.25">
      <c r="A28" s="3">
        <v>3004</v>
      </c>
      <c r="B28" s="3" t="s">
        <v>159</v>
      </c>
      <c r="C28" s="21" t="s">
        <v>143</v>
      </c>
    </row>
    <row r="29" spans="1:3" x14ac:dyDescent="0.25">
      <c r="A29" s="3">
        <v>3005</v>
      </c>
      <c r="B29" s="3" t="s">
        <v>160</v>
      </c>
      <c r="C29" s="21" t="s">
        <v>144</v>
      </c>
    </row>
    <row r="30" spans="1:3" x14ac:dyDescent="0.25">
      <c r="A30" s="3">
        <v>3006</v>
      </c>
      <c r="B30" s="3" t="s">
        <v>161</v>
      </c>
      <c r="C30" s="21" t="s">
        <v>145</v>
      </c>
    </row>
    <row r="31" spans="1:3" x14ac:dyDescent="0.25">
      <c r="A31" s="3">
        <v>3007</v>
      </c>
      <c r="B31" s="3" t="s">
        <v>162</v>
      </c>
      <c r="C31" s="21" t="s">
        <v>146</v>
      </c>
    </row>
    <row r="32" spans="1:3" x14ac:dyDescent="0.25">
      <c r="A32" s="3">
        <v>3008</v>
      </c>
      <c r="B32" s="3" t="s">
        <v>163</v>
      </c>
      <c r="C32" s="21" t="s">
        <v>147</v>
      </c>
    </row>
    <row r="33" spans="1:3" x14ac:dyDescent="0.25">
      <c r="A33" s="3">
        <v>3009</v>
      </c>
      <c r="B33" s="3" t="s">
        <v>164</v>
      </c>
      <c r="C33" s="21" t="s">
        <v>148</v>
      </c>
    </row>
    <row r="34" spans="1:3" x14ac:dyDescent="0.25">
      <c r="A34" s="3">
        <v>3010</v>
      </c>
      <c r="B34" s="3" t="s">
        <v>165</v>
      </c>
      <c r="C34" s="21" t="s">
        <v>149</v>
      </c>
    </row>
    <row r="35" spans="1:3" x14ac:dyDescent="0.25">
      <c r="A35" s="3">
        <v>3011</v>
      </c>
      <c r="B35" s="3" t="s">
        <v>166</v>
      </c>
      <c r="C35" s="21" t="s">
        <v>150</v>
      </c>
    </row>
    <row r="36" spans="1:3" x14ac:dyDescent="0.25">
      <c r="A36" s="3">
        <v>3012</v>
      </c>
      <c r="B36" s="3" t="s">
        <v>167</v>
      </c>
      <c r="C36" s="21" t="s">
        <v>151</v>
      </c>
    </row>
    <row r="37" spans="1:3" x14ac:dyDescent="0.25">
      <c r="A37" s="3">
        <v>3013</v>
      </c>
      <c r="B37" s="3" t="s">
        <v>168</v>
      </c>
      <c r="C37" s="21" t="s">
        <v>152</v>
      </c>
    </row>
    <row r="38" spans="1:3" x14ac:dyDescent="0.25">
      <c r="A38" s="3">
        <v>3014</v>
      </c>
      <c r="B38" s="3" t="s">
        <v>169</v>
      </c>
      <c r="C38" s="21" t="s">
        <v>153</v>
      </c>
    </row>
    <row r="39" spans="1:3" x14ac:dyDescent="0.25">
      <c r="A39" s="3">
        <v>3015</v>
      </c>
      <c r="B39" s="3" t="s">
        <v>170</v>
      </c>
      <c r="C39" s="21" t="s">
        <v>154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D4" sqref="D4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8</v>
      </c>
      <c r="P3" s="16">
        <f>IF(裝備!N3&gt;0,裝備!O3/裝備!N3,0)</f>
        <v>2.6666666666666665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8</v>
      </c>
      <c r="P4" s="16">
        <f>IF(裝備!N4&gt;0,裝備!O4/裝備!N4,0)</f>
        <v>2.2222222222222223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8</v>
      </c>
      <c r="P5" s="16">
        <f>IF(裝備!N5&gt;0,裝備!O5/裝備!N5,0)</f>
        <v>1.8518518518518516</v>
      </c>
    </row>
    <row r="6" spans="1:16" x14ac:dyDescent="0.25">
      <c r="A6" s="3">
        <v>8</v>
      </c>
      <c r="B6" s="3">
        <v>1008</v>
      </c>
      <c r="C6" s="3" t="s">
        <v>29</v>
      </c>
      <c r="D6" s="3">
        <v>1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8</v>
      </c>
      <c r="P6" s="16">
        <f>IF(裝備!N6&gt;0,裝備!O6/裝備!N6,0)</f>
        <v>1.6</v>
      </c>
    </row>
    <row r="7" spans="1:16" x14ac:dyDescent="0.25">
      <c r="A7" s="3">
        <v>9</v>
      </c>
      <c r="B7" s="3">
        <v>1009</v>
      </c>
      <c r="C7" s="3" t="s">
        <v>29</v>
      </c>
      <c r="D7" s="3">
        <v>2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8</v>
      </c>
      <c r="P7" s="16">
        <f>IF(裝備!N7&gt;0,裝備!O7/裝備!N7,0)</f>
        <v>1.3333333333333333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8</v>
      </c>
      <c r="P8" s="16">
        <f>IF(裝備!N8&gt;0,裝備!O8/裝備!N8,0)</f>
        <v>1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8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8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8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8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8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8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8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8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8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8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8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8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8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8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8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8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8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8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8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8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8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8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8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8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8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8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8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8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8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8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8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8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8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8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8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8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8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8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8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8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8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8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8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8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8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8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8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8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8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8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8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8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8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8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8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8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8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8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8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8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8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8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8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8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8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8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8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8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8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8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8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8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8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8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8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8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8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8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8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8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8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8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8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8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8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8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8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8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8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8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8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8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C1" workbookViewId="0">
      <pane ySplit="1" topLeftCell="A2" activePane="bottomLeft" state="frozen"/>
      <selection pane="bottomLeft" activeCell="C6" sqref="C6:J9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4" t="s">
        <v>155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3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3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3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3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3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3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3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3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3">
        <v>3011</v>
      </c>
      <c r="L10" s="21" t="s">
        <v>99</v>
      </c>
      <c r="M10" s="21" t="s">
        <v>150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3">
        <v>3012</v>
      </c>
      <c r="L11" s="21" t="s">
        <v>100</v>
      </c>
      <c r="M11" s="21" t="s">
        <v>151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3">
        <v>3013</v>
      </c>
      <c r="L12" s="21" t="s">
        <v>101</v>
      </c>
      <c r="M12" s="21" t="s">
        <v>152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3">
        <v>3014</v>
      </c>
      <c r="L13" s="21" t="s">
        <v>102</v>
      </c>
      <c r="M13" s="21" t="s">
        <v>153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3">
        <v>3015</v>
      </c>
      <c r="L14" s="21" t="s">
        <v>103</v>
      </c>
      <c r="M14" s="21" t="s">
        <v>154</v>
      </c>
      <c r="N14" s="16">
        <f>IF(特性!H14&gt;0,(特性!I14 * 特性!G14) / 特性!H14,0)</f>
        <v>0</v>
      </c>
    </row>
    <row r="15" spans="1:14" x14ac:dyDescent="0.25">
      <c r="I15" s="17"/>
      <c r="J15" s="33"/>
      <c r="N15" s="16">
        <f>IF(特性!H15&gt;0,(特性!I15 * 特性!G15) / 特性!H15,0)</f>
        <v>0</v>
      </c>
    </row>
    <row r="16" spans="1:14" x14ac:dyDescent="0.25">
      <c r="I16" s="17"/>
      <c r="J16" s="33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14" sqref="C14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171</v>
      </c>
      <c r="E1" s="2" t="s">
        <v>42</v>
      </c>
      <c r="F1" s="2" t="s">
        <v>89</v>
      </c>
      <c r="G1" s="2" t="s">
        <v>43</v>
      </c>
      <c r="I1" s="20" t="s">
        <v>45</v>
      </c>
      <c r="J1" s="28"/>
      <c r="K1" s="28"/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3</v>
      </c>
      <c r="F2" s="12">
        <v>0.3</v>
      </c>
      <c r="G2" s="12">
        <v>1</v>
      </c>
      <c r="H2" s="24"/>
      <c r="I2" s="9" t="s">
        <v>124</v>
      </c>
      <c r="J2" s="29"/>
      <c r="K2" s="29"/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0.3</v>
      </c>
      <c r="G3" s="12">
        <v>1</v>
      </c>
      <c r="H3" s="24"/>
      <c r="I3" s="9" t="s">
        <v>125</v>
      </c>
      <c r="J3" s="29"/>
      <c r="K3" s="29"/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7</v>
      </c>
      <c r="F4" s="12">
        <v>0.3</v>
      </c>
      <c r="G4" s="12">
        <v>1</v>
      </c>
      <c r="H4" s="24"/>
      <c r="I4" s="9" t="s">
        <v>126</v>
      </c>
      <c r="J4" s="29"/>
      <c r="K4" s="29"/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9</v>
      </c>
      <c r="F5" s="12">
        <v>0.3</v>
      </c>
      <c r="G5" s="12">
        <v>1</v>
      </c>
      <c r="H5" s="24"/>
      <c r="I5" s="9" t="s">
        <v>127</v>
      </c>
      <c r="J5" s="30"/>
      <c r="K5" s="31"/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5</v>
      </c>
      <c r="E6" s="12">
        <v>11</v>
      </c>
      <c r="F6" s="12">
        <v>0.3</v>
      </c>
      <c r="G6" s="12">
        <v>1</v>
      </c>
      <c r="H6" s="24"/>
      <c r="I6" s="9" t="s">
        <v>128</v>
      </c>
      <c r="J6" s="32"/>
      <c r="K6" s="31"/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5</v>
      </c>
      <c r="F7" s="12">
        <v>0.25</v>
      </c>
      <c r="G7" s="12">
        <v>2</v>
      </c>
      <c r="H7" s="24"/>
      <c r="I7" s="9" t="s">
        <v>129</v>
      </c>
      <c r="J7" s="30"/>
      <c r="K7" s="31"/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8</v>
      </c>
      <c r="F8" s="12">
        <v>0.25</v>
      </c>
      <c r="G8" s="12">
        <v>2</v>
      </c>
      <c r="H8" s="24"/>
      <c r="I8" s="9" t="s">
        <v>130</v>
      </c>
      <c r="J8" s="32"/>
      <c r="K8" s="31"/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4</v>
      </c>
      <c r="E9" s="12">
        <v>11</v>
      </c>
      <c r="F9" s="12">
        <v>0.25</v>
      </c>
      <c r="G9" s="12">
        <v>2</v>
      </c>
      <c r="H9" s="24"/>
      <c r="I9" s="9" t="s">
        <v>131</v>
      </c>
      <c r="J9" s="30"/>
      <c r="K9" s="31"/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14</v>
      </c>
      <c r="F10" s="12">
        <v>0.25</v>
      </c>
      <c r="G10" s="12">
        <v>2</v>
      </c>
      <c r="H10" s="24"/>
      <c r="I10" s="9" t="s">
        <v>132</v>
      </c>
      <c r="J10" s="32"/>
      <c r="K10" s="31"/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6</v>
      </c>
      <c r="E11" s="12">
        <v>17</v>
      </c>
      <c r="F11" s="12">
        <v>0.25</v>
      </c>
      <c r="G11" s="12">
        <v>2</v>
      </c>
      <c r="H11" s="24"/>
      <c r="I11" s="9" t="s">
        <v>133</v>
      </c>
      <c r="J11" s="29"/>
      <c r="K11" s="29"/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0.8</v>
      </c>
      <c r="G12" s="12">
        <v>3</v>
      </c>
      <c r="H12" s="24"/>
      <c r="I12" s="9" t="s">
        <v>134</v>
      </c>
      <c r="J12" s="29"/>
      <c r="K12" s="29"/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0.8</v>
      </c>
      <c r="G13" s="12">
        <v>3</v>
      </c>
      <c r="H13" s="24"/>
      <c r="I13" s="9" t="s">
        <v>135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136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6</v>
      </c>
      <c r="E15" s="12">
        <v>10</v>
      </c>
      <c r="F15" s="12">
        <v>0.8</v>
      </c>
      <c r="G15" s="12">
        <v>3</v>
      </c>
      <c r="H15" s="24"/>
      <c r="I15" s="9" t="s">
        <v>137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7</v>
      </c>
      <c r="E16" s="12">
        <v>12</v>
      </c>
      <c r="F16" s="12">
        <v>0.8</v>
      </c>
      <c r="G16" s="12">
        <v>3</v>
      </c>
      <c r="H16" s="24"/>
      <c r="I16" s="9" t="s">
        <v>138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7" t="s">
        <v>10</v>
      </c>
      <c r="B1" s="37"/>
      <c r="C1" s="37" t="s">
        <v>16</v>
      </c>
      <c r="D1" s="37"/>
      <c r="E1" s="37" t="s">
        <v>38</v>
      </c>
      <c r="F1" s="38"/>
      <c r="G1" s="37" t="s">
        <v>37</v>
      </c>
      <c r="H1" s="38"/>
      <c r="I1" s="37" t="s">
        <v>46</v>
      </c>
      <c r="J1" s="38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2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5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6" t="str">
        <f>怪物!B1</f>
        <v>Mode</v>
      </c>
      <c r="C1" s="36" t="str">
        <f>怪物!C1</f>
        <v>StageID</v>
      </c>
      <c r="D1" s="36" t="str">
        <f>怪物!D1</f>
        <v>Enegry</v>
      </c>
      <c r="E1" s="36" t="str">
        <f>怪物!E1</f>
        <v>HP</v>
      </c>
      <c r="F1" s="36" t="str">
        <f>怪物!F1</f>
        <v>MoveSpeed</v>
      </c>
      <c r="G1" s="36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3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7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9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5</v>
      </c>
      <c r="E6" t="str">
        <f>ToResult(怪物!E6)</f>
        <v>11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5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8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4</v>
      </c>
      <c r="E9" t="str">
        <f>ToResult(怪物!E9)</f>
        <v>11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14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6</v>
      </c>
      <c r="E11" t="str">
        <f>ToResult(怪物!E11)</f>
        <v>17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6</v>
      </c>
      <c r="E15" t="str">
        <f>ToResult(怪物!E15)</f>
        <v>10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7</v>
      </c>
      <c r="E16" t="str">
        <f>ToResult(怪物!E16)</f>
        <v>12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2015-04-21T13:44:45Z</dcterms:modified>
</cp:coreProperties>
</file>