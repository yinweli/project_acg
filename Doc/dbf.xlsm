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2" l="1"/>
  <c r="K32" i="2"/>
  <c r="K33" i="2"/>
  <c r="K34" i="2"/>
  <c r="K35" i="2"/>
  <c r="K36" i="2"/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3" i="1"/>
  <c r="L3" i="1"/>
  <c r="N3" i="1"/>
  <c r="K4" i="1"/>
  <c r="L4" i="1"/>
  <c r="N4" i="1"/>
  <c r="K5" i="1"/>
  <c r="L5" i="1"/>
  <c r="N5" i="1"/>
  <c r="K6" i="1"/>
  <c r="L6" i="1"/>
  <c r="N6" i="1" s="1"/>
  <c r="K7" i="1"/>
  <c r="L7" i="1"/>
  <c r="N7" i="1"/>
  <c r="K8" i="1"/>
  <c r="L8" i="1"/>
  <c r="N8" i="1" s="1"/>
  <c r="K9" i="1"/>
  <c r="L9" i="1"/>
  <c r="N9" i="1"/>
  <c r="K10" i="1"/>
  <c r="L10" i="1"/>
  <c r="N10" i="1" s="1"/>
  <c r="K11" i="1"/>
  <c r="L11" i="1"/>
  <c r="N11" i="1" s="1"/>
  <c r="K12" i="1"/>
  <c r="L12" i="1"/>
  <c r="N12" i="1"/>
  <c r="K13" i="1"/>
  <c r="L13" i="1"/>
  <c r="N13" i="1"/>
  <c r="K14" i="1"/>
  <c r="L14" i="1"/>
  <c r="N14" i="1" s="1"/>
  <c r="K15" i="1"/>
  <c r="L15" i="1"/>
  <c r="N15" i="1"/>
  <c r="K16" i="1"/>
  <c r="L16" i="1"/>
  <c r="N16" i="1"/>
  <c r="K17" i="1"/>
  <c r="L17" i="1"/>
  <c r="N17" i="1"/>
  <c r="K18" i="1"/>
  <c r="L18" i="1"/>
  <c r="N18" i="1" s="1"/>
  <c r="K19" i="1"/>
  <c r="L19" i="1"/>
  <c r="N19" i="1"/>
  <c r="K20" i="1"/>
  <c r="L20" i="1"/>
  <c r="N20" i="1"/>
  <c r="K21" i="1"/>
  <c r="L21" i="1"/>
  <c r="N21" i="1"/>
  <c r="K22" i="1"/>
  <c r="L22" i="1"/>
  <c r="N22" i="1" s="1"/>
  <c r="K23" i="1"/>
  <c r="L23" i="1"/>
  <c r="N23" i="1"/>
  <c r="K24" i="1"/>
  <c r="L24" i="1"/>
  <c r="N24" i="1"/>
  <c r="K25" i="1"/>
  <c r="L25" i="1"/>
  <c r="N25" i="1"/>
  <c r="K26" i="1"/>
  <c r="L26" i="1"/>
  <c r="N26" i="1" s="1"/>
  <c r="K27" i="1"/>
  <c r="L27" i="1"/>
  <c r="N27" i="1"/>
  <c r="K28" i="1"/>
  <c r="L28" i="1"/>
  <c r="N28" i="1"/>
  <c r="K29" i="1"/>
  <c r="L29" i="1"/>
  <c r="N29" i="1"/>
  <c r="K30" i="1"/>
  <c r="L30" i="1"/>
  <c r="N30" i="1" s="1"/>
  <c r="K31" i="1"/>
  <c r="L31" i="1"/>
  <c r="N31" i="1"/>
  <c r="K32" i="1"/>
  <c r="L32" i="1"/>
  <c r="N32" i="1"/>
  <c r="K33" i="1"/>
  <c r="L33" i="1"/>
  <c r="N33" i="1"/>
  <c r="K34" i="1"/>
  <c r="L34" i="1"/>
  <c r="N34" i="1" s="1"/>
  <c r="K35" i="1"/>
  <c r="L35" i="1"/>
  <c r="N35" i="1"/>
  <c r="K36" i="1"/>
  <c r="L36" i="1"/>
  <c r="N36" i="1"/>
  <c r="K37" i="1"/>
  <c r="L37" i="1"/>
  <c r="N37" i="1"/>
  <c r="K38" i="1"/>
  <c r="L38" i="1"/>
  <c r="N38" i="1" s="1"/>
  <c r="K39" i="1"/>
  <c r="L39" i="1"/>
  <c r="N39" i="1"/>
  <c r="K40" i="1"/>
  <c r="L40" i="1"/>
  <c r="N40" i="1"/>
  <c r="K41" i="1"/>
  <c r="L41" i="1"/>
  <c r="N41" i="1"/>
  <c r="K42" i="1"/>
  <c r="L42" i="1"/>
  <c r="N42" i="1" s="1"/>
  <c r="K43" i="1"/>
  <c r="L43" i="1"/>
  <c r="N43" i="1"/>
  <c r="K44" i="1"/>
  <c r="L44" i="1"/>
  <c r="N44" i="1"/>
  <c r="K45" i="1"/>
  <c r="L45" i="1"/>
  <c r="N45" i="1"/>
  <c r="K46" i="1"/>
  <c r="L46" i="1"/>
  <c r="N46" i="1" s="1"/>
  <c r="K47" i="1"/>
  <c r="L47" i="1"/>
  <c r="N47" i="1"/>
  <c r="K48" i="1"/>
  <c r="L48" i="1"/>
  <c r="N48" i="1"/>
  <c r="K49" i="1"/>
  <c r="L49" i="1"/>
  <c r="N49" i="1"/>
  <c r="K50" i="1"/>
  <c r="L50" i="1"/>
  <c r="N50" i="1" s="1"/>
  <c r="K51" i="1"/>
  <c r="L51" i="1"/>
  <c r="N51" i="1"/>
  <c r="K52" i="1"/>
  <c r="L52" i="1"/>
  <c r="N52" i="1"/>
  <c r="K53" i="1"/>
  <c r="L53" i="1"/>
  <c r="N53" i="1"/>
  <c r="K54" i="1"/>
  <c r="L54" i="1"/>
  <c r="N54" i="1" s="1"/>
  <c r="K55" i="1"/>
  <c r="L55" i="1"/>
  <c r="N55" i="1"/>
  <c r="K56" i="1"/>
  <c r="L56" i="1"/>
  <c r="N56" i="1"/>
  <c r="K57" i="1"/>
  <c r="L57" i="1"/>
  <c r="N57" i="1"/>
  <c r="K58" i="1"/>
  <c r="L58" i="1"/>
  <c r="N58" i="1" s="1"/>
  <c r="K59" i="1"/>
  <c r="L59" i="1"/>
  <c r="N59" i="1"/>
  <c r="K60" i="1"/>
  <c r="L60" i="1"/>
  <c r="N60" i="1"/>
  <c r="K61" i="1"/>
  <c r="L61" i="1"/>
  <c r="N61" i="1"/>
  <c r="K62" i="1"/>
  <c r="L62" i="1"/>
  <c r="N62" i="1" s="1"/>
  <c r="K63" i="1"/>
  <c r="L63" i="1"/>
  <c r="N63" i="1"/>
  <c r="K64" i="1"/>
  <c r="L64" i="1"/>
  <c r="N64" i="1"/>
  <c r="K65" i="1"/>
  <c r="L65" i="1"/>
  <c r="N65" i="1"/>
  <c r="K66" i="1"/>
  <c r="L66" i="1"/>
  <c r="N66" i="1" s="1"/>
  <c r="K67" i="1"/>
  <c r="L67" i="1"/>
  <c r="N67" i="1"/>
  <c r="K68" i="1"/>
  <c r="L68" i="1"/>
  <c r="N68" i="1"/>
  <c r="K69" i="1"/>
  <c r="L69" i="1"/>
  <c r="N69" i="1"/>
  <c r="K70" i="1"/>
  <c r="L70" i="1"/>
  <c r="N70" i="1" s="1"/>
  <c r="K71" i="1"/>
  <c r="L71" i="1"/>
  <c r="N71" i="1"/>
  <c r="K72" i="1"/>
  <c r="L72" i="1"/>
  <c r="N72" i="1"/>
  <c r="K73" i="1"/>
  <c r="L73" i="1"/>
  <c r="N73" i="1"/>
  <c r="K74" i="1"/>
  <c r="L74" i="1"/>
  <c r="N74" i="1" s="1"/>
  <c r="K75" i="1"/>
  <c r="L75" i="1"/>
  <c r="N75" i="1"/>
  <c r="K76" i="1"/>
  <c r="L76" i="1"/>
  <c r="N76" i="1"/>
  <c r="K77" i="1"/>
  <c r="L77" i="1"/>
  <c r="N77" i="1"/>
  <c r="K78" i="1"/>
  <c r="L78" i="1"/>
  <c r="N78" i="1" s="1"/>
  <c r="K79" i="1"/>
  <c r="L79" i="1"/>
  <c r="N79" i="1"/>
  <c r="K80" i="1"/>
  <c r="L80" i="1"/>
  <c r="N80" i="1"/>
  <c r="K81" i="1"/>
  <c r="L81" i="1"/>
  <c r="N81" i="1"/>
  <c r="K82" i="1"/>
  <c r="L82" i="1"/>
  <c r="N82" i="1" s="1"/>
  <c r="K83" i="1"/>
  <c r="L83" i="1"/>
  <c r="N83" i="1"/>
  <c r="K84" i="1"/>
  <c r="L84" i="1"/>
  <c r="N84" i="1"/>
  <c r="K85" i="1"/>
  <c r="L85" i="1"/>
  <c r="N85" i="1"/>
  <c r="K86" i="1"/>
  <c r="L86" i="1"/>
  <c r="N86" i="1" s="1"/>
  <c r="K87" i="1"/>
  <c r="L87" i="1"/>
  <c r="N87" i="1"/>
  <c r="K88" i="1"/>
  <c r="L88" i="1"/>
  <c r="N88" i="1"/>
  <c r="K89" i="1"/>
  <c r="L89" i="1"/>
  <c r="N89" i="1"/>
  <c r="K90" i="1"/>
  <c r="L90" i="1"/>
  <c r="N90" i="1" s="1"/>
  <c r="K91" i="1"/>
  <c r="L91" i="1"/>
  <c r="N91" i="1"/>
  <c r="K92" i="1"/>
  <c r="L92" i="1"/>
  <c r="N92" i="1"/>
  <c r="K93" i="1"/>
  <c r="L93" i="1"/>
  <c r="N93" i="1"/>
  <c r="K94" i="1"/>
  <c r="L94" i="1"/>
  <c r="N94" i="1" s="1"/>
  <c r="K95" i="1"/>
  <c r="L95" i="1"/>
  <c r="N95" i="1"/>
  <c r="K96" i="1"/>
  <c r="L96" i="1"/>
  <c r="N96" i="1"/>
  <c r="K97" i="1"/>
  <c r="L97" i="1"/>
  <c r="N97" i="1"/>
  <c r="K98" i="1"/>
  <c r="L98" i="1"/>
  <c r="N98" i="1" s="1"/>
  <c r="K99" i="1"/>
  <c r="L99" i="1"/>
  <c r="N99" i="1"/>
  <c r="K100" i="1"/>
  <c r="L100" i="1"/>
  <c r="N100" i="1"/>
  <c r="K2" i="2"/>
  <c r="A3" i="10"/>
  <c r="E3" i="10"/>
  <c r="C4" i="10"/>
  <c r="A5" i="10"/>
  <c r="E5" i="10"/>
  <c r="C6" i="10"/>
  <c r="A7" i="10"/>
  <c r="E7" i="10"/>
  <c r="C8" i="10"/>
  <c r="A9" i="10"/>
  <c r="E9" i="10"/>
  <c r="C10" i="10"/>
  <c r="A11" i="10"/>
  <c r="E11" i="10"/>
  <c r="C12" i="10"/>
  <c r="A13" i="10"/>
  <c r="E13" i="10"/>
  <c r="C14" i="10"/>
  <c r="A15" i="10"/>
  <c r="E15" i="10"/>
  <c r="C16" i="10"/>
  <c r="A17" i="10"/>
  <c r="E17" i="10"/>
  <c r="C18" i="10"/>
  <c r="A19" i="10"/>
  <c r="E19" i="10"/>
  <c r="C20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B4" i="10"/>
  <c r="F4" i="10"/>
  <c r="D5" i="10"/>
  <c r="B6" i="10"/>
  <c r="F6" i="10"/>
  <c r="D7" i="10"/>
  <c r="B8" i="10"/>
  <c r="F8" i="10"/>
  <c r="D9" i="10"/>
  <c r="B10" i="10"/>
  <c r="F10" i="10"/>
  <c r="D11" i="10"/>
  <c r="B12" i="10"/>
  <c r="F12" i="10"/>
  <c r="D13" i="10"/>
  <c r="B14" i="10"/>
  <c r="F14" i="10"/>
  <c r="D15" i="10"/>
  <c r="B16" i="10"/>
  <c r="F16" i="10"/>
  <c r="D17" i="10"/>
  <c r="B18" i="10"/>
  <c r="F18" i="10"/>
  <c r="D19" i="10"/>
  <c r="B20" i="10"/>
  <c r="F20" i="10"/>
  <c r="D21" i="10"/>
  <c r="B22" i="10"/>
  <c r="F22" i="10"/>
  <c r="D23" i="10"/>
  <c r="B24" i="10"/>
  <c r="F24" i="10"/>
  <c r="D25" i="10"/>
  <c r="B26" i="10"/>
  <c r="F26" i="10"/>
  <c r="D27" i="10"/>
  <c r="B28" i="10"/>
  <c r="F28" i="10"/>
  <c r="D29" i="10"/>
  <c r="B30" i="10"/>
  <c r="F30" i="10"/>
  <c r="D31" i="10"/>
  <c r="B32" i="10"/>
  <c r="F32" i="10"/>
  <c r="D33" i="10"/>
  <c r="B34" i="10"/>
  <c r="F34" i="10"/>
  <c r="D35" i="10"/>
  <c r="B36" i="10"/>
  <c r="F36" i="10"/>
  <c r="D37" i="10"/>
  <c r="B38" i="10"/>
  <c r="F38" i="10"/>
  <c r="D39" i="10"/>
  <c r="B40" i="10"/>
  <c r="F40" i="10"/>
  <c r="D41" i="10"/>
  <c r="B42" i="10"/>
  <c r="F42" i="10"/>
  <c r="D43" i="10"/>
  <c r="B44" i="10"/>
  <c r="F44" i="10"/>
  <c r="D45" i="10"/>
  <c r="B46" i="10"/>
  <c r="F46" i="10"/>
  <c r="D47" i="10"/>
  <c r="B48" i="10"/>
  <c r="F48" i="10"/>
  <c r="D49" i="10"/>
  <c r="B50" i="10"/>
  <c r="F50" i="10"/>
  <c r="D51" i="10"/>
  <c r="B52" i="10"/>
  <c r="F52" i="10"/>
  <c r="D53" i="10"/>
  <c r="B54" i="10"/>
  <c r="F54" i="10"/>
  <c r="D55" i="10"/>
  <c r="B56" i="10"/>
  <c r="F56" i="10"/>
  <c r="D57" i="10"/>
  <c r="B58" i="10"/>
  <c r="F58" i="10"/>
  <c r="D59" i="10"/>
  <c r="B60" i="10"/>
  <c r="F60" i="10"/>
  <c r="D61" i="10"/>
  <c r="B62" i="10"/>
  <c r="F62" i="10"/>
  <c r="D63" i="10"/>
  <c r="B64" i="10"/>
  <c r="F64" i="10"/>
  <c r="D65" i="10"/>
  <c r="B66" i="10"/>
  <c r="F66" i="10"/>
  <c r="D67" i="10"/>
  <c r="B68" i="10"/>
  <c r="F68" i="10"/>
  <c r="D69" i="10"/>
  <c r="B70" i="10"/>
  <c r="F70" i="10"/>
  <c r="D71" i="10"/>
  <c r="B72" i="10"/>
  <c r="F72" i="10"/>
  <c r="D73" i="10"/>
  <c r="B74" i="10"/>
  <c r="F74" i="10"/>
  <c r="D75" i="10"/>
  <c r="B76" i="10"/>
  <c r="F76" i="10"/>
  <c r="D77" i="10"/>
  <c r="B78" i="10"/>
  <c r="F78" i="10"/>
  <c r="D79" i="10"/>
  <c r="B80" i="10"/>
  <c r="F80" i="10"/>
  <c r="D81" i="10"/>
  <c r="B82" i="10"/>
  <c r="F82" i="10"/>
  <c r="D83" i="10"/>
  <c r="B84" i="10"/>
  <c r="F84" i="10"/>
  <c r="D85" i="10"/>
  <c r="B86" i="10"/>
  <c r="F86" i="10"/>
  <c r="D87" i="10"/>
  <c r="B3" i="10"/>
  <c r="F5" i="10"/>
  <c r="B7" i="10"/>
  <c r="D8" i="10"/>
  <c r="F9" i="10"/>
  <c r="B11" i="10"/>
  <c r="D12" i="10"/>
  <c r="F13" i="10"/>
  <c r="B15" i="10"/>
  <c r="D16" i="10"/>
  <c r="F17" i="10"/>
  <c r="B19" i="10"/>
  <c r="D20" i="10"/>
  <c r="F21" i="10"/>
  <c r="B23" i="10"/>
  <c r="D24" i="10"/>
  <c r="F25" i="10"/>
  <c r="B27" i="10"/>
  <c r="D28" i="10"/>
  <c r="F29" i="10"/>
  <c r="B31" i="10"/>
  <c r="D32" i="10"/>
  <c r="C3" i="10"/>
  <c r="E4" i="10"/>
  <c r="A6" i="10"/>
  <c r="C7" i="10"/>
  <c r="E8" i="10"/>
  <c r="A10" i="10"/>
  <c r="C11" i="10"/>
  <c r="E12" i="10"/>
  <c r="A14" i="10"/>
  <c r="C15" i="10"/>
  <c r="E16" i="10"/>
  <c r="A18" i="10"/>
  <c r="C19" i="10"/>
  <c r="E20" i="10"/>
  <c r="A22" i="10"/>
  <c r="C23" i="10"/>
  <c r="E24" i="10"/>
  <c r="A26" i="10"/>
  <c r="C27" i="10"/>
  <c r="E28" i="10"/>
  <c r="A30" i="10"/>
  <c r="C31" i="10"/>
  <c r="E32" i="10"/>
  <c r="A34" i="10"/>
  <c r="C35" i="10"/>
  <c r="E36" i="10"/>
  <c r="A38" i="10"/>
  <c r="C39" i="10"/>
  <c r="E40" i="10"/>
  <c r="A42" i="10"/>
  <c r="C43" i="10"/>
  <c r="E44" i="10"/>
  <c r="A46" i="10"/>
  <c r="C47" i="10"/>
  <c r="E48" i="10"/>
  <c r="A50" i="10"/>
  <c r="C51" i="10"/>
  <c r="E52" i="10"/>
  <c r="A54" i="10"/>
  <c r="C55" i="10"/>
  <c r="E56" i="10"/>
  <c r="A58" i="10"/>
  <c r="C59" i="10"/>
  <c r="E60" i="10"/>
  <c r="A62" i="10"/>
  <c r="C63" i="10"/>
  <c r="E64" i="10"/>
  <c r="A66" i="10"/>
  <c r="C67" i="10"/>
  <c r="E68" i="10"/>
  <c r="A70" i="10"/>
  <c r="C71" i="10"/>
  <c r="E72" i="10"/>
  <c r="A74" i="10"/>
  <c r="C75" i="10"/>
  <c r="E76" i="10"/>
  <c r="A78" i="10"/>
  <c r="C79" i="10"/>
  <c r="C80" i="10"/>
  <c r="B81" i="10"/>
  <c r="A82" i="10"/>
  <c r="A83" i="10"/>
  <c r="F83" i="10"/>
  <c r="E84" i="10"/>
  <c r="E85" i="10"/>
  <c r="D86" i="10"/>
  <c r="C87" i="10"/>
  <c r="B88" i="10"/>
  <c r="F88" i="10"/>
  <c r="D89" i="10"/>
  <c r="B90" i="10"/>
  <c r="F90" i="10"/>
  <c r="D91" i="10"/>
  <c r="B92" i="10"/>
  <c r="F92" i="10"/>
  <c r="D93" i="10"/>
  <c r="B94" i="10"/>
  <c r="F94" i="10"/>
  <c r="D95" i="10"/>
  <c r="B96" i="10"/>
  <c r="F96" i="10"/>
  <c r="D97" i="10"/>
  <c r="B98" i="10"/>
  <c r="F98" i="10"/>
  <c r="D99" i="10"/>
  <c r="B100" i="10"/>
  <c r="F100" i="10"/>
  <c r="F3" i="10"/>
  <c r="B5" i="10"/>
  <c r="D6" i="10"/>
  <c r="F7" i="10"/>
  <c r="B9" i="10"/>
  <c r="D10" i="10"/>
  <c r="F11" i="10"/>
  <c r="B13" i="10"/>
  <c r="D14" i="10"/>
  <c r="F15" i="10"/>
  <c r="B17" i="10"/>
  <c r="D18" i="10"/>
  <c r="F19" i="10"/>
  <c r="B21" i="10"/>
  <c r="D22" i="10"/>
  <c r="F23" i="10"/>
  <c r="B25" i="10"/>
  <c r="D26" i="10"/>
  <c r="F27" i="10"/>
  <c r="B29" i="10"/>
  <c r="D30" i="10"/>
  <c r="F31" i="10"/>
  <c r="B33" i="10"/>
  <c r="D34" i="10"/>
  <c r="F35" i="10"/>
  <c r="B37" i="10"/>
  <c r="D38" i="10"/>
  <c r="F39" i="10"/>
  <c r="B41" i="10"/>
  <c r="D42" i="10"/>
  <c r="F43" i="10"/>
  <c r="B45" i="10"/>
  <c r="D46" i="10"/>
  <c r="F47" i="10"/>
  <c r="B49" i="10"/>
  <c r="D50" i="10"/>
  <c r="F51" i="10"/>
  <c r="B53" i="10"/>
  <c r="D54" i="10"/>
  <c r="F55" i="10"/>
  <c r="A4" i="10"/>
  <c r="C5" i="10"/>
  <c r="E6" i="10"/>
  <c r="A8" i="10"/>
  <c r="C9" i="10"/>
  <c r="E10" i="10"/>
  <c r="A12" i="10"/>
  <c r="C13" i="10"/>
  <c r="E14" i="10"/>
  <c r="A16" i="10"/>
  <c r="C17" i="10"/>
  <c r="E18" i="10"/>
  <c r="A20" i="10"/>
  <c r="C21" i="10"/>
  <c r="E22" i="10"/>
  <c r="A24" i="10"/>
  <c r="C25" i="10"/>
  <c r="E26" i="10"/>
  <c r="A28" i="10"/>
  <c r="C29" i="10"/>
  <c r="E30" i="10"/>
  <c r="A32" i="10"/>
  <c r="C33" i="10"/>
  <c r="E34" i="10"/>
  <c r="A36" i="10"/>
  <c r="C37" i="10"/>
  <c r="E38" i="10"/>
  <c r="A40" i="10"/>
  <c r="C41" i="10"/>
  <c r="E42" i="10"/>
  <c r="A44" i="10"/>
  <c r="C45" i="10"/>
  <c r="E46" i="10"/>
  <c r="A48" i="10"/>
  <c r="C49" i="10"/>
  <c r="E50" i="10"/>
  <c r="A52" i="10"/>
  <c r="C53" i="10"/>
  <c r="E54" i="10"/>
  <c r="A56" i="10"/>
  <c r="C57" i="10"/>
  <c r="E58" i="10"/>
  <c r="A60" i="10"/>
  <c r="C61" i="10"/>
  <c r="E62" i="10"/>
  <c r="A64" i="10"/>
  <c r="C65" i="10"/>
  <c r="E66" i="10"/>
  <c r="A68" i="10"/>
  <c r="C69" i="10"/>
  <c r="E70" i="10"/>
  <c r="A72" i="10"/>
  <c r="C73" i="10"/>
  <c r="E74" i="10"/>
  <c r="A76" i="10"/>
  <c r="C77" i="10"/>
  <c r="E78" i="10"/>
  <c r="F79" i="10"/>
  <c r="E80" i="10"/>
  <c r="E81" i="10"/>
  <c r="D82" i="10"/>
  <c r="C83" i="10"/>
  <c r="C84" i="10"/>
  <c r="B85" i="10"/>
  <c r="A86" i="10"/>
  <c r="A87" i="10"/>
  <c r="F87" i="10"/>
  <c r="D88" i="10"/>
  <c r="B89" i="10"/>
  <c r="F89" i="10"/>
  <c r="D90" i="10"/>
  <c r="B91" i="10"/>
  <c r="F91" i="10"/>
  <c r="D92" i="10"/>
  <c r="B93" i="10"/>
  <c r="F93" i="10"/>
  <c r="D94" i="10"/>
  <c r="B95" i="10"/>
  <c r="F95" i="10"/>
  <c r="D96" i="10"/>
  <c r="B97" i="10"/>
  <c r="F97" i="10"/>
  <c r="D98" i="10"/>
  <c r="B99" i="10"/>
  <c r="F99" i="10"/>
  <c r="D100" i="10"/>
  <c r="F33" i="10"/>
  <c r="B39" i="10"/>
  <c r="D44" i="10"/>
  <c r="F49" i="10"/>
  <c r="B55" i="10"/>
  <c r="D58" i="10"/>
  <c r="B61" i="10"/>
  <c r="F63" i="10"/>
  <c r="D66" i="10"/>
  <c r="B69" i="10"/>
  <c r="F71" i="10"/>
  <c r="D74" i="10"/>
  <c r="B77" i="10"/>
  <c r="E79" i="10"/>
  <c r="C81" i="10"/>
  <c r="B83" i="10"/>
  <c r="A85" i="10"/>
  <c r="E86" i="10"/>
  <c r="C88" i="10"/>
  <c r="E89" i="10"/>
  <c r="A91" i="10"/>
  <c r="C92" i="10"/>
  <c r="E93" i="10"/>
  <c r="A95" i="10"/>
  <c r="C96" i="10"/>
  <c r="E97" i="10"/>
  <c r="A99" i="10"/>
  <c r="C100" i="10"/>
  <c r="F41" i="10"/>
  <c r="D62" i="10"/>
  <c r="D70" i="10"/>
  <c r="F75" i="10"/>
  <c r="D80" i="10"/>
  <c r="C82" i="10"/>
  <c r="F85" i="10"/>
  <c r="A89" i="10"/>
  <c r="E91" i="10"/>
  <c r="C94" i="10"/>
  <c r="A97" i="10"/>
  <c r="E99" i="10"/>
  <c r="F73" i="10"/>
  <c r="C89" i="10"/>
  <c r="C93" i="10"/>
  <c r="A96" i="10"/>
  <c r="A100" i="10"/>
  <c r="B35" i="10"/>
  <c r="D40" i="10"/>
  <c r="F45" i="10"/>
  <c r="B51" i="10"/>
  <c r="D56" i="10"/>
  <c r="B59" i="10"/>
  <c r="F61" i="10"/>
  <c r="D64" i="10"/>
  <c r="B67" i="10"/>
  <c r="F69" i="10"/>
  <c r="D72" i="10"/>
  <c r="B75" i="10"/>
  <c r="F77" i="10"/>
  <c r="A80" i="10"/>
  <c r="F81" i="10"/>
  <c r="E83" i="10"/>
  <c r="C85" i="10"/>
  <c r="B87" i="10"/>
  <c r="E88" i="10"/>
  <c r="A90" i="10"/>
  <c r="C91" i="10"/>
  <c r="E92" i="10"/>
  <c r="A94" i="10"/>
  <c r="C95" i="10"/>
  <c r="E96" i="10"/>
  <c r="A98" i="10"/>
  <c r="C99" i="10"/>
  <c r="E100" i="10"/>
  <c r="D36" i="10"/>
  <c r="B47" i="10"/>
  <c r="D52" i="10"/>
  <c r="B57" i="10"/>
  <c r="F59" i="10"/>
  <c r="B65" i="10"/>
  <c r="F67" i="10"/>
  <c r="B73" i="10"/>
  <c r="D78" i="10"/>
  <c r="A84" i="10"/>
  <c r="E87" i="10"/>
  <c r="C90" i="10"/>
  <c r="A93" i="10"/>
  <c r="E95" i="10"/>
  <c r="C98" i="10"/>
  <c r="D76" i="10"/>
  <c r="A88" i="10"/>
  <c r="A92" i="10"/>
  <c r="E98" i="10"/>
  <c r="F37" i="10"/>
  <c r="B43" i="10"/>
  <c r="D48" i="10"/>
  <c r="F53" i="10"/>
  <c r="F57" i="10"/>
  <c r="D60" i="10"/>
  <c r="B63" i="10"/>
  <c r="F65" i="10"/>
  <c r="D68" i="10"/>
  <c r="B71" i="10"/>
  <c r="B79" i="10"/>
  <c r="A81" i="10"/>
  <c r="E82" i="10"/>
  <c r="D84" i="10"/>
  <c r="C86" i="10"/>
  <c r="E90" i="10"/>
  <c r="E94" i="10"/>
  <c r="C97" i="10"/>
  <c r="A3" i="9"/>
  <c r="E3" i="9"/>
  <c r="A4" i="9"/>
  <c r="E4" i="9"/>
  <c r="A5" i="9"/>
  <c r="E5" i="9"/>
  <c r="A6" i="9"/>
  <c r="E6" i="9"/>
  <c r="A7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A38" i="9"/>
  <c r="E38" i="9"/>
  <c r="A39" i="9"/>
  <c r="E39" i="9"/>
  <c r="A40" i="9"/>
  <c r="E40" i="9"/>
  <c r="A41" i="9"/>
  <c r="E41" i="9"/>
  <c r="A42" i="9"/>
  <c r="E42" i="9"/>
  <c r="A43" i="9"/>
  <c r="E43" i="9"/>
  <c r="A44" i="9"/>
  <c r="E44" i="9"/>
  <c r="A45" i="9"/>
  <c r="E45" i="9"/>
  <c r="A46" i="9"/>
  <c r="E46" i="9"/>
  <c r="A47" i="9"/>
  <c r="E47" i="9"/>
  <c r="A48" i="9"/>
  <c r="E48" i="9"/>
  <c r="A49" i="9"/>
  <c r="D3" i="9"/>
  <c r="H3" i="9"/>
  <c r="D4" i="9"/>
  <c r="H4" i="9"/>
  <c r="D5" i="9"/>
  <c r="H5" i="9"/>
  <c r="D6" i="9"/>
  <c r="H6" i="9"/>
  <c r="D7" i="9"/>
  <c r="H7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D26" i="9"/>
  <c r="D27" i="9"/>
  <c r="D28" i="9"/>
  <c r="D29" i="9"/>
  <c r="D30" i="9"/>
  <c r="D38" i="9"/>
  <c r="H38" i="9"/>
  <c r="D39" i="9"/>
  <c r="H39" i="9"/>
  <c r="D40" i="9"/>
  <c r="H40" i="9"/>
  <c r="D41" i="9"/>
  <c r="H41" i="9"/>
  <c r="D42" i="9"/>
  <c r="H42" i="9"/>
  <c r="D43" i="9"/>
  <c r="H43" i="9"/>
  <c r="D44" i="9"/>
  <c r="H44" i="9"/>
  <c r="D45" i="9"/>
  <c r="H45" i="9"/>
  <c r="D46" i="9"/>
  <c r="H46" i="9"/>
  <c r="D47" i="9"/>
  <c r="H47" i="9"/>
  <c r="D48" i="9"/>
  <c r="H48" i="9"/>
  <c r="D49" i="9"/>
  <c r="H49" i="9"/>
  <c r="D50" i="9"/>
  <c r="H50" i="9"/>
  <c r="D51" i="9"/>
  <c r="H51" i="9"/>
  <c r="D52" i="9"/>
  <c r="H52" i="9"/>
  <c r="D53" i="9"/>
  <c r="H53" i="9"/>
  <c r="D54" i="9"/>
  <c r="H54" i="9"/>
  <c r="D55" i="9"/>
  <c r="H55" i="9"/>
  <c r="D56" i="9"/>
  <c r="H56" i="9"/>
  <c r="D57" i="9"/>
  <c r="H57" i="9"/>
  <c r="D58" i="9"/>
  <c r="H58" i="9"/>
  <c r="D59" i="9"/>
  <c r="H59" i="9"/>
  <c r="D60" i="9"/>
  <c r="H60" i="9"/>
  <c r="D61" i="9"/>
  <c r="H61" i="9"/>
  <c r="D62" i="9"/>
  <c r="H62" i="9"/>
  <c r="D63" i="9"/>
  <c r="H63" i="9"/>
  <c r="D64" i="9"/>
  <c r="H64" i="9"/>
  <c r="D65" i="9"/>
  <c r="H65" i="9"/>
  <c r="D66" i="9"/>
  <c r="B3" i="9"/>
  <c r="B4" i="9"/>
  <c r="B5" i="9"/>
  <c r="B6" i="9"/>
  <c r="B7" i="9"/>
  <c r="B38" i="9"/>
  <c r="B39" i="9"/>
  <c r="B40" i="9"/>
  <c r="B41" i="9"/>
  <c r="B42" i="9"/>
  <c r="B43" i="9"/>
  <c r="B44" i="9"/>
  <c r="B45" i="9"/>
  <c r="B46" i="9"/>
  <c r="B47" i="9"/>
  <c r="B48" i="9"/>
  <c r="B49" i="9"/>
  <c r="G49" i="9"/>
  <c r="E50" i="9"/>
  <c r="B51" i="9"/>
  <c r="G51" i="9"/>
  <c r="E52" i="9"/>
  <c r="B53" i="9"/>
  <c r="G53" i="9"/>
  <c r="E54" i="9"/>
  <c r="B55" i="9"/>
  <c r="G55" i="9"/>
  <c r="E56" i="9"/>
  <c r="B57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8" i="9"/>
  <c r="C39" i="9"/>
  <c r="C40" i="9"/>
  <c r="C41" i="9"/>
  <c r="C42" i="9"/>
  <c r="C43" i="9"/>
  <c r="C44" i="9"/>
  <c r="C45" i="9"/>
  <c r="C46" i="9"/>
  <c r="C47" i="9"/>
  <c r="C48" i="9"/>
  <c r="C49" i="9"/>
  <c r="A50" i="9"/>
  <c r="F50" i="9"/>
  <c r="C51" i="9"/>
  <c r="A52" i="9"/>
  <c r="F52" i="9"/>
  <c r="C53" i="9"/>
  <c r="A54" i="9"/>
  <c r="F54" i="9"/>
  <c r="C55" i="9"/>
  <c r="A56" i="9"/>
  <c r="F56" i="9"/>
  <c r="C57" i="9"/>
  <c r="A58" i="9"/>
  <c r="F58" i="9"/>
  <c r="C59" i="9"/>
  <c r="A60" i="9"/>
  <c r="F60" i="9"/>
  <c r="C61" i="9"/>
  <c r="A62" i="9"/>
  <c r="F62" i="9"/>
  <c r="C63" i="9"/>
  <c r="A64" i="9"/>
  <c r="F64" i="9"/>
  <c r="C65" i="9"/>
  <c r="A66" i="9"/>
  <c r="F66" i="9"/>
  <c r="B67" i="9"/>
  <c r="F67" i="9"/>
  <c r="B68" i="9"/>
  <c r="F68" i="9"/>
  <c r="B69" i="9"/>
  <c r="F69" i="9"/>
  <c r="B70" i="9"/>
  <c r="F70" i="9"/>
  <c r="B71" i="9"/>
  <c r="F71" i="9"/>
  <c r="B72" i="9"/>
  <c r="F72" i="9"/>
  <c r="B73" i="9"/>
  <c r="F73" i="9"/>
  <c r="B74" i="9"/>
  <c r="F74" i="9"/>
  <c r="B75" i="9"/>
  <c r="F75" i="9"/>
  <c r="B76" i="9"/>
  <c r="F76" i="9"/>
  <c r="B77" i="9"/>
  <c r="F77" i="9"/>
  <c r="B78" i="9"/>
  <c r="F78" i="9"/>
  <c r="B79" i="9"/>
  <c r="F79" i="9"/>
  <c r="B80" i="9"/>
  <c r="F80" i="9"/>
  <c r="B81" i="9"/>
  <c r="F81" i="9"/>
  <c r="B82" i="9"/>
  <c r="F82" i="9"/>
  <c r="B83" i="9"/>
  <c r="F83" i="9"/>
  <c r="B84" i="9"/>
  <c r="F84" i="9"/>
  <c r="B85" i="9"/>
  <c r="F85" i="9"/>
  <c r="B86" i="9"/>
  <c r="F86" i="9"/>
  <c r="B87" i="9"/>
  <c r="F87" i="9"/>
  <c r="B88" i="9"/>
  <c r="F88" i="9"/>
  <c r="B89" i="9"/>
  <c r="F89" i="9"/>
  <c r="B90" i="9"/>
  <c r="F90" i="9"/>
  <c r="B91" i="9"/>
  <c r="F91" i="9"/>
  <c r="B92" i="9"/>
  <c r="F92" i="9"/>
  <c r="B93" i="9"/>
  <c r="F93" i="9"/>
  <c r="F3" i="9"/>
  <c r="F5" i="9"/>
  <c r="F7" i="9"/>
  <c r="F9" i="9"/>
  <c r="F11" i="9"/>
  <c r="F13" i="9"/>
  <c r="F15" i="9"/>
  <c r="F17" i="9"/>
  <c r="F19" i="9"/>
  <c r="F21" i="9"/>
  <c r="F23" i="9"/>
  <c r="F25" i="9"/>
  <c r="F27" i="9"/>
  <c r="F29" i="9"/>
  <c r="F39" i="9"/>
  <c r="F41" i="9"/>
  <c r="F43" i="9"/>
  <c r="F45" i="9"/>
  <c r="F47" i="9"/>
  <c r="E49" i="9"/>
  <c r="G50" i="9"/>
  <c r="B52" i="9"/>
  <c r="E53" i="9"/>
  <c r="G54" i="9"/>
  <c r="B56" i="9"/>
  <c r="E57" i="9"/>
  <c r="C58" i="9"/>
  <c r="B59" i="9"/>
  <c r="B60" i="9"/>
  <c r="A61" i="9"/>
  <c r="G61" i="9"/>
  <c r="G62" i="9"/>
  <c r="F63" i="9"/>
  <c r="E64" i="9"/>
  <c r="E65" i="9"/>
  <c r="C66" i="9"/>
  <c r="A67" i="9"/>
  <c r="G67" i="9"/>
  <c r="D68" i="9"/>
  <c r="A69" i="9"/>
  <c r="G69" i="9"/>
  <c r="D70" i="9"/>
  <c r="A71" i="9"/>
  <c r="G71" i="9"/>
  <c r="D72" i="9"/>
  <c r="A73" i="9"/>
  <c r="G73" i="9"/>
  <c r="D74" i="9"/>
  <c r="A75" i="9"/>
  <c r="G75" i="9"/>
  <c r="D76" i="9"/>
  <c r="A77" i="9"/>
  <c r="G77" i="9"/>
  <c r="D78" i="9"/>
  <c r="A79" i="9"/>
  <c r="G79" i="9"/>
  <c r="D80" i="9"/>
  <c r="A81" i="9"/>
  <c r="G81" i="9"/>
  <c r="D82" i="9"/>
  <c r="A83" i="9"/>
  <c r="G83" i="9"/>
  <c r="D84" i="9"/>
  <c r="A85" i="9"/>
  <c r="G85" i="9"/>
  <c r="D86" i="9"/>
  <c r="A87" i="9"/>
  <c r="G87" i="9"/>
  <c r="D88" i="9"/>
  <c r="A89" i="9"/>
  <c r="G89" i="9"/>
  <c r="D90" i="9"/>
  <c r="A91" i="9"/>
  <c r="G91" i="9"/>
  <c r="D92" i="9"/>
  <c r="A93" i="9"/>
  <c r="G93" i="9"/>
  <c r="C94" i="9"/>
  <c r="G94" i="9"/>
  <c r="C95" i="9"/>
  <c r="G95" i="9"/>
  <c r="C96" i="9"/>
  <c r="G96" i="9"/>
  <c r="C97" i="9"/>
  <c r="G97" i="9"/>
  <c r="C98" i="9"/>
  <c r="G98" i="9"/>
  <c r="C99" i="9"/>
  <c r="G99" i="9"/>
  <c r="C100" i="9"/>
  <c r="G100" i="9"/>
  <c r="G82" i="9"/>
  <c r="D89" i="9"/>
  <c r="D91" i="9"/>
  <c r="G92" i="9"/>
  <c r="A94" i="9"/>
  <c r="E94" i="9"/>
  <c r="E95" i="9"/>
  <c r="E96" i="9"/>
  <c r="E97" i="9"/>
  <c r="E98" i="9"/>
  <c r="A99" i="9"/>
  <c r="A100" i="9"/>
  <c r="G6" i="9"/>
  <c r="G38" i="9"/>
  <c r="G42" i="9"/>
  <c r="G46" i="9"/>
  <c r="C50" i="9"/>
  <c r="A53" i="9"/>
  <c r="F55" i="9"/>
  <c r="B58" i="9"/>
  <c r="G59" i="9"/>
  <c r="G60" i="9"/>
  <c r="E62" i="9"/>
  <c r="C64" i="9"/>
  <c r="B66" i="9"/>
  <c r="E67" i="9"/>
  <c r="H68" i="9"/>
  <c r="C70" i="9"/>
  <c r="E71" i="9"/>
  <c r="H72" i="9"/>
  <c r="C74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9" i="9"/>
  <c r="G41" i="9"/>
  <c r="G43" i="9"/>
  <c r="G45" i="9"/>
  <c r="G47" i="9"/>
  <c r="F49" i="9"/>
  <c r="A51" i="9"/>
  <c r="C52" i="9"/>
  <c r="F53" i="9"/>
  <c r="A55" i="9"/>
  <c r="C56" i="9"/>
  <c r="F57" i="9"/>
  <c r="E58" i="9"/>
  <c r="E59" i="9"/>
  <c r="C60" i="9"/>
  <c r="B61" i="9"/>
  <c r="B62" i="9"/>
  <c r="A63" i="9"/>
  <c r="G63" i="9"/>
  <c r="G64" i="9"/>
  <c r="F65" i="9"/>
  <c r="E66" i="9"/>
  <c r="C67" i="9"/>
  <c r="H67" i="9"/>
  <c r="E68" i="9"/>
  <c r="C69" i="9"/>
  <c r="H69" i="9"/>
  <c r="E70" i="9"/>
  <c r="C71" i="9"/>
  <c r="H71" i="9"/>
  <c r="E72" i="9"/>
  <c r="C73" i="9"/>
  <c r="H73" i="9"/>
  <c r="E74" i="9"/>
  <c r="C75" i="9"/>
  <c r="H75" i="9"/>
  <c r="E76" i="9"/>
  <c r="C77" i="9"/>
  <c r="H77" i="9"/>
  <c r="E78" i="9"/>
  <c r="C79" i="9"/>
  <c r="H79" i="9"/>
  <c r="E80" i="9"/>
  <c r="C81" i="9"/>
  <c r="H81" i="9"/>
  <c r="E82" i="9"/>
  <c r="C83" i="9"/>
  <c r="H83" i="9"/>
  <c r="E84" i="9"/>
  <c r="C85" i="9"/>
  <c r="H85" i="9"/>
  <c r="E86" i="9"/>
  <c r="C87" i="9"/>
  <c r="H87" i="9"/>
  <c r="E88" i="9"/>
  <c r="C89" i="9"/>
  <c r="H89" i="9"/>
  <c r="E90" i="9"/>
  <c r="C91" i="9"/>
  <c r="H91" i="9"/>
  <c r="E92" i="9"/>
  <c r="C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F4" i="9"/>
  <c r="F6" i="9"/>
  <c r="F8" i="9"/>
  <c r="F10" i="9"/>
  <c r="F12" i="9"/>
  <c r="F14" i="9"/>
  <c r="F16" i="9"/>
  <c r="F18" i="9"/>
  <c r="F20" i="9"/>
  <c r="F22" i="9"/>
  <c r="F24" i="9"/>
  <c r="F26" i="9"/>
  <c r="F28" i="9"/>
  <c r="F30" i="9"/>
  <c r="F38" i="9"/>
  <c r="F40" i="9"/>
  <c r="F42" i="9"/>
  <c r="F44" i="9"/>
  <c r="F46" i="9"/>
  <c r="F48" i="9"/>
  <c r="B50" i="9"/>
  <c r="E51" i="9"/>
  <c r="G52" i="9"/>
  <c r="B54" i="9"/>
  <c r="E55" i="9"/>
  <c r="G56" i="9"/>
  <c r="G57" i="9"/>
  <c r="G58" i="9"/>
  <c r="F59" i="9"/>
  <c r="E60" i="9"/>
  <c r="E61" i="9"/>
  <c r="C62" i="9"/>
  <c r="B63" i="9"/>
  <c r="B64" i="9"/>
  <c r="A65" i="9"/>
  <c r="G65" i="9"/>
  <c r="G66" i="9"/>
  <c r="D67" i="9"/>
  <c r="A68" i="9"/>
  <c r="G68" i="9"/>
  <c r="D69" i="9"/>
  <c r="A70" i="9"/>
  <c r="G70" i="9"/>
  <c r="D71" i="9"/>
  <c r="A72" i="9"/>
  <c r="G72" i="9"/>
  <c r="D73" i="9"/>
  <c r="A74" i="9"/>
  <c r="G74" i="9"/>
  <c r="D75" i="9"/>
  <c r="A76" i="9"/>
  <c r="G76" i="9"/>
  <c r="D77" i="9"/>
  <c r="A78" i="9"/>
  <c r="G78" i="9"/>
  <c r="D79" i="9"/>
  <c r="A80" i="9"/>
  <c r="G80" i="9"/>
  <c r="D81" i="9"/>
  <c r="A82" i="9"/>
  <c r="D83" i="9"/>
  <c r="A84" i="9"/>
  <c r="G84" i="9"/>
  <c r="D85" i="9"/>
  <c r="A86" i="9"/>
  <c r="G86" i="9"/>
  <c r="D87" i="9"/>
  <c r="A88" i="9"/>
  <c r="G88" i="9"/>
  <c r="A90" i="9"/>
  <c r="G90" i="9"/>
  <c r="A92" i="9"/>
  <c r="D93" i="9"/>
  <c r="A95" i="9"/>
  <c r="A96" i="9"/>
  <c r="A97" i="9"/>
  <c r="A98" i="9"/>
  <c r="E99" i="9"/>
  <c r="E100" i="9"/>
  <c r="G4" i="9"/>
  <c r="G8" i="9"/>
  <c r="G10" i="9"/>
  <c r="G12" i="9"/>
  <c r="G14" i="9"/>
  <c r="G16" i="9"/>
  <c r="G18" i="9"/>
  <c r="G20" i="9"/>
  <c r="G22" i="9"/>
  <c r="G24" i="9"/>
  <c r="G26" i="9"/>
  <c r="G28" i="9"/>
  <c r="G30" i="9"/>
  <c r="G40" i="9"/>
  <c r="G44" i="9"/>
  <c r="G48" i="9"/>
  <c r="F51" i="9"/>
  <c r="C54" i="9"/>
  <c r="A57" i="9"/>
  <c r="A59" i="9"/>
  <c r="F61" i="9"/>
  <c r="E63" i="9"/>
  <c r="B65" i="9"/>
  <c r="H66" i="9"/>
  <c r="C68" i="9"/>
  <c r="E69" i="9"/>
  <c r="H70" i="9"/>
  <c r="C72" i="9"/>
  <c r="E73" i="9"/>
  <c r="H74" i="9"/>
  <c r="E77" i="9"/>
  <c r="C80" i="9"/>
  <c r="H82" i="9"/>
  <c r="E85" i="9"/>
  <c r="C88" i="9"/>
  <c r="H90" i="9"/>
  <c r="E93" i="9"/>
  <c r="F95" i="9"/>
  <c r="F97" i="9"/>
  <c r="F99" i="9"/>
  <c r="F100" i="9"/>
  <c r="H92" i="9"/>
  <c r="E75" i="9"/>
  <c r="C78" i="9"/>
  <c r="H80" i="9"/>
  <c r="E83" i="9"/>
  <c r="C86" i="9"/>
  <c r="H88" i="9"/>
  <c r="E91" i="9"/>
  <c r="B94" i="9"/>
  <c r="B96" i="9"/>
  <c r="B98" i="9"/>
  <c r="B100" i="9"/>
  <c r="C76" i="9"/>
  <c r="H78" i="9"/>
  <c r="E81" i="9"/>
  <c r="C84" i="9"/>
  <c r="H86" i="9"/>
  <c r="E89" i="9"/>
  <c r="C92" i="9"/>
  <c r="F94" i="9"/>
  <c r="F96" i="9"/>
  <c r="F98" i="9"/>
  <c r="C90" i="9"/>
  <c r="H76" i="9"/>
  <c r="E79" i="9"/>
  <c r="C82" i="9"/>
  <c r="H84" i="9"/>
  <c r="E87" i="9"/>
  <c r="B95" i="9"/>
  <c r="B97" i="9"/>
  <c r="B99" i="9"/>
  <c r="A3" i="8"/>
  <c r="E3" i="8"/>
  <c r="A4" i="8"/>
  <c r="E4" i="8"/>
  <c r="A5" i="8"/>
  <c r="E5" i="8"/>
  <c r="A6" i="8"/>
  <c r="E6" i="8"/>
  <c r="A7" i="8"/>
  <c r="E7" i="8"/>
  <c r="A8" i="8"/>
  <c r="A9" i="8"/>
  <c r="E9" i="8"/>
  <c r="A10" i="8"/>
  <c r="E10" i="8"/>
  <c r="A11" i="8"/>
  <c r="A12" i="8"/>
  <c r="E12" i="8"/>
  <c r="A13" i="8"/>
  <c r="E13" i="8"/>
  <c r="A14" i="8"/>
  <c r="E14" i="8"/>
  <c r="A15" i="8"/>
  <c r="E15" i="8"/>
  <c r="A16" i="8"/>
  <c r="E16" i="8"/>
  <c r="A17" i="8"/>
  <c r="E17" i="8"/>
  <c r="A18" i="8"/>
  <c r="E18" i="8"/>
  <c r="A19" i="8"/>
  <c r="E19" i="8"/>
  <c r="A20" i="8"/>
  <c r="E20" i="8"/>
  <c r="A21" i="8"/>
  <c r="E21" i="8"/>
  <c r="A22" i="8"/>
  <c r="E22" i="8"/>
  <c r="A23" i="8"/>
  <c r="E23" i="8"/>
  <c r="A24" i="8"/>
  <c r="E24" i="8"/>
  <c r="A25" i="8"/>
  <c r="E25" i="8"/>
  <c r="A26" i="8"/>
  <c r="E26" i="8"/>
  <c r="A27" i="8"/>
  <c r="E27" i="8"/>
  <c r="A28" i="8"/>
  <c r="E28" i="8"/>
  <c r="A29" i="8"/>
  <c r="E29" i="8"/>
  <c r="A30" i="8"/>
  <c r="E30" i="8"/>
  <c r="A31" i="8"/>
  <c r="E31" i="8"/>
  <c r="A32" i="8"/>
  <c r="E32" i="8"/>
  <c r="A33" i="8"/>
  <c r="B3" i="8"/>
  <c r="F3" i="8"/>
  <c r="B4" i="8"/>
  <c r="F4" i="8"/>
  <c r="B5" i="8"/>
  <c r="F5" i="8"/>
  <c r="B6" i="8"/>
  <c r="F6" i="8"/>
  <c r="B7" i="8"/>
  <c r="F7" i="8"/>
  <c r="B8" i="8"/>
  <c r="F8" i="8"/>
  <c r="B9" i="8"/>
  <c r="F9" i="8"/>
  <c r="B10" i="8"/>
  <c r="F10" i="8"/>
  <c r="B11" i="8"/>
  <c r="F11" i="8"/>
  <c r="B12" i="8"/>
  <c r="F12" i="8"/>
  <c r="B13" i="8"/>
  <c r="F13" i="8"/>
  <c r="B14" i="8"/>
  <c r="F14" i="8"/>
  <c r="B15" i="8"/>
  <c r="F15" i="8"/>
  <c r="B16" i="8"/>
  <c r="F16" i="8"/>
  <c r="B17" i="8"/>
  <c r="F17" i="8"/>
  <c r="B18" i="8"/>
  <c r="F18" i="8"/>
  <c r="B19" i="8"/>
  <c r="F19" i="8"/>
  <c r="B20" i="8"/>
  <c r="F20" i="8"/>
  <c r="B21" i="8"/>
  <c r="F21" i="8"/>
  <c r="B22" i="8"/>
  <c r="F22" i="8"/>
  <c r="B23" i="8"/>
  <c r="F23" i="8"/>
  <c r="B24" i="8"/>
  <c r="F24" i="8"/>
  <c r="B25" i="8"/>
  <c r="F25" i="8"/>
  <c r="B26" i="8"/>
  <c r="F26" i="8"/>
  <c r="B27" i="8"/>
  <c r="F27" i="8"/>
  <c r="B28" i="8"/>
  <c r="F28" i="8"/>
  <c r="B29" i="8"/>
  <c r="F29" i="8"/>
  <c r="B30" i="8"/>
  <c r="F30" i="8"/>
  <c r="B31" i="8"/>
  <c r="F31" i="8"/>
  <c r="B32" i="8"/>
  <c r="F32" i="8"/>
  <c r="B33" i="8"/>
  <c r="F33" i="8"/>
  <c r="B34" i="8"/>
  <c r="F34" i="8"/>
  <c r="B35" i="8"/>
  <c r="F35" i="8"/>
  <c r="B36" i="8"/>
  <c r="F36" i="8"/>
  <c r="B37" i="8"/>
  <c r="F37" i="8"/>
  <c r="B38" i="8"/>
  <c r="F38" i="8"/>
  <c r="B39" i="8"/>
  <c r="F39" i="8"/>
  <c r="B40" i="8"/>
  <c r="F40" i="8"/>
  <c r="B41" i="8"/>
  <c r="F41" i="8"/>
  <c r="B42" i="8"/>
  <c r="D3" i="8"/>
  <c r="H3" i="8"/>
  <c r="D4" i="8"/>
  <c r="H4" i="8"/>
  <c r="D5" i="8"/>
  <c r="H5" i="8"/>
  <c r="D6" i="8"/>
  <c r="H6" i="8"/>
  <c r="D7" i="8"/>
  <c r="H7" i="8"/>
  <c r="D8" i="8"/>
  <c r="H8" i="8"/>
  <c r="D9" i="8"/>
  <c r="H9" i="8"/>
  <c r="D10" i="8"/>
  <c r="H10" i="8"/>
  <c r="D11" i="8"/>
  <c r="H11" i="8"/>
  <c r="D12" i="8"/>
  <c r="H12" i="8"/>
  <c r="D13" i="8"/>
  <c r="H13" i="8"/>
  <c r="D14" i="8"/>
  <c r="H14" i="8"/>
  <c r="D15" i="8"/>
  <c r="H15" i="8"/>
  <c r="D16" i="8"/>
  <c r="H16" i="8"/>
  <c r="D17" i="8"/>
  <c r="H17" i="8"/>
  <c r="D18" i="8"/>
  <c r="H18" i="8"/>
  <c r="D19" i="8"/>
  <c r="H19" i="8"/>
  <c r="D20" i="8"/>
  <c r="H20" i="8"/>
  <c r="D21" i="8"/>
  <c r="H21" i="8"/>
  <c r="D22" i="8"/>
  <c r="H22" i="8"/>
  <c r="D23" i="8"/>
  <c r="H23" i="8"/>
  <c r="D24" i="8"/>
  <c r="H24" i="8"/>
  <c r="D25" i="8"/>
  <c r="H25" i="8"/>
  <c r="D26" i="8"/>
  <c r="H26" i="8"/>
  <c r="D27" i="8"/>
  <c r="H27" i="8"/>
  <c r="D28" i="8"/>
  <c r="H28" i="8"/>
  <c r="D29" i="8"/>
  <c r="H29" i="8"/>
  <c r="D30" i="8"/>
  <c r="H30" i="8"/>
  <c r="D31" i="8"/>
  <c r="H31" i="8"/>
  <c r="D32" i="8"/>
  <c r="H32" i="8"/>
  <c r="D33" i="8"/>
  <c r="H33" i="8"/>
  <c r="D34" i="8"/>
  <c r="H34" i="8"/>
  <c r="D35" i="8"/>
  <c r="H35" i="8"/>
  <c r="D36" i="8"/>
  <c r="H36" i="8"/>
  <c r="D37" i="8"/>
  <c r="H37" i="8"/>
  <c r="D38" i="8"/>
  <c r="H38" i="8"/>
  <c r="D39" i="8"/>
  <c r="H39" i="8"/>
  <c r="D40" i="8"/>
  <c r="H40" i="8"/>
  <c r="D41" i="8"/>
  <c r="H41" i="8"/>
  <c r="D42" i="8"/>
  <c r="H42" i="8"/>
  <c r="D43" i="8"/>
  <c r="H43" i="8"/>
  <c r="D44" i="8"/>
  <c r="H44" i="8"/>
  <c r="D45" i="8"/>
  <c r="H45" i="8"/>
  <c r="D46" i="8"/>
  <c r="H46" i="8"/>
  <c r="D47" i="8"/>
  <c r="H47" i="8"/>
  <c r="D48" i="8"/>
  <c r="H48" i="8"/>
  <c r="D49" i="8"/>
  <c r="H49" i="8"/>
  <c r="D50" i="8"/>
  <c r="H50" i="8"/>
  <c r="D51" i="8"/>
  <c r="H51" i="8"/>
  <c r="D52" i="8"/>
  <c r="H52" i="8"/>
  <c r="D53" i="8"/>
  <c r="H53" i="8"/>
  <c r="D54" i="8"/>
  <c r="H54" i="8"/>
  <c r="D55" i="8"/>
  <c r="H55" i="8"/>
  <c r="D56" i="8"/>
  <c r="H56" i="8"/>
  <c r="D57" i="8"/>
  <c r="H57" i="8"/>
  <c r="D58" i="8"/>
  <c r="H58" i="8"/>
  <c r="D59" i="8"/>
  <c r="H59" i="8"/>
  <c r="D60" i="8"/>
  <c r="H60" i="8"/>
  <c r="D61" i="8"/>
  <c r="H61" i="8"/>
  <c r="D62" i="8"/>
  <c r="H62" i="8"/>
  <c r="D63" i="8"/>
  <c r="H63" i="8"/>
  <c r="D64" i="8"/>
  <c r="H64" i="8"/>
  <c r="D65" i="8"/>
  <c r="H65" i="8"/>
  <c r="D66" i="8"/>
  <c r="C3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4" i="8"/>
  <c r="C35" i="8"/>
  <c r="C36" i="8"/>
  <c r="C37" i="8"/>
  <c r="C38" i="8"/>
  <c r="C39" i="8"/>
  <c r="C40" i="8"/>
  <c r="C41" i="8"/>
  <c r="C42" i="8"/>
  <c r="A43" i="8"/>
  <c r="F43" i="8"/>
  <c r="C44" i="8"/>
  <c r="A45" i="8"/>
  <c r="F45" i="8"/>
  <c r="C46" i="8"/>
  <c r="A47" i="8"/>
  <c r="F47" i="8"/>
  <c r="C48" i="8"/>
  <c r="A49" i="8"/>
  <c r="F49" i="8"/>
  <c r="C50" i="8"/>
  <c r="A51" i="8"/>
  <c r="F51" i="8"/>
  <c r="C52" i="8"/>
  <c r="A53" i="8"/>
  <c r="F53" i="8"/>
  <c r="C54" i="8"/>
  <c r="A55" i="8"/>
  <c r="F55" i="8"/>
  <c r="C56" i="8"/>
  <c r="A57" i="8"/>
  <c r="F57" i="8"/>
  <c r="C58" i="8"/>
  <c r="A59" i="8"/>
  <c r="F59" i="8"/>
  <c r="C60" i="8"/>
  <c r="A61" i="8"/>
  <c r="F61" i="8"/>
  <c r="C62" i="8"/>
  <c r="A63" i="8"/>
  <c r="F63" i="8"/>
  <c r="C64" i="8"/>
  <c r="A65" i="8"/>
  <c r="F65" i="8"/>
  <c r="C66" i="8"/>
  <c r="H66" i="8"/>
  <c r="D67" i="8"/>
  <c r="H67" i="8"/>
  <c r="D68" i="8"/>
  <c r="H68" i="8"/>
  <c r="D69" i="8"/>
  <c r="H69" i="8"/>
  <c r="D70" i="8"/>
  <c r="H70" i="8"/>
  <c r="D71" i="8"/>
  <c r="H71" i="8"/>
  <c r="D72" i="8"/>
  <c r="H72" i="8"/>
  <c r="D73" i="8"/>
  <c r="H73" i="8"/>
  <c r="D74" i="8"/>
  <c r="H74" i="8"/>
  <c r="D75" i="8"/>
  <c r="H75" i="8"/>
  <c r="D76" i="8"/>
  <c r="H76" i="8"/>
  <c r="D77" i="8"/>
  <c r="H77" i="8"/>
  <c r="D78" i="8"/>
  <c r="H78" i="8"/>
  <c r="D79" i="8"/>
  <c r="H79" i="8"/>
  <c r="D80" i="8"/>
  <c r="H80" i="8"/>
  <c r="D81" i="8"/>
  <c r="H81" i="8"/>
  <c r="D82" i="8"/>
  <c r="H82" i="8"/>
  <c r="D83" i="8"/>
  <c r="H83" i="8"/>
  <c r="D84" i="8"/>
  <c r="H84" i="8"/>
  <c r="D85" i="8"/>
  <c r="H85" i="8"/>
  <c r="D86" i="8"/>
  <c r="H86" i="8"/>
  <c r="D87" i="8"/>
  <c r="H87" i="8"/>
  <c r="D88" i="8"/>
  <c r="H88" i="8"/>
  <c r="D89" i="8"/>
  <c r="D90" i="8"/>
  <c r="H90" i="8"/>
  <c r="D91" i="8"/>
  <c r="H91" i="8"/>
  <c r="D93" i="8"/>
  <c r="D94" i="8"/>
  <c r="H95" i="8"/>
  <c r="H96" i="8"/>
  <c r="H97" i="8"/>
  <c r="D99" i="8"/>
  <c r="D100" i="8"/>
  <c r="A87" i="8"/>
  <c r="A91" i="8"/>
  <c r="E92" i="8"/>
  <c r="E94" i="8"/>
  <c r="E95" i="8"/>
  <c r="A97" i="8"/>
  <c r="E98" i="8"/>
  <c r="A100" i="8"/>
  <c r="C6" i="8"/>
  <c r="G3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E33" i="8"/>
  <c r="E34" i="8"/>
  <c r="E35" i="8"/>
  <c r="E36" i="8"/>
  <c r="E37" i="8"/>
  <c r="E38" i="8"/>
  <c r="E39" i="8"/>
  <c r="E40" i="8"/>
  <c r="E41" i="8"/>
  <c r="E42" i="8"/>
  <c r="B43" i="8"/>
  <c r="G43" i="8"/>
  <c r="E44" i="8"/>
  <c r="B45" i="8"/>
  <c r="G45" i="8"/>
  <c r="E46" i="8"/>
  <c r="B47" i="8"/>
  <c r="G47" i="8"/>
  <c r="E48" i="8"/>
  <c r="B49" i="8"/>
  <c r="G49" i="8"/>
  <c r="E50" i="8"/>
  <c r="B51" i="8"/>
  <c r="G51" i="8"/>
  <c r="E52" i="8"/>
  <c r="B53" i="8"/>
  <c r="G53" i="8"/>
  <c r="E54" i="8"/>
  <c r="B55" i="8"/>
  <c r="G55" i="8"/>
  <c r="E56" i="8"/>
  <c r="B57" i="8"/>
  <c r="G57" i="8"/>
  <c r="E58" i="8"/>
  <c r="B59" i="8"/>
  <c r="G59" i="8"/>
  <c r="E60" i="8"/>
  <c r="B61" i="8"/>
  <c r="G61" i="8"/>
  <c r="E62" i="8"/>
  <c r="B63" i="8"/>
  <c r="G63" i="8"/>
  <c r="E64" i="8"/>
  <c r="B65" i="8"/>
  <c r="G65" i="8"/>
  <c r="E66" i="8"/>
  <c r="A67" i="8"/>
  <c r="E67" i="8"/>
  <c r="A68" i="8"/>
  <c r="E68" i="8"/>
  <c r="A69" i="8"/>
  <c r="E69" i="8"/>
  <c r="A70" i="8"/>
  <c r="E70" i="8"/>
  <c r="A71" i="8"/>
  <c r="E71" i="8"/>
  <c r="A72" i="8"/>
  <c r="E72" i="8"/>
  <c r="A73" i="8"/>
  <c r="E73" i="8"/>
  <c r="A74" i="8"/>
  <c r="E74" i="8"/>
  <c r="A75" i="8"/>
  <c r="E75" i="8"/>
  <c r="A76" i="8"/>
  <c r="E76" i="8"/>
  <c r="A77" i="8"/>
  <c r="E77" i="8"/>
  <c r="A78" i="8"/>
  <c r="E78" i="8"/>
  <c r="A79" i="8"/>
  <c r="E79" i="8"/>
  <c r="A80" i="8"/>
  <c r="E80" i="8"/>
  <c r="A81" i="8"/>
  <c r="E81" i="8"/>
  <c r="A82" i="8"/>
  <c r="E82" i="8"/>
  <c r="A83" i="8"/>
  <c r="E83" i="8"/>
  <c r="A84" i="8"/>
  <c r="E84" i="8"/>
  <c r="A85" i="8"/>
  <c r="E85" i="8"/>
  <c r="A86" i="8"/>
  <c r="E87" i="8"/>
  <c r="A88" i="8"/>
  <c r="E88" i="8"/>
  <c r="A89" i="8"/>
  <c r="A90" i="8"/>
  <c r="E91" i="8"/>
  <c r="E93" i="8"/>
  <c r="A96" i="8"/>
  <c r="A98" i="8"/>
  <c r="C8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A34" i="8"/>
  <c r="A35" i="8"/>
  <c r="A36" i="8"/>
  <c r="A37" i="8"/>
  <c r="A38" i="8"/>
  <c r="A39" i="8"/>
  <c r="A40" i="8"/>
  <c r="A41" i="8"/>
  <c r="A42" i="8"/>
  <c r="G42" i="8"/>
  <c r="E43" i="8"/>
  <c r="B44" i="8"/>
  <c r="G44" i="8"/>
  <c r="E45" i="8"/>
  <c r="B46" i="8"/>
  <c r="G46" i="8"/>
  <c r="E47" i="8"/>
  <c r="B48" i="8"/>
  <c r="G48" i="8"/>
  <c r="E49" i="8"/>
  <c r="B50" i="8"/>
  <c r="G50" i="8"/>
  <c r="E51" i="8"/>
  <c r="B52" i="8"/>
  <c r="G52" i="8"/>
  <c r="E53" i="8"/>
  <c r="B54" i="8"/>
  <c r="G54" i="8"/>
  <c r="E55" i="8"/>
  <c r="B56" i="8"/>
  <c r="G56" i="8"/>
  <c r="E57" i="8"/>
  <c r="B58" i="8"/>
  <c r="G58" i="8"/>
  <c r="E59" i="8"/>
  <c r="B60" i="8"/>
  <c r="G60" i="8"/>
  <c r="E61" i="8"/>
  <c r="B62" i="8"/>
  <c r="G62" i="8"/>
  <c r="E63" i="8"/>
  <c r="B64" i="8"/>
  <c r="G64" i="8"/>
  <c r="E65" i="8"/>
  <c r="B66" i="8"/>
  <c r="G66" i="8"/>
  <c r="C67" i="8"/>
  <c r="G67" i="8"/>
  <c r="C68" i="8"/>
  <c r="G68" i="8"/>
  <c r="C69" i="8"/>
  <c r="G69" i="8"/>
  <c r="C70" i="8"/>
  <c r="G70" i="8"/>
  <c r="C71" i="8"/>
  <c r="G71" i="8"/>
  <c r="C72" i="8"/>
  <c r="G72" i="8"/>
  <c r="C73" i="8"/>
  <c r="G73" i="8"/>
  <c r="C74" i="8"/>
  <c r="G74" i="8"/>
  <c r="C75" i="8"/>
  <c r="G75" i="8"/>
  <c r="C76" i="8"/>
  <c r="G76" i="8"/>
  <c r="C77" i="8"/>
  <c r="G77" i="8"/>
  <c r="C78" i="8"/>
  <c r="G78" i="8"/>
  <c r="C79" i="8"/>
  <c r="G79" i="8"/>
  <c r="C80" i="8"/>
  <c r="G80" i="8"/>
  <c r="C81" i="8"/>
  <c r="G81" i="8"/>
  <c r="C82" i="8"/>
  <c r="G82" i="8"/>
  <c r="C83" i="8"/>
  <c r="G83" i="8"/>
  <c r="C84" i="8"/>
  <c r="G84" i="8"/>
  <c r="C85" i="8"/>
  <c r="G85" i="8"/>
  <c r="C86" i="8"/>
  <c r="G86" i="8"/>
  <c r="C87" i="8"/>
  <c r="G87" i="8"/>
  <c r="C88" i="8"/>
  <c r="G88" i="8"/>
  <c r="C89" i="8"/>
  <c r="G89" i="8"/>
  <c r="C90" i="8"/>
  <c r="G90" i="8"/>
  <c r="C91" i="8"/>
  <c r="G91" i="8"/>
  <c r="C92" i="8"/>
  <c r="G92" i="8"/>
  <c r="C93" i="8"/>
  <c r="G93" i="8"/>
  <c r="C94" i="8"/>
  <c r="G94" i="8"/>
  <c r="C95" i="8"/>
  <c r="G95" i="8"/>
  <c r="C96" i="8"/>
  <c r="G96" i="8"/>
  <c r="C97" i="8"/>
  <c r="G97" i="8"/>
  <c r="C98" i="8"/>
  <c r="G98" i="8"/>
  <c r="C99" i="8"/>
  <c r="G99" i="8"/>
  <c r="C100" i="8"/>
  <c r="G100" i="8"/>
  <c r="H89" i="8"/>
  <c r="D92" i="8"/>
  <c r="H92" i="8"/>
  <c r="H93" i="8"/>
  <c r="H94" i="8"/>
  <c r="D95" i="8"/>
  <c r="D96" i="8"/>
  <c r="D97" i="8"/>
  <c r="D98" i="8"/>
  <c r="H98" i="8"/>
  <c r="H99" i="8"/>
  <c r="H100" i="8"/>
  <c r="E86" i="8"/>
  <c r="E89" i="8"/>
  <c r="E90" i="8"/>
  <c r="A92" i="8"/>
  <c r="A93" i="8"/>
  <c r="A94" i="8"/>
  <c r="A95" i="8"/>
  <c r="E96" i="8"/>
  <c r="E97" i="8"/>
  <c r="A99" i="8"/>
  <c r="E99" i="8"/>
  <c r="E100" i="8"/>
  <c r="C4" i="8"/>
  <c r="C10" i="8"/>
  <c r="C18" i="8"/>
  <c r="C26" i="8"/>
  <c r="G33" i="8"/>
  <c r="G37" i="8"/>
  <c r="G41" i="8"/>
  <c r="F44" i="8"/>
  <c r="C47" i="8"/>
  <c r="A50" i="8"/>
  <c r="F52" i="8"/>
  <c r="C55" i="8"/>
  <c r="A58" i="8"/>
  <c r="F60" i="8"/>
  <c r="C63" i="8"/>
  <c r="A66" i="8"/>
  <c r="B68" i="8"/>
  <c r="B70" i="8"/>
  <c r="B72" i="8"/>
  <c r="B74" i="8"/>
  <c r="B76" i="8"/>
  <c r="B78" i="8"/>
  <c r="B80" i="8"/>
  <c r="B82" i="8"/>
  <c r="B84" i="8"/>
  <c r="B86" i="8"/>
  <c r="B88" i="8"/>
  <c r="B90" i="8"/>
  <c r="B92" i="8"/>
  <c r="B94" i="8"/>
  <c r="B96" i="8"/>
  <c r="B98" i="8"/>
  <c r="B100" i="8"/>
  <c r="A48" i="8"/>
  <c r="F70" i="8"/>
  <c r="F74" i="8"/>
  <c r="F78" i="8"/>
  <c r="F82" i="8"/>
  <c r="F86" i="8"/>
  <c r="F92" i="8"/>
  <c r="F98" i="8"/>
  <c r="C22" i="8"/>
  <c r="G35" i="8"/>
  <c r="G39" i="8"/>
  <c r="A46" i="8"/>
  <c r="A54" i="8"/>
  <c r="C59" i="8"/>
  <c r="B69" i="8"/>
  <c r="B75" i="8"/>
  <c r="B83" i="8"/>
  <c r="B89" i="8"/>
  <c r="B95" i="8"/>
  <c r="C12" i="8"/>
  <c r="C20" i="8"/>
  <c r="C28" i="8"/>
  <c r="G34" i="8"/>
  <c r="G38" i="8"/>
  <c r="F42" i="8"/>
  <c r="C45" i="8"/>
  <c r="F50" i="8"/>
  <c r="C53" i="8"/>
  <c r="A56" i="8"/>
  <c r="F58" i="8"/>
  <c r="C61" i="8"/>
  <c r="A64" i="8"/>
  <c r="F68" i="8"/>
  <c r="F72" i="8"/>
  <c r="F76" i="8"/>
  <c r="F80" i="8"/>
  <c r="F88" i="8"/>
  <c r="F96" i="8"/>
  <c r="C30" i="8"/>
  <c r="C51" i="8"/>
  <c r="F64" i="8"/>
  <c r="B71" i="8"/>
  <c r="B79" i="8"/>
  <c r="B85" i="8"/>
  <c r="B93" i="8"/>
  <c r="B99" i="8"/>
  <c r="C16" i="8"/>
  <c r="C24" i="8"/>
  <c r="C32" i="8"/>
  <c r="G36" i="8"/>
  <c r="G40" i="8"/>
  <c r="A44" i="8"/>
  <c r="F46" i="8"/>
  <c r="C49" i="8"/>
  <c r="A52" i="8"/>
  <c r="F54" i="8"/>
  <c r="C57" i="8"/>
  <c r="A60" i="8"/>
  <c r="F62" i="8"/>
  <c r="C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66" i="8"/>
  <c r="F84" i="8"/>
  <c r="F90" i="8"/>
  <c r="F94" i="8"/>
  <c r="F100" i="8"/>
  <c r="C14" i="8"/>
  <c r="C43" i="8"/>
  <c r="F48" i="8"/>
  <c r="F56" i="8"/>
  <c r="A62" i="8"/>
  <c r="B67" i="8"/>
  <c r="B73" i="8"/>
  <c r="B77" i="8"/>
  <c r="B81" i="8"/>
  <c r="B87" i="8"/>
  <c r="B91" i="8"/>
  <c r="B97" i="8"/>
  <c r="A3" i="7"/>
  <c r="B4" i="7"/>
  <c r="C5" i="7"/>
  <c r="A7" i="7"/>
  <c r="B8" i="7"/>
  <c r="C9" i="7"/>
  <c r="A11" i="7"/>
  <c r="B48" i="7"/>
  <c r="C49" i="7"/>
  <c r="A51" i="7"/>
  <c r="B52" i="7"/>
  <c r="C53" i="7"/>
  <c r="A55" i="7"/>
  <c r="C57" i="7"/>
  <c r="A59" i="7"/>
  <c r="B60" i="7"/>
  <c r="C61" i="7"/>
  <c r="A63" i="7"/>
  <c r="C65" i="7"/>
  <c r="B68" i="7"/>
  <c r="B72" i="7"/>
  <c r="A75" i="7"/>
  <c r="C77" i="7"/>
  <c r="B80" i="7"/>
  <c r="B84" i="7"/>
  <c r="A87" i="7"/>
  <c r="A91" i="7"/>
  <c r="C93" i="7"/>
  <c r="C97" i="7"/>
  <c r="B100" i="7"/>
  <c r="A5" i="7"/>
  <c r="C11" i="7"/>
  <c r="C51" i="7"/>
  <c r="C55" i="7"/>
  <c r="A61" i="7"/>
  <c r="C63" i="7"/>
  <c r="C67" i="7"/>
  <c r="A73" i="7"/>
  <c r="A77" i="7"/>
  <c r="B82" i="7"/>
  <c r="B86" i="7"/>
  <c r="A89" i="7"/>
  <c r="B94" i="7"/>
  <c r="B98" i="7"/>
  <c r="B3" i="7"/>
  <c r="C4" i="7"/>
  <c r="A6" i="7"/>
  <c r="B7" i="7"/>
  <c r="C8" i="7"/>
  <c r="A10" i="7"/>
  <c r="B11" i="7"/>
  <c r="C48" i="7"/>
  <c r="A50" i="7"/>
  <c r="B51" i="7"/>
  <c r="C52" i="7"/>
  <c r="A54" i="7"/>
  <c r="B55" i="7"/>
  <c r="C56" i="7"/>
  <c r="A58" i="7"/>
  <c r="B59" i="7"/>
  <c r="C60" i="7"/>
  <c r="A62" i="7"/>
  <c r="B63" i="7"/>
  <c r="C64" i="7"/>
  <c r="A66" i="7"/>
  <c r="B67" i="7"/>
  <c r="C68" i="7"/>
  <c r="A70" i="7"/>
  <c r="B71" i="7"/>
  <c r="C72" i="7"/>
  <c r="A74" i="7"/>
  <c r="B75" i="7"/>
  <c r="C76" i="7"/>
  <c r="A78" i="7"/>
  <c r="B79" i="7"/>
  <c r="C80" i="7"/>
  <c r="A82" i="7"/>
  <c r="B83" i="7"/>
  <c r="C84" i="7"/>
  <c r="A86" i="7"/>
  <c r="B87" i="7"/>
  <c r="C88" i="7"/>
  <c r="A90" i="7"/>
  <c r="B91" i="7"/>
  <c r="C92" i="7"/>
  <c r="A94" i="7"/>
  <c r="B95" i="7"/>
  <c r="C96" i="7"/>
  <c r="A98" i="7"/>
  <c r="B99" i="7"/>
  <c r="C100" i="7"/>
  <c r="B6" i="7"/>
  <c r="B10" i="7"/>
  <c r="B50" i="7"/>
  <c r="B54" i="7"/>
  <c r="B58" i="7"/>
  <c r="A65" i="7"/>
  <c r="A69" i="7"/>
  <c r="B74" i="7"/>
  <c r="C79" i="7"/>
  <c r="C83" i="7"/>
  <c r="B90" i="7"/>
  <c r="A93" i="7"/>
  <c r="C99" i="7"/>
  <c r="A4" i="7"/>
  <c r="B5" i="7"/>
  <c r="C6" i="7"/>
  <c r="A8" i="7"/>
  <c r="B9" i="7"/>
  <c r="C10" i="7"/>
  <c r="A12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56" i="7"/>
  <c r="B64" i="7"/>
  <c r="A67" i="7"/>
  <c r="C69" i="7"/>
  <c r="A71" i="7"/>
  <c r="C73" i="7"/>
  <c r="B76" i="7"/>
  <c r="A79" i="7"/>
  <c r="C81" i="7"/>
  <c r="A83" i="7"/>
  <c r="C85" i="7"/>
  <c r="B88" i="7"/>
  <c r="C89" i="7"/>
  <c r="B92" i="7"/>
  <c r="A95" i="7"/>
  <c r="B96" i="7"/>
  <c r="A99" i="7"/>
  <c r="C3" i="7"/>
  <c r="C7" i="7"/>
  <c r="A9" i="7"/>
  <c r="A13" i="7"/>
  <c r="A49" i="7"/>
  <c r="A53" i="7"/>
  <c r="A57" i="7"/>
  <c r="C59" i="7"/>
  <c r="B62" i="7"/>
  <c r="B66" i="7"/>
  <c r="B70" i="7"/>
  <c r="C71" i="7"/>
  <c r="C75" i="7"/>
  <c r="B78" i="7"/>
  <c r="A81" i="7"/>
  <c r="A85" i="7"/>
  <c r="C87" i="7"/>
  <c r="C91" i="7"/>
  <c r="C95" i="7"/>
  <c r="A97" i="7"/>
  <c r="B20" i="7"/>
  <c r="B36" i="7"/>
  <c r="B34" i="7"/>
  <c r="B23" i="7"/>
  <c r="B39" i="7"/>
  <c r="B17" i="7"/>
  <c r="B33" i="7"/>
  <c r="B26" i="7"/>
  <c r="B16" i="7"/>
  <c r="B35" i="7"/>
  <c r="B13" i="7"/>
  <c r="B45" i="7"/>
  <c r="B24" i="7"/>
  <c r="B40" i="7"/>
  <c r="B38" i="7"/>
  <c r="B27" i="7"/>
  <c r="B43" i="7"/>
  <c r="B21" i="7"/>
  <c r="B37" i="7"/>
  <c r="B14" i="7"/>
  <c r="B30" i="7"/>
  <c r="B12" i="7"/>
  <c r="B28" i="7"/>
  <c r="B44" i="7"/>
  <c r="B42" i="7"/>
  <c r="B15" i="7"/>
  <c r="B31" i="7"/>
  <c r="B47" i="7"/>
  <c r="B25" i="7"/>
  <c r="B41" i="7"/>
  <c r="B18" i="7"/>
  <c r="B46" i="7"/>
  <c r="B32" i="7"/>
  <c r="B19" i="7"/>
  <c r="B29" i="7"/>
  <c r="B22" i="7"/>
  <c r="A34" i="9"/>
  <c r="A9" i="9"/>
  <c r="A11" i="9"/>
  <c r="A13" i="9"/>
  <c r="A15" i="9"/>
  <c r="A17" i="9"/>
  <c r="A19" i="9"/>
  <c r="A21" i="9"/>
  <c r="A23" i="9"/>
  <c r="A25" i="9"/>
  <c r="A27" i="9"/>
  <c r="A29" i="9"/>
  <c r="A31" i="9"/>
  <c r="A35" i="9"/>
  <c r="A36" i="9"/>
  <c r="A8" i="9"/>
  <c r="A10" i="9"/>
  <c r="A12" i="9"/>
  <c r="A14" i="9"/>
  <c r="A16" i="9"/>
  <c r="A18" i="9"/>
  <c r="A20" i="9"/>
  <c r="A22" i="9"/>
  <c r="A24" i="9"/>
  <c r="A26" i="9"/>
  <c r="A28" i="9"/>
  <c r="A30" i="9"/>
  <c r="A33" i="9"/>
  <c r="A37" i="9"/>
  <c r="A32" i="9"/>
  <c r="B9" i="9"/>
  <c r="B13" i="9"/>
  <c r="B17" i="9"/>
  <c r="B21" i="9"/>
  <c r="B25" i="9"/>
  <c r="B29" i="9"/>
  <c r="B33" i="9"/>
  <c r="B37" i="9"/>
  <c r="B12" i="9"/>
  <c r="B24" i="9"/>
  <c r="B32" i="9"/>
  <c r="B10" i="9"/>
  <c r="B14" i="9"/>
  <c r="B18" i="9"/>
  <c r="B22" i="9"/>
  <c r="B26" i="9"/>
  <c r="B30" i="9"/>
  <c r="B34" i="9"/>
  <c r="B16" i="9"/>
  <c r="B36" i="9"/>
  <c r="B11" i="9"/>
  <c r="B15" i="9"/>
  <c r="B19" i="9"/>
  <c r="B23" i="9"/>
  <c r="B27" i="9"/>
  <c r="B31" i="9"/>
  <c r="B35" i="9"/>
  <c r="B8" i="9"/>
  <c r="B20" i="9"/>
  <c r="B28" i="9"/>
  <c r="A29" i="7"/>
  <c r="A45" i="7"/>
  <c r="A16" i="7"/>
  <c r="A24" i="7"/>
  <c r="A32" i="7"/>
  <c r="A40" i="7"/>
  <c r="A27" i="7"/>
  <c r="A35" i="7"/>
  <c r="A43" i="7"/>
  <c r="A17" i="7"/>
  <c r="A18" i="7"/>
  <c r="A26" i="7"/>
  <c r="A34" i="7"/>
  <c r="A42" i="7"/>
  <c r="A28" i="7"/>
  <c r="A33" i="7"/>
  <c r="A23" i="7"/>
  <c r="A31" i="7"/>
  <c r="A47" i="7"/>
  <c r="A22" i="7"/>
  <c r="A30" i="7"/>
  <c r="A46" i="7"/>
  <c r="A19" i="7"/>
  <c r="A21" i="7"/>
  <c r="A20" i="7"/>
  <c r="A36" i="7"/>
  <c r="A44" i="7"/>
  <c r="A15" i="7"/>
  <c r="A39" i="7"/>
  <c r="A25" i="7"/>
  <c r="A14" i="7"/>
  <c r="A38" i="7"/>
  <c r="A41" i="7"/>
  <c r="A37" i="7"/>
  <c r="C25" i="7"/>
  <c r="C41" i="7"/>
  <c r="C16" i="7"/>
  <c r="C32" i="7"/>
  <c r="C23" i="7"/>
  <c r="C18" i="7"/>
  <c r="C34" i="7"/>
  <c r="C17" i="7"/>
  <c r="C24" i="7"/>
  <c r="C21" i="7"/>
  <c r="C37" i="7"/>
  <c r="C47" i="7"/>
  <c r="C12" i="7"/>
  <c r="C28" i="7"/>
  <c r="C44" i="7"/>
  <c r="C27" i="7"/>
  <c r="C14" i="7"/>
  <c r="C30" i="7"/>
  <c r="C46" i="7"/>
  <c r="C33" i="7"/>
  <c r="C15" i="7"/>
  <c r="C42" i="7"/>
  <c r="C39" i="7"/>
  <c r="C13" i="7"/>
  <c r="C29" i="7"/>
  <c r="C45" i="7"/>
  <c r="C20" i="7"/>
  <c r="C36" i="7"/>
  <c r="C19" i="7"/>
  <c r="C35" i="7"/>
  <c r="C22" i="7"/>
  <c r="C38" i="7"/>
  <c r="C43" i="7"/>
  <c r="C40" i="7"/>
  <c r="C31" i="7"/>
  <c r="C26" i="7"/>
  <c r="H37" i="9"/>
  <c r="G37" i="9"/>
  <c r="F37" i="9"/>
  <c r="E37" i="9"/>
  <c r="D37" i="9"/>
  <c r="C37" i="9"/>
  <c r="H31" i="9"/>
  <c r="H32" i="9"/>
  <c r="H33" i="9"/>
  <c r="E11" i="8"/>
  <c r="E8" i="8"/>
  <c r="H36" i="9"/>
  <c r="H35" i="9"/>
  <c r="H34" i="9"/>
  <c r="G36" i="9"/>
  <c r="G35" i="9"/>
  <c r="G34" i="9"/>
  <c r="G33" i="9"/>
  <c r="G32" i="9"/>
  <c r="G31" i="9"/>
  <c r="F31" i="9"/>
  <c r="F32" i="9"/>
  <c r="F33" i="9"/>
  <c r="F34" i="9"/>
  <c r="F35" i="9"/>
  <c r="F36" i="9"/>
  <c r="E36" i="9"/>
  <c r="E35" i="9"/>
  <c r="E34" i="9"/>
  <c r="E33" i="9"/>
  <c r="E32" i="9"/>
  <c r="E31" i="9"/>
  <c r="D36" i="9"/>
  <c r="D35" i="9"/>
  <c r="D34" i="9"/>
  <c r="D33" i="9"/>
  <c r="D32" i="9"/>
  <c r="D31" i="9"/>
  <c r="C36" i="9"/>
  <c r="C35" i="9"/>
  <c r="C34" i="9"/>
  <c r="C33" i="9"/>
  <c r="C32" i="9"/>
  <c r="C31" i="9"/>
  <c r="H30" i="9"/>
  <c r="H29" i="9"/>
  <c r="H27" i="9"/>
  <c r="H26" i="9"/>
  <c r="H28" i="9"/>
  <c r="H25" i="9"/>
  <c r="D4" i="10"/>
  <c r="D3" i="10"/>
  <c r="L2" i="1" l="1"/>
  <c r="K2" i="1" l="1"/>
  <c r="N2" i="1"/>
  <c r="B1" i="8" l="1"/>
  <c r="C1" i="8"/>
  <c r="D1" i="8"/>
  <c r="E1" i="8"/>
  <c r="F1" i="8"/>
  <c r="G1" i="8"/>
  <c r="H1" i="8"/>
  <c r="G2" i="8"/>
  <c r="E2" i="8"/>
  <c r="A2" i="8"/>
  <c r="D2" i="8"/>
  <c r="H2" i="8"/>
  <c r="F2" i="8"/>
  <c r="B2" i="8"/>
  <c r="C2" i="8"/>
  <c r="F2" i="10"/>
  <c r="B2" i="10"/>
  <c r="E2" i="10"/>
  <c r="A2" i="10"/>
  <c r="C2" i="10"/>
  <c r="C2" i="7"/>
  <c r="B2" i="7"/>
  <c r="A2" i="7"/>
  <c r="B2" i="9"/>
  <c r="G2" i="9"/>
  <c r="D2" i="9"/>
  <c r="A2" i="9"/>
  <c r="H2" i="9"/>
  <c r="F2" i="9"/>
  <c r="E2" i="9"/>
  <c r="C2" i="9"/>
  <c r="D2" i="10"/>
  <c r="B1" i="10" l="1"/>
  <c r="C1" i="10"/>
  <c r="D1" i="10"/>
  <c r="E1" i="10"/>
  <c r="F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<sst xmlns="http://schemas.openxmlformats.org/spreadsheetml/2006/main" count="332" uniqueCount="187">
  <si>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</si>
  <si>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</si>
  <si>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</si>
  <si>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</si>
  <si>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</si>
  <si>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</si>
  <si>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</si>
  <si>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</si>
  <si>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</si>
  <si>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</si>
  <si>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</si>
  <si>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</si>
  <si>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</si>
  <si>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</si>
  <si>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</si>
  <si>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</si>
  <si>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</si>
  <si>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</si>
  <si>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</si>
  <si>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</si>
  <si>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</si>
  <si>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</si>
  <si>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</si>
  <si>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</si>
  <si>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</si>
  <si>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</si>
  <si>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</si>
  <si>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</si>
  <si>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</si>
  <si>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</si>
  <si>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</si>
  <si>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</si>
  <si>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</si>
  <si>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</si>
  <si>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</si>
  <si>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</si>
  <si>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</si>
  <si>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</si>
  <si>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</si>
  <si>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</si>
  <si>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</si>
  <si>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</si>
  <si>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</si>
  <si>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</si>
  <si>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</si>
  <si>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</si>
  <si>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</si>
  <si>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</si>
  <si>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</si>
  <si>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</si>
  <si>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</si>
  <si>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</si>
  <si>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</si>
  <si>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</si>
  <si>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</si>
  <si>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</si>
  <si>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</si>
  <si>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</si>
  <si>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</si>
  <si>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</si>
  <si>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</si>
  <si>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</si>
  <si>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</si>
  <si>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</si>
  <si>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</si>
  <si>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</si>
  <si>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</si>
  <si>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</si>
  <si>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</si>
  <si>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</si>
  <si>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</si>
  <si>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</si>
  <si>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</si>
  <si>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</si>
  <si>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</si>
  <si>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</si>
  <si>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</si>
  <si>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</si>
  <si>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</si>
  <si>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</si>
  <si>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</si>
  <si>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</si>
  <si>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</si>
  <si>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</si>
  <si>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</si>
  <si>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</si>
  <si>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</si>
  <si>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</si>
  <si>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</si>
  <si>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</si>
  <si>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</si>
  <si>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</si>
  <si>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</si>
  <si>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</si>
  <si>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</si>
  <si>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</si>
  <si>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</si>
  <si>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</si>
  <si>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</si>
  <si>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</si>
  <si>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</si>
  <si>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</si>
  <si>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</si>
  <si>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</si>
  <si>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</si>
  <si>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</si>
  <si>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</si>
  <si>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</si>
  <si>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</si>
  <si>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</si>
  <si>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</si>
  <si>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</si>
  <si>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</si>
  <si>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</si>
  <si>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</si>
  <si>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</si>
  <si>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</si>
  <si>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</si>
  <si>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</si>
  <si>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</si>
  <si>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</si>
  <si>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</si>
  <si>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</si>
  <si>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</si>
  <si>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</si>
  <si>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</si>
  <si>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營養師</t>
  </si>
  <si>
    <t>醫生</t>
  </si>
  <si>
    <t>肥胖</t>
  </si>
  <si>
    <t>老化</t>
  </si>
  <si>
    <t>殘疾</t>
  </si>
  <si>
    <t>健康</t>
  </si>
  <si>
    <t>強壯</t>
  </si>
  <si>
    <t>感冒</t>
  </si>
  <si>
    <t>受傷</t>
  </si>
  <si>
    <t>粗心的電池拾荒者</t>
  </si>
  <si>
    <t>粗心的輕型彈藥拾荒者</t>
  </si>
  <si>
    <t>粗心的重型彈藥拾荒者</t>
  </si>
  <si>
    <t>細心的電池拾荒者</t>
  </si>
  <si>
    <t>細心的輕型彈藥拾荒者</t>
  </si>
  <si>
    <t>細心的重型彈藥拾荒者</t>
  </si>
  <si>
    <t>每秒影響</t>
    <phoneticPr fontId="1" type="noConversion"/>
  </si>
  <si>
    <t>仁慈的戰士</t>
  </si>
  <si>
    <t>笨拙的戰士</t>
  </si>
  <si>
    <t>粗心的戰士</t>
  </si>
  <si>
    <t>冷靜的戰士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</si>
  <si>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</si>
  <si>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</si>
  <si>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</si>
  <si>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</si>
  <si>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</si>
  <si>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</si>
  <si>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</si>
  <si>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</si>
  <si>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</si>
  <si>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</si>
  <si>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</si>
  <si>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</si>
  <si>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</si>
  <si>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</si>
  <si>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</si>
  <si>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</si>
  <si>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</si>
  <si>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Dietitians</t>
  </si>
  <si>
    <t>Doctor</t>
  </si>
  <si>
    <t>Obesity</t>
  </si>
  <si>
    <t>Aging</t>
  </si>
  <si>
    <t>Disability</t>
  </si>
  <si>
    <t>Healthy</t>
  </si>
  <si>
    <t>Strong</t>
  </si>
  <si>
    <t>Flu</t>
  </si>
  <si>
    <t>Injured</t>
  </si>
  <si>
    <t>Careless battery scavengers</t>
  </si>
  <si>
    <t>Careless light ammo scavengers</t>
  </si>
  <si>
    <t>Careless heavy ammo scavengers</t>
  </si>
  <si>
    <t>Careful battery scavengers</t>
  </si>
  <si>
    <t>Careful light ammo scavengers</t>
  </si>
  <si>
    <t>Careful heavy ammo scavengers</t>
  </si>
  <si>
    <t>Benevolent warrior</t>
  </si>
  <si>
    <t>Clumsy soldier</t>
  </si>
  <si>
    <t>Careless soldier</t>
  </si>
  <si>
    <t>Cool soldier</t>
  </si>
  <si>
    <t>Elite soldier</t>
  </si>
  <si>
    <t>Genius soldier</t>
  </si>
  <si>
    <t>Berserker</t>
  </si>
  <si>
    <t>Leadership</t>
    <phoneticPr fontId="1" type="noConversion"/>
  </si>
  <si>
    <t>領袖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</si>
</sst>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7">
  <autoFilter ref="A1:C100"/>
  <tableColumns count="3">
    <tableColumn id="1" name="GUID" dataDxfId="36"/>
    <tableColumn id="2" name="enUS" dataDxfId="35"/>
    <tableColumn id="3" name="zhTW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100" totalsRowShown="0" headerRowDxfId="33" headerRowBorderDxfId="32" tableBorderDxfId="31" totalsRowBorderDxfId="30">
  <autoFilter ref="A1:H100"/>
  <tableColumns count="8">
    <tableColumn id="1" name="GUID" dataDxfId="29"/>
    <tableColumn id="2" name="StrID" dataDxfId="28"/>
    <tableColumn id="3" name="Mode" dataDxfId="27"/>
    <tableColumn id="4" name="Damage" dataDxfId="26"/>
    <tableColumn id="8" name="CriticalStrike" dataDxfId="25"/>
    <tableColumn id="5" name="FireRate" dataDxfId="24"/>
    <tableColumn id="6" name="Range" dataDxfId="23"/>
    <tableColumn id="7" name="Resource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21">
  <autoFilter ref="A1:H100"/>
  <tableColumns count="8">
    <tableColumn id="1" name="GUID" dataDxfId="20"/>
    <tableColumn id="2" name="StrID" dataDxfId="19"/>
    <tableColumn id="3" name="Mode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4" name="HP" dataDxfId="8"/>
    <tableColumn id="5" name="Move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66</v>
      </c>
      <c r="B1" s="3" t="s">
        <v>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22" sqref="C22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89</v>
      </c>
      <c r="C3" s="3" t="s">
        <v>28</v>
      </c>
    </row>
    <row r="4" spans="1:3" x14ac:dyDescent="0.25">
      <c r="A4" s="3">
        <v>1003</v>
      </c>
      <c r="B4" s="3" t="s">
        <v>90</v>
      </c>
      <c r="C4" s="3" t="s">
        <v>91</v>
      </c>
    </row>
    <row r="5" spans="1:3" x14ac:dyDescent="0.25">
      <c r="A5" s="3">
        <v>1004</v>
      </c>
      <c r="B5" s="3" t="s">
        <v>92</v>
      </c>
      <c r="C5" s="3" t="s">
        <v>93</v>
      </c>
    </row>
    <row r="6" spans="1:3" x14ac:dyDescent="0.25">
      <c r="A6" s="3">
        <v>1005</v>
      </c>
      <c r="B6" s="3" t="s">
        <v>94</v>
      </c>
      <c r="C6" s="18" t="s">
        <v>29</v>
      </c>
    </row>
    <row r="7" spans="1:3" x14ac:dyDescent="0.25">
      <c r="A7" s="3">
        <v>1006</v>
      </c>
      <c r="B7" s="3" t="s">
        <v>95</v>
      </c>
      <c r="C7" s="18" t="s">
        <v>96</v>
      </c>
    </row>
    <row r="8" spans="1:3" x14ac:dyDescent="0.25">
      <c r="A8" s="3">
        <v>1007</v>
      </c>
      <c r="B8" s="3" t="s">
        <v>97</v>
      </c>
      <c r="C8" s="18" t="s">
        <v>98</v>
      </c>
    </row>
    <row r="9" spans="1:3" x14ac:dyDescent="0.25">
      <c r="A9" s="3">
        <v>1008</v>
      </c>
      <c r="B9" s="3" t="s">
        <v>99</v>
      </c>
      <c r="C9" s="18" t="s">
        <v>100</v>
      </c>
    </row>
    <row r="10" spans="1:3" x14ac:dyDescent="0.25">
      <c r="A10" s="3">
        <v>1009</v>
      </c>
      <c r="B10" s="3" t="s">
        <v>104</v>
      </c>
      <c r="C10" s="18" t="s">
        <v>101</v>
      </c>
    </row>
    <row r="11" spans="1:3" x14ac:dyDescent="0.25">
      <c r="A11" s="3">
        <v>1010</v>
      </c>
      <c r="B11" s="3" t="s">
        <v>102</v>
      </c>
      <c r="C11" s="18" t="s">
        <v>103</v>
      </c>
    </row>
    <row r="12" spans="1:3" x14ac:dyDescent="0.25">
      <c r="A12" s="3">
        <v>2001</v>
      </c>
      <c r="B12" s="3" t="s">
        <v>151</v>
      </c>
      <c r="C12" s="23" t="s">
        <v>109</v>
      </c>
    </row>
    <row r="13" spans="1:3" x14ac:dyDescent="0.25">
      <c r="A13" s="3">
        <v>2002</v>
      </c>
      <c r="B13" s="3" t="s">
        <v>43</v>
      </c>
      <c r="C13" s="23" t="s">
        <v>110</v>
      </c>
    </row>
    <row r="14" spans="1:3" x14ac:dyDescent="0.25">
      <c r="A14" s="3">
        <v>2003</v>
      </c>
      <c r="B14" s="3" t="s">
        <v>152</v>
      </c>
      <c r="C14" s="23" t="s">
        <v>111</v>
      </c>
    </row>
    <row r="15" spans="1:3" x14ac:dyDescent="0.25">
      <c r="A15" s="3">
        <v>2004</v>
      </c>
      <c r="B15" s="3" t="s">
        <v>153</v>
      </c>
      <c r="C15" s="23" t="s">
        <v>112</v>
      </c>
    </row>
    <row r="16" spans="1:3" x14ac:dyDescent="0.25">
      <c r="A16" s="3">
        <v>2005</v>
      </c>
      <c r="B16" s="3" t="s">
        <v>154</v>
      </c>
      <c r="C16" s="23" t="s">
        <v>113</v>
      </c>
    </row>
    <row r="17" spans="1:3" x14ac:dyDescent="0.25">
      <c r="A17" s="3">
        <v>2006</v>
      </c>
      <c r="B17" s="3" t="s">
        <v>155</v>
      </c>
      <c r="C17" s="23" t="s">
        <v>114</v>
      </c>
    </row>
    <row r="18" spans="1:3" x14ac:dyDescent="0.25">
      <c r="A18" s="3">
        <v>2007</v>
      </c>
      <c r="B18" s="3" t="s">
        <v>156</v>
      </c>
      <c r="C18" s="24" t="s">
        <v>115</v>
      </c>
    </row>
    <row r="19" spans="1:3" x14ac:dyDescent="0.25">
      <c r="A19" s="3">
        <v>2008</v>
      </c>
      <c r="B19" s="3" t="s">
        <v>157</v>
      </c>
      <c r="C19" s="24" t="s">
        <v>116</v>
      </c>
    </row>
    <row r="20" spans="1:3" x14ac:dyDescent="0.25">
      <c r="A20" s="3">
        <v>2009</v>
      </c>
      <c r="B20" s="3" t="s">
        <v>158</v>
      </c>
      <c r="C20" s="24" t="s">
        <v>124</v>
      </c>
    </row>
    <row r="21" spans="1:3" x14ac:dyDescent="0.25">
      <c r="A21" s="3">
        <v>2010</v>
      </c>
      <c r="B21" s="3" t="s">
        <v>159</v>
      </c>
      <c r="C21" s="24" t="s">
        <v>117</v>
      </c>
    </row>
    <row r="22" spans="1:3" x14ac:dyDescent="0.25">
      <c r="A22" s="3">
        <v>2011</v>
      </c>
      <c r="B22" s="3" t="s">
        <v>185</v>
      </c>
      <c r="C22" s="24" t="s">
        <v>186</v>
      </c>
    </row>
    <row r="23" spans="1:3" x14ac:dyDescent="0.25">
      <c r="A23" s="3">
        <v>2012</v>
      </c>
      <c r="B23" s="3" t="s">
        <v>160</v>
      </c>
      <c r="C23" s="24" t="s">
        <v>118</v>
      </c>
    </row>
    <row r="24" spans="1:3" x14ac:dyDescent="0.25">
      <c r="A24" s="3">
        <v>2013</v>
      </c>
      <c r="B24" s="3" t="s">
        <v>161</v>
      </c>
      <c r="C24" s="24" t="s">
        <v>119</v>
      </c>
    </row>
    <row r="25" spans="1:3" x14ac:dyDescent="0.25">
      <c r="A25" s="3">
        <v>2014</v>
      </c>
      <c r="B25" s="3" t="s">
        <v>162</v>
      </c>
      <c r="C25" s="24" t="s">
        <v>125</v>
      </c>
    </row>
    <row r="26" spans="1:3" x14ac:dyDescent="0.25">
      <c r="A26" s="3">
        <v>2015</v>
      </c>
      <c r="B26" s="3" t="s">
        <v>163</v>
      </c>
      <c r="C26" s="24" t="s">
        <v>126</v>
      </c>
    </row>
    <row r="27" spans="1:3" x14ac:dyDescent="0.25">
      <c r="A27" s="3">
        <v>2016</v>
      </c>
      <c r="B27" s="3" t="s">
        <v>164</v>
      </c>
      <c r="C27" s="24" t="s">
        <v>127</v>
      </c>
    </row>
    <row r="28" spans="1:3" x14ac:dyDescent="0.25">
      <c r="A28" s="3">
        <v>2017</v>
      </c>
      <c r="B28" s="3" t="s">
        <v>165</v>
      </c>
      <c r="C28" s="24" t="s">
        <v>128</v>
      </c>
    </row>
    <row r="29" spans="1:3" x14ac:dyDescent="0.25">
      <c r="A29" s="3">
        <v>2018</v>
      </c>
      <c r="B29" s="3" t="s">
        <v>166</v>
      </c>
      <c r="C29" s="24" t="s">
        <v>129</v>
      </c>
    </row>
    <row r="30" spans="1:3" x14ac:dyDescent="0.25">
      <c r="A30" s="3">
        <v>2019</v>
      </c>
      <c r="B30" s="3" t="s">
        <v>167</v>
      </c>
      <c r="C30" s="24" t="s">
        <v>130</v>
      </c>
    </row>
    <row r="31" spans="1:3" x14ac:dyDescent="0.25">
      <c r="A31" s="3">
        <v>2020</v>
      </c>
      <c r="B31" s="3" t="s">
        <v>168</v>
      </c>
      <c r="C31" s="24" t="s">
        <v>131</v>
      </c>
    </row>
    <row r="32" spans="1:3" x14ac:dyDescent="0.25">
      <c r="A32" s="3">
        <v>2021</v>
      </c>
      <c r="B32" s="3" t="s">
        <v>169</v>
      </c>
      <c r="C32" s="24" t="s">
        <v>132</v>
      </c>
    </row>
    <row r="33" spans="1:3" x14ac:dyDescent="0.25">
      <c r="A33" s="3">
        <v>2022</v>
      </c>
      <c r="B33" s="3" t="s">
        <v>170</v>
      </c>
      <c r="C33" s="24" t="s">
        <v>133</v>
      </c>
    </row>
    <row r="34" spans="1:3" x14ac:dyDescent="0.25">
      <c r="A34" s="3">
        <v>2023</v>
      </c>
      <c r="B34" s="3" t="s">
        <v>171</v>
      </c>
      <c r="C34" s="24" t="s">
        <v>134</v>
      </c>
    </row>
    <row r="35" spans="1:3" x14ac:dyDescent="0.25">
      <c r="A35" s="3">
        <v>2024</v>
      </c>
      <c r="B35" s="3" t="s">
        <v>172</v>
      </c>
      <c r="C35" s="24" t="s">
        <v>135</v>
      </c>
    </row>
    <row r="36" spans="1:3" x14ac:dyDescent="0.25">
      <c r="A36" s="3">
        <v>2025</v>
      </c>
      <c r="B36" s="3" t="s">
        <v>173</v>
      </c>
      <c r="C36" s="24" t="s">
        <v>136</v>
      </c>
    </row>
    <row r="37" spans="1:3" x14ac:dyDescent="0.25">
      <c r="A37" s="3">
        <v>2026</v>
      </c>
      <c r="B37" s="3" t="s">
        <v>174</v>
      </c>
      <c r="C37" s="24" t="s">
        <v>137</v>
      </c>
    </row>
    <row r="38" spans="1:3" x14ac:dyDescent="0.25">
      <c r="A38" s="3">
        <v>2027</v>
      </c>
      <c r="B38" s="3" t="s">
        <v>175</v>
      </c>
      <c r="C38" s="24" t="s">
        <v>138</v>
      </c>
    </row>
    <row r="39" spans="1:3" x14ac:dyDescent="0.25">
      <c r="A39" s="3">
        <v>2028</v>
      </c>
      <c r="B39" s="3" t="s">
        <v>176</v>
      </c>
      <c r="C39" s="24" t="s">
        <v>139</v>
      </c>
    </row>
    <row r="40" spans="1:3" x14ac:dyDescent="0.25">
      <c r="A40" s="3">
        <v>2029</v>
      </c>
      <c r="B40" s="3" t="s">
        <v>177</v>
      </c>
      <c r="C40" s="24" t="s">
        <v>140</v>
      </c>
    </row>
    <row r="41" spans="1:3" x14ac:dyDescent="0.25">
      <c r="A41" s="3">
        <v>2030</v>
      </c>
      <c r="B41" s="3" t="s">
        <v>178</v>
      </c>
      <c r="C41" s="24" t="s">
        <v>142</v>
      </c>
    </row>
    <row r="42" spans="1:3" x14ac:dyDescent="0.25">
      <c r="A42" s="3">
        <v>2031</v>
      </c>
      <c r="B42" s="3" t="s">
        <v>179</v>
      </c>
      <c r="C42" s="24" t="s">
        <v>143</v>
      </c>
    </row>
    <row r="43" spans="1:3" x14ac:dyDescent="0.25">
      <c r="A43" s="3">
        <v>2032</v>
      </c>
      <c r="B43" s="3" t="s">
        <v>180</v>
      </c>
      <c r="C43" s="24" t="s">
        <v>144</v>
      </c>
    </row>
    <row r="44" spans="1:3" x14ac:dyDescent="0.25">
      <c r="A44" s="3">
        <v>2033</v>
      </c>
      <c r="B44" s="3" t="s">
        <v>181</v>
      </c>
      <c r="C44" s="24" t="s">
        <v>145</v>
      </c>
    </row>
    <row r="45" spans="1:3" x14ac:dyDescent="0.25">
      <c r="A45" s="3">
        <v>2034</v>
      </c>
      <c r="B45" s="3" t="s">
        <v>182</v>
      </c>
      <c r="C45" s="24" t="s">
        <v>146</v>
      </c>
    </row>
    <row r="46" spans="1:3" x14ac:dyDescent="0.25">
      <c r="A46" s="3">
        <v>2035</v>
      </c>
      <c r="B46" s="3" t="s">
        <v>183</v>
      </c>
      <c r="C46" s="24" t="s">
        <v>147</v>
      </c>
    </row>
    <row r="47" spans="1:3" x14ac:dyDescent="0.25">
      <c r="A47" s="3">
        <v>2036</v>
      </c>
      <c r="B47" s="3" t="s">
        <v>184</v>
      </c>
      <c r="C47" s="24" t="s">
        <v>149</v>
      </c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00"/>
  <sheetViews>
    <sheetView workbookViewId="0">
      <pane ySplit="1" topLeftCell="A2" activePane="bottomLeft" state="frozen"/>
      <selection pane="bottomLeft" activeCell="E12" sqref="E1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1" width="9" style="17" customWidth="1"/>
    <col min="12" max="12" width="9" style="17"/>
    <col min="13" max="13" width="9" style="3"/>
    <col min="14" max="14" width="9" style="17"/>
    <col min="15" max="16384" width="9" style="3"/>
  </cols>
  <sheetData>
    <row r="1" spans="1:14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68</v>
      </c>
      <c r="F1" s="2" t="s">
        <v>6</v>
      </c>
      <c r="G1" s="2" t="s">
        <v>7</v>
      </c>
      <c r="H1" s="2" t="s">
        <v>8</v>
      </c>
      <c r="J1" s="2" t="s">
        <v>9</v>
      </c>
      <c r="K1" s="16" t="s">
        <v>106</v>
      </c>
      <c r="L1" s="16" t="s">
        <v>86</v>
      </c>
      <c r="M1" s="15" t="s">
        <v>88</v>
      </c>
      <c r="N1" s="16" t="s">
        <v>87</v>
      </c>
    </row>
    <row r="2" spans="1:14" x14ac:dyDescent="0.25">
      <c r="A2" s="3">
        <v>1</v>
      </c>
      <c r="B2" s="3">
        <v>1001</v>
      </c>
      <c r="C2" s="3" t="s">
        <v>30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  <c r="K2" s="17">
        <f>IF(裝備!F2&gt;0,1/裝備!F2,0)</f>
        <v>0</v>
      </c>
      <c r="L2" s="17">
        <f>IF(裝備!F2&gt;0,(裝備!D2 + 裝備!D2 * 裝備!E2) / 裝備!F2,0)</f>
        <v>0</v>
      </c>
      <c r="M2" s="3">
        <v>0</v>
      </c>
      <c r="N2" s="17">
        <f>IF(裝備!L2&gt;0,裝備!M2/裝備!L2,0)</f>
        <v>0</v>
      </c>
    </row>
    <row r="3" spans="1:14" x14ac:dyDescent="0.25">
      <c r="A3" s="3">
        <v>2</v>
      </c>
      <c r="B3" s="3">
        <v>1002</v>
      </c>
      <c r="C3" s="3" t="s">
        <v>31</v>
      </c>
      <c r="D3" s="3">
        <v>1</v>
      </c>
      <c r="E3" s="3">
        <v>0</v>
      </c>
      <c r="F3" s="3">
        <v>1</v>
      </c>
      <c r="G3" s="3" t="s">
        <v>13</v>
      </c>
      <c r="H3" s="3" t="s">
        <v>18</v>
      </c>
      <c r="J3" s="3" t="s">
        <v>28</v>
      </c>
      <c r="K3" s="17">
        <f>IF(裝備!F3&gt;0,1/裝備!F3,0)</f>
        <v>1</v>
      </c>
      <c r="L3" s="17">
        <f>IF(裝備!F3&gt;0,(裝備!D3 + 裝備!D3 * 裝備!E3) / 裝備!F3,0)</f>
        <v>1</v>
      </c>
      <c r="M3" s="3">
        <v>8</v>
      </c>
      <c r="N3" s="17">
        <f>IF(裝備!L3&gt;0,裝備!M3/裝備!L3,0)</f>
        <v>8</v>
      </c>
    </row>
    <row r="4" spans="1:14" x14ac:dyDescent="0.25">
      <c r="A4" s="3">
        <v>3</v>
      </c>
      <c r="B4" s="3">
        <v>1003</v>
      </c>
      <c r="C4" s="3" t="s">
        <v>105</v>
      </c>
      <c r="D4" s="3">
        <v>2</v>
      </c>
      <c r="E4" s="3">
        <v>0.5</v>
      </c>
      <c r="F4" s="3">
        <v>2</v>
      </c>
      <c r="G4" s="3" t="s">
        <v>13</v>
      </c>
      <c r="H4" s="3" t="s">
        <v>18</v>
      </c>
      <c r="J4" s="3" t="s">
        <v>91</v>
      </c>
      <c r="K4" s="17">
        <f>IF(裝備!F4&gt;0,1/裝備!F4,0)</f>
        <v>0.5</v>
      </c>
      <c r="L4" s="17">
        <f>IF(裝備!F4&gt;0,(裝備!D4 + 裝備!D4 * 裝備!E4) / 裝備!F4,0)</f>
        <v>1.5</v>
      </c>
      <c r="M4" s="3">
        <v>8</v>
      </c>
      <c r="N4" s="17">
        <f>IF(裝備!L4&gt;0,裝備!M4/裝備!L4,0)</f>
        <v>5.333333333333333</v>
      </c>
    </row>
    <row r="5" spans="1:14" x14ac:dyDescent="0.25">
      <c r="A5" s="3">
        <v>4</v>
      </c>
      <c r="B5" s="3">
        <v>1004</v>
      </c>
      <c r="C5" s="3" t="s">
        <v>31</v>
      </c>
      <c r="D5" s="3">
        <v>1</v>
      </c>
      <c r="E5" s="3">
        <v>0.1</v>
      </c>
      <c r="F5" s="3">
        <v>0.5</v>
      </c>
      <c r="G5" s="3" t="s">
        <v>13</v>
      </c>
      <c r="H5" s="6" t="s">
        <v>24</v>
      </c>
      <c r="J5" s="3" t="s">
        <v>93</v>
      </c>
      <c r="K5" s="17">
        <f>IF(裝備!F5&gt;0,1/裝備!F5,0)</f>
        <v>2</v>
      </c>
      <c r="L5" s="17">
        <f>IF(裝備!F5&gt;0,(裝備!D5 + 裝備!D5 * 裝備!E5) / 裝備!F5,0)</f>
        <v>2.2000000000000002</v>
      </c>
      <c r="M5" s="3">
        <v>8</v>
      </c>
      <c r="N5" s="17">
        <f>IF(裝備!L5&gt;0,裝備!M5/裝備!L5,0)</f>
        <v>3.6363636363636362</v>
      </c>
    </row>
    <row r="6" spans="1:14" x14ac:dyDescent="0.25">
      <c r="A6" s="3">
        <v>5</v>
      </c>
      <c r="B6" s="3">
        <v>1005</v>
      </c>
      <c r="C6" s="3" t="s">
        <v>31</v>
      </c>
      <c r="D6" s="3">
        <v>3</v>
      </c>
      <c r="E6" s="3">
        <v>0</v>
      </c>
      <c r="F6" s="3">
        <v>1</v>
      </c>
      <c r="G6" s="3" t="s">
        <v>15</v>
      </c>
      <c r="H6" s="3" t="s">
        <v>20</v>
      </c>
      <c r="J6" s="3" t="s">
        <v>29</v>
      </c>
      <c r="K6" s="17">
        <f>IF(裝備!F6&gt;0,1/裝備!F6,0)</f>
        <v>1</v>
      </c>
      <c r="L6" s="17">
        <f>IF(裝備!F6&gt;0,(裝備!D6 + 裝備!D6 * 裝備!E6) / 裝備!F6,0)</f>
        <v>3</v>
      </c>
      <c r="M6" s="3">
        <v>8</v>
      </c>
      <c r="N6" s="17">
        <f>IF(裝備!L6&gt;0,裝備!M6/裝備!L6,0)</f>
        <v>2.6666666666666665</v>
      </c>
    </row>
    <row r="7" spans="1:14" x14ac:dyDescent="0.25">
      <c r="A7" s="3">
        <v>6</v>
      </c>
      <c r="B7" s="3">
        <v>1006</v>
      </c>
      <c r="C7" s="3" t="s">
        <v>31</v>
      </c>
      <c r="D7" s="3">
        <v>3</v>
      </c>
      <c r="E7" s="3">
        <v>0.2</v>
      </c>
      <c r="F7" s="3">
        <v>1</v>
      </c>
      <c r="G7" s="3" t="s">
        <v>15</v>
      </c>
      <c r="H7" s="3" t="s">
        <v>20</v>
      </c>
      <c r="J7" s="3" t="s">
        <v>96</v>
      </c>
      <c r="K7" s="17">
        <f>IF(裝備!F7&gt;0,1/裝備!F7,0)</f>
        <v>1</v>
      </c>
      <c r="L7" s="17">
        <f>IF(裝備!F7&gt;0,(裝備!D7 + 裝備!D7 * 裝備!E7) / 裝備!F7,0)</f>
        <v>3.6</v>
      </c>
      <c r="M7" s="3">
        <v>8</v>
      </c>
      <c r="N7" s="17">
        <f>IF(裝備!L7&gt;0,裝備!M7/裝備!L7,0)</f>
        <v>2.2222222222222223</v>
      </c>
    </row>
    <row r="8" spans="1:14" x14ac:dyDescent="0.25">
      <c r="A8" s="3">
        <v>7</v>
      </c>
      <c r="B8" s="3">
        <v>1007</v>
      </c>
      <c r="C8" s="3" t="s">
        <v>31</v>
      </c>
      <c r="D8" s="3">
        <v>6</v>
      </c>
      <c r="E8" s="3">
        <v>0.8</v>
      </c>
      <c r="F8" s="3">
        <v>2.5</v>
      </c>
      <c r="G8" s="3" t="s">
        <v>15</v>
      </c>
      <c r="H8" s="3" t="s">
        <v>20</v>
      </c>
      <c r="J8" s="3" t="s">
        <v>98</v>
      </c>
      <c r="K8" s="17">
        <f>IF(裝備!F8&gt;0,1/裝備!F8,0)</f>
        <v>0.4</v>
      </c>
      <c r="L8" s="17">
        <f>IF(裝備!F8&gt;0,(裝備!D8 + 裝備!D8 * 裝備!E8) / 裝備!F8,0)</f>
        <v>4.32</v>
      </c>
      <c r="M8" s="3">
        <v>8</v>
      </c>
      <c r="N8" s="17">
        <f>IF(裝備!L8&gt;0,裝備!M8/裝備!L8,0)</f>
        <v>1.8518518518518516</v>
      </c>
    </row>
    <row r="9" spans="1:14" x14ac:dyDescent="0.25">
      <c r="A9" s="3">
        <v>8</v>
      </c>
      <c r="B9" s="3">
        <v>1008</v>
      </c>
      <c r="C9" s="3" t="s">
        <v>31</v>
      </c>
      <c r="D9" s="3">
        <v>2</v>
      </c>
      <c r="E9" s="3">
        <v>0.25</v>
      </c>
      <c r="F9" s="3">
        <v>0.5</v>
      </c>
      <c r="G9" s="3" t="s">
        <v>15</v>
      </c>
      <c r="H9" s="3" t="s">
        <v>22</v>
      </c>
      <c r="J9" s="3" t="s">
        <v>100</v>
      </c>
      <c r="K9" s="17">
        <f>IF(裝備!F9&gt;0,1/裝備!F9,0)</f>
        <v>2</v>
      </c>
      <c r="L9" s="17">
        <f>IF(裝備!F9&gt;0,(裝備!D9 + 裝備!D9 * 裝備!E9) / 裝備!F9,0)</f>
        <v>5</v>
      </c>
      <c r="M9" s="3">
        <v>8</v>
      </c>
      <c r="N9" s="17">
        <f>IF(裝備!L9&gt;0,裝備!M9/裝備!L9,0)</f>
        <v>1.6</v>
      </c>
    </row>
    <row r="10" spans="1:14" x14ac:dyDescent="0.25">
      <c r="A10" s="3">
        <v>9</v>
      </c>
      <c r="B10" s="3">
        <v>1009</v>
      </c>
      <c r="C10" s="3" t="s">
        <v>31</v>
      </c>
      <c r="D10" s="3">
        <v>4</v>
      </c>
      <c r="E10" s="3">
        <v>0.5</v>
      </c>
      <c r="F10" s="3">
        <v>1</v>
      </c>
      <c r="G10" s="3" t="s">
        <v>15</v>
      </c>
      <c r="H10" s="3" t="s">
        <v>22</v>
      </c>
      <c r="J10" s="3" t="s">
        <v>101</v>
      </c>
      <c r="K10" s="17">
        <f>IF(裝備!F10&gt;0,1/裝備!F10,0)</f>
        <v>1</v>
      </c>
      <c r="L10" s="17">
        <f>IF(裝備!F10&gt;0,(裝備!D10 + 裝備!D10 * 裝備!E10) / 裝備!F10,0)</f>
        <v>6</v>
      </c>
      <c r="M10" s="3">
        <v>8</v>
      </c>
      <c r="N10" s="17">
        <f>IF(裝備!L10&gt;0,裝備!M10/裝備!L10,0)</f>
        <v>1.3333333333333333</v>
      </c>
    </row>
    <row r="11" spans="1:14" x14ac:dyDescent="0.25">
      <c r="A11" s="3">
        <v>10</v>
      </c>
      <c r="B11" s="3">
        <v>1010</v>
      </c>
      <c r="C11" s="3" t="s">
        <v>31</v>
      </c>
      <c r="D11" s="3">
        <v>2</v>
      </c>
      <c r="E11" s="3">
        <v>0</v>
      </c>
      <c r="F11" s="3">
        <v>0.25</v>
      </c>
      <c r="G11" s="3" t="s">
        <v>15</v>
      </c>
      <c r="H11" s="3" t="s">
        <v>22</v>
      </c>
      <c r="J11" s="3" t="s">
        <v>103</v>
      </c>
      <c r="K11" s="17">
        <f>IF(裝備!F11&gt;0,1/裝備!F11,0)</f>
        <v>4</v>
      </c>
      <c r="L11" s="17">
        <f>IF(裝備!F11&gt;0,(裝備!D11 + 裝備!D11 * 裝備!E11) / 裝備!F11,0)</f>
        <v>8</v>
      </c>
      <c r="M11" s="3">
        <v>8</v>
      </c>
      <c r="N11" s="17">
        <f>IF(裝備!L11&gt;0,裝備!M11/裝備!L11,0)</f>
        <v>1</v>
      </c>
    </row>
    <row r="12" spans="1:14" x14ac:dyDescent="0.25">
      <c r="K12" s="17">
        <f>IF(裝備!F12&gt;0,1/裝備!F12,0)</f>
        <v>0</v>
      </c>
      <c r="L12" s="17">
        <f>IF(裝備!F12&gt;0,(裝備!D12 + 裝備!D12 * 裝備!E12) / 裝備!F12,0)</f>
        <v>0</v>
      </c>
      <c r="M12" s="3">
        <v>8</v>
      </c>
      <c r="N12" s="17">
        <f>IF(裝備!L12&gt;0,裝備!M12/裝備!L12,0)</f>
        <v>0</v>
      </c>
    </row>
    <row r="13" spans="1:14" x14ac:dyDescent="0.25">
      <c r="K13" s="17">
        <f>IF(裝備!F13&gt;0,1/裝備!F13,0)</f>
        <v>0</v>
      </c>
      <c r="L13" s="17">
        <f>IF(裝備!F13&gt;0,(裝備!D13 + 裝備!D13 * 裝備!E13) / 裝備!F13,0)</f>
        <v>0</v>
      </c>
      <c r="M13" s="3">
        <v>8</v>
      </c>
      <c r="N13" s="17">
        <f>IF(裝備!L13&gt;0,裝備!M13/裝備!L13,0)</f>
        <v>0</v>
      </c>
    </row>
    <row r="14" spans="1:14" x14ac:dyDescent="0.25">
      <c r="K14" s="17">
        <f>IF(裝備!F14&gt;0,1/裝備!F14,0)</f>
        <v>0</v>
      </c>
      <c r="L14" s="17">
        <f>IF(裝備!F14&gt;0,(裝備!D14 + 裝備!D14 * 裝備!E14) / 裝備!F14,0)</f>
        <v>0</v>
      </c>
      <c r="M14" s="3">
        <v>8</v>
      </c>
      <c r="N14" s="17">
        <f>IF(裝備!L14&gt;0,裝備!M14/裝備!L14,0)</f>
        <v>0</v>
      </c>
    </row>
    <row r="15" spans="1:14" x14ac:dyDescent="0.25">
      <c r="K15" s="17">
        <f>IF(裝備!F15&gt;0,1/裝備!F15,0)</f>
        <v>0</v>
      </c>
      <c r="L15" s="17">
        <f>IF(裝備!F15&gt;0,(裝備!D15 + 裝備!D15 * 裝備!E15) / 裝備!F15,0)</f>
        <v>0</v>
      </c>
      <c r="M15" s="3">
        <v>8</v>
      </c>
      <c r="N15" s="17">
        <f>IF(裝備!L15&gt;0,裝備!M15/裝備!L15,0)</f>
        <v>0</v>
      </c>
    </row>
    <row r="16" spans="1:14" x14ac:dyDescent="0.25">
      <c r="K16" s="17">
        <f>IF(裝備!F16&gt;0,1/裝備!F16,0)</f>
        <v>0</v>
      </c>
      <c r="L16" s="17">
        <f>IF(裝備!F16&gt;0,(裝備!D16 + 裝備!D16 * 裝備!E16) / 裝備!F16,0)</f>
        <v>0</v>
      </c>
      <c r="M16" s="3">
        <v>8</v>
      </c>
      <c r="N16" s="17">
        <f>IF(裝備!L16&gt;0,裝備!M16/裝備!L16,0)</f>
        <v>0</v>
      </c>
    </row>
    <row r="17" spans="1:14" x14ac:dyDescent="0.25">
      <c r="K17" s="17">
        <f>IF(裝備!F17&gt;0,1/裝備!F17,0)</f>
        <v>0</v>
      </c>
      <c r="L17" s="17">
        <f>IF(裝備!F17&gt;0,(裝備!D17 + 裝備!D17 * 裝備!E17) / 裝備!F17,0)</f>
        <v>0</v>
      </c>
      <c r="M17" s="3">
        <v>8</v>
      </c>
      <c r="N17" s="17">
        <f>IF(裝備!L17&gt;0,裝備!M17/裝備!L17,0)</f>
        <v>0</v>
      </c>
    </row>
    <row r="18" spans="1:14" x14ac:dyDescent="0.25">
      <c r="K18" s="17">
        <f>IF(裝備!F18&gt;0,1/裝備!F18,0)</f>
        <v>0</v>
      </c>
      <c r="L18" s="17">
        <f>IF(裝備!F18&gt;0,(裝備!D18 + 裝備!D18 * 裝備!E18) / 裝備!F18,0)</f>
        <v>0</v>
      </c>
      <c r="M18" s="3">
        <v>8</v>
      </c>
      <c r="N18" s="17">
        <f>IF(裝備!L18&gt;0,裝備!M18/裝備!L18,0)</f>
        <v>0</v>
      </c>
    </row>
    <row r="19" spans="1:14" x14ac:dyDescent="0.25">
      <c r="K19" s="17">
        <f>IF(裝備!F19&gt;0,1/裝備!F19,0)</f>
        <v>0</v>
      </c>
      <c r="L19" s="17">
        <f>IF(裝備!F19&gt;0,(裝備!D19 + 裝備!D19 * 裝備!E19) / 裝備!F19,0)</f>
        <v>0</v>
      </c>
      <c r="M19" s="3">
        <v>8</v>
      </c>
      <c r="N19" s="17">
        <f>IF(裝備!L19&gt;0,裝備!M19/裝備!L19,0)</f>
        <v>0</v>
      </c>
    </row>
    <row r="20" spans="1:14" x14ac:dyDescent="0.25">
      <c r="K20" s="17">
        <f>IF(裝備!F20&gt;0,1/裝備!F20,0)</f>
        <v>0</v>
      </c>
      <c r="L20" s="17">
        <f>IF(裝備!F20&gt;0,(裝備!D20 + 裝備!D20 * 裝備!E20) / 裝備!F20,0)</f>
        <v>0</v>
      </c>
      <c r="M20" s="3">
        <v>8</v>
      </c>
      <c r="N20" s="17">
        <f>IF(裝備!L20&gt;0,裝備!M20/裝備!L20,0)</f>
        <v>0</v>
      </c>
    </row>
    <row r="21" spans="1:14" x14ac:dyDescent="0.25">
      <c r="K21" s="17">
        <f>IF(裝備!F21&gt;0,1/裝備!F21,0)</f>
        <v>0</v>
      </c>
      <c r="L21" s="17">
        <f>IF(裝備!F21&gt;0,(裝備!D21 + 裝備!D21 * 裝備!E21) / 裝備!F21,0)</f>
        <v>0</v>
      </c>
      <c r="M21" s="3">
        <v>8</v>
      </c>
      <c r="N21" s="17">
        <f>IF(裝備!L21&gt;0,裝備!M21/裝備!L21,0)</f>
        <v>0</v>
      </c>
    </row>
    <row r="22" spans="1:14" x14ac:dyDescent="0.25">
      <c r="K22" s="17">
        <f>IF(裝備!F22&gt;0,1/裝備!F22,0)</f>
        <v>0</v>
      </c>
      <c r="L22" s="17">
        <f>IF(裝備!F22&gt;0,(裝備!D22 + 裝備!D22 * 裝備!E22) / 裝備!F22,0)</f>
        <v>0</v>
      </c>
      <c r="M22" s="3">
        <v>8</v>
      </c>
      <c r="N22" s="17">
        <f>IF(裝備!L22&gt;0,裝備!M22/裝備!L22,0)</f>
        <v>0</v>
      </c>
    </row>
    <row r="23" spans="1:14" x14ac:dyDescent="0.25">
      <c r="K23" s="17">
        <f>IF(裝備!F23&gt;0,1/裝備!F23,0)</f>
        <v>0</v>
      </c>
      <c r="L23" s="17">
        <f>IF(裝備!F23&gt;0,(裝備!D23 + 裝備!D23 * 裝備!E23) / 裝備!F23,0)</f>
        <v>0</v>
      </c>
      <c r="M23" s="3">
        <v>8</v>
      </c>
      <c r="N23" s="17">
        <f>IF(裝備!L23&gt;0,裝備!M23/裝備!L23,0)</f>
        <v>0</v>
      </c>
    </row>
    <row r="24" spans="1:14" x14ac:dyDescent="0.25">
      <c r="K24" s="17">
        <f>IF(裝備!F24&gt;0,1/裝備!F24,0)</f>
        <v>0</v>
      </c>
      <c r="L24" s="17">
        <f>IF(裝備!F24&gt;0,(裝備!D24 + 裝備!D24 * 裝備!E24) / 裝備!F24,0)</f>
        <v>0</v>
      </c>
      <c r="M24" s="3">
        <v>8</v>
      </c>
      <c r="N24" s="17">
        <f>IF(裝備!L24&gt;0,裝備!M24/裝備!L24,0)</f>
        <v>0</v>
      </c>
    </row>
    <row r="25" spans="1:14" x14ac:dyDescent="0.25">
      <c r="K25" s="17">
        <f>IF(裝備!F25&gt;0,1/裝備!F25,0)</f>
        <v>0</v>
      </c>
      <c r="L25" s="17">
        <f>IF(裝備!F25&gt;0,(裝備!D25 + 裝備!D25 * 裝備!E25) / 裝備!F25,0)</f>
        <v>0</v>
      </c>
      <c r="M25" s="3">
        <v>8</v>
      </c>
      <c r="N25" s="17">
        <f>IF(裝備!L25&gt;0,裝備!M25/裝備!L25,0)</f>
        <v>0</v>
      </c>
    </row>
    <row r="26" spans="1:14" x14ac:dyDescent="0.25">
      <c r="K26" s="17">
        <f>IF(裝備!F26&gt;0,1/裝備!F26,0)</f>
        <v>0</v>
      </c>
      <c r="L26" s="17">
        <f>IF(裝備!F26&gt;0,(裝備!D26 + 裝備!D26 * 裝備!E26) / 裝備!F26,0)</f>
        <v>0</v>
      </c>
      <c r="M26" s="3">
        <v>8</v>
      </c>
      <c r="N26" s="17">
        <f>IF(裝備!L26&gt;0,裝備!M26/裝備!L26,0)</f>
        <v>0</v>
      </c>
    </row>
    <row r="27" spans="1:14" x14ac:dyDescent="0.25">
      <c r="K27" s="17">
        <f>IF(裝備!F27&gt;0,1/裝備!F27,0)</f>
        <v>0</v>
      </c>
      <c r="L27" s="17">
        <f>IF(裝備!F27&gt;0,(裝備!D27 + 裝備!D27 * 裝備!E27) / 裝備!F27,0)</f>
        <v>0</v>
      </c>
      <c r="M27" s="3">
        <v>8</v>
      </c>
      <c r="N27" s="17">
        <f>IF(裝備!L27&gt;0,裝備!M27/裝備!L27,0)</f>
        <v>0</v>
      </c>
    </row>
    <row r="28" spans="1:14" x14ac:dyDescent="0.25">
      <c r="K28" s="17">
        <f>IF(裝備!F28&gt;0,1/裝備!F28,0)</f>
        <v>0</v>
      </c>
      <c r="L28" s="17">
        <f>IF(裝備!F28&gt;0,(裝備!D28 + 裝備!D28 * 裝備!E28) / 裝備!F28,0)</f>
        <v>0</v>
      </c>
      <c r="M28" s="3">
        <v>8</v>
      </c>
      <c r="N28" s="17">
        <f>IF(裝備!L28&gt;0,裝備!M28/裝備!L28,0)</f>
        <v>0</v>
      </c>
    </row>
    <row r="29" spans="1:14" x14ac:dyDescent="0.25">
      <c r="K29" s="17">
        <f>IF(裝備!F29&gt;0,1/裝備!F29,0)</f>
        <v>0</v>
      </c>
      <c r="L29" s="17">
        <f>IF(裝備!F29&gt;0,(裝備!D29 + 裝備!D29 * 裝備!E29) / 裝備!F29,0)</f>
        <v>0</v>
      </c>
      <c r="M29" s="3">
        <v>8</v>
      </c>
      <c r="N29" s="17">
        <f>IF(裝備!L29&gt;0,裝備!M29/裝備!L29,0)</f>
        <v>0</v>
      </c>
    </row>
    <row r="30" spans="1:14" x14ac:dyDescent="0.25">
      <c r="K30" s="17">
        <f>IF(裝備!F30&gt;0,1/裝備!F30,0)</f>
        <v>0</v>
      </c>
      <c r="L30" s="17">
        <f>IF(裝備!F30&gt;0,(裝備!D30 + 裝備!D30 * 裝備!E30) / 裝備!F30,0)</f>
        <v>0</v>
      </c>
      <c r="M30" s="3">
        <v>8</v>
      </c>
      <c r="N30" s="17">
        <f>IF(裝備!L30&gt;0,裝備!M30/裝備!L30,0)</f>
        <v>0</v>
      </c>
    </row>
    <row r="31" spans="1:14" x14ac:dyDescent="0.25">
      <c r="A31" s="25"/>
      <c r="H31" s="18"/>
      <c r="K31" s="17">
        <f>IF(裝備!F31&gt;0,1/裝備!F31,0)</f>
        <v>0</v>
      </c>
      <c r="L31" s="17">
        <f>IF(裝備!F31&gt;0,(裝備!D31 + 裝備!D31 * 裝備!E31) / 裝備!F31,0)</f>
        <v>0</v>
      </c>
      <c r="M31" s="3">
        <v>8</v>
      </c>
      <c r="N31" s="17">
        <f>IF(裝備!L31&gt;0,裝備!M31/裝備!L31,0)</f>
        <v>0</v>
      </c>
    </row>
    <row r="32" spans="1:14" x14ac:dyDescent="0.25">
      <c r="A32" s="25"/>
      <c r="H32" s="18"/>
      <c r="K32" s="17">
        <f>IF(裝備!F32&gt;0,1/裝備!F32,0)</f>
        <v>0</v>
      </c>
      <c r="L32" s="17">
        <f>IF(裝備!F32&gt;0,(裝備!D32 + 裝備!D32 * 裝備!E32) / 裝備!F32,0)</f>
        <v>0</v>
      </c>
      <c r="M32" s="3">
        <v>8</v>
      </c>
      <c r="N32" s="17">
        <f>IF(裝備!L32&gt;0,裝備!M32/裝備!L32,0)</f>
        <v>0</v>
      </c>
    </row>
    <row r="33" spans="1:14" x14ac:dyDescent="0.25">
      <c r="A33" s="25"/>
      <c r="H33" s="18"/>
      <c r="K33" s="17">
        <f>IF(裝備!F33&gt;0,1/裝備!F33,0)</f>
        <v>0</v>
      </c>
      <c r="L33" s="17">
        <f>IF(裝備!F33&gt;0,(裝備!D33 + 裝備!D33 * 裝備!E33) / 裝備!F33,0)</f>
        <v>0</v>
      </c>
      <c r="M33" s="3">
        <v>8</v>
      </c>
      <c r="N33" s="17">
        <f>IF(裝備!L33&gt;0,裝備!M33/裝備!L33,0)</f>
        <v>0</v>
      </c>
    </row>
    <row r="34" spans="1:14" x14ac:dyDescent="0.25">
      <c r="A34" s="25"/>
      <c r="H34" s="18"/>
      <c r="K34" s="17">
        <f>IF(裝備!F34&gt;0,1/裝備!F34,0)</f>
        <v>0</v>
      </c>
      <c r="L34" s="17">
        <f>IF(裝備!F34&gt;0,(裝備!D34 + 裝備!D34 * 裝備!E34) / 裝備!F34,0)</f>
        <v>0</v>
      </c>
      <c r="M34" s="3">
        <v>8</v>
      </c>
      <c r="N34" s="17">
        <f>IF(裝備!L34&gt;0,裝備!M34/裝備!L34,0)</f>
        <v>0</v>
      </c>
    </row>
    <row r="35" spans="1:14" x14ac:dyDescent="0.25">
      <c r="A35" s="25"/>
      <c r="H35" s="18"/>
      <c r="K35" s="17">
        <f>IF(裝備!F35&gt;0,1/裝備!F35,0)</f>
        <v>0</v>
      </c>
      <c r="L35" s="17">
        <f>IF(裝備!F35&gt;0,(裝備!D35 + 裝備!D35 * 裝備!E35) / 裝備!F35,0)</f>
        <v>0</v>
      </c>
      <c r="M35" s="3">
        <v>8</v>
      </c>
      <c r="N35" s="17">
        <f>IF(裝備!L35&gt;0,裝備!M35/裝備!L35,0)</f>
        <v>0</v>
      </c>
    </row>
    <row r="36" spans="1:14" x14ac:dyDescent="0.25">
      <c r="A36" s="25"/>
      <c r="H36" s="18"/>
      <c r="K36" s="17">
        <f>IF(裝備!F36&gt;0,1/裝備!F36,0)</f>
        <v>0</v>
      </c>
      <c r="L36" s="17">
        <f>IF(裝備!F36&gt;0,(裝備!D36 + 裝備!D36 * 裝備!E36) / 裝備!F36,0)</f>
        <v>0</v>
      </c>
      <c r="M36" s="3">
        <v>8</v>
      </c>
      <c r="N36" s="17">
        <f>IF(裝備!L36&gt;0,裝備!M36/裝備!L36,0)</f>
        <v>0</v>
      </c>
    </row>
    <row r="37" spans="1:14" x14ac:dyDescent="0.25">
      <c r="A37" s="25"/>
      <c r="H37" s="18"/>
      <c r="K37" s="17">
        <f>IF(裝備!F37&gt;0,1/裝備!F37,0)</f>
        <v>0</v>
      </c>
      <c r="L37" s="17">
        <f>IF(裝備!F37&gt;0,(裝備!D37 + 裝備!D37 * 裝備!E37) / 裝備!F37,0)</f>
        <v>0</v>
      </c>
      <c r="M37" s="3">
        <v>8</v>
      </c>
      <c r="N37" s="17">
        <f>IF(裝備!L37&gt;0,裝備!M37/裝備!L37,0)</f>
        <v>0</v>
      </c>
    </row>
    <row r="38" spans="1:14" x14ac:dyDescent="0.25">
      <c r="A38" s="25"/>
      <c r="H38" s="18"/>
      <c r="K38" s="17">
        <f>IF(裝備!F38&gt;0,1/裝備!F38,0)</f>
        <v>0</v>
      </c>
      <c r="L38" s="17">
        <f>IF(裝備!F38&gt;0,(裝備!D38 + 裝備!D38 * 裝備!E38) / 裝備!F38,0)</f>
        <v>0</v>
      </c>
      <c r="M38" s="3">
        <v>8</v>
      </c>
      <c r="N38" s="17">
        <f>IF(裝備!L38&gt;0,裝備!M38/裝備!L38,0)</f>
        <v>0</v>
      </c>
    </row>
    <row r="39" spans="1:14" x14ac:dyDescent="0.25">
      <c r="A39" s="25"/>
      <c r="H39" s="18"/>
      <c r="K39" s="17">
        <f>IF(裝備!F39&gt;0,1/裝備!F39,0)</f>
        <v>0</v>
      </c>
      <c r="L39" s="17">
        <f>IF(裝備!F39&gt;0,(裝備!D39 + 裝備!D39 * 裝備!E39) / 裝備!F39,0)</f>
        <v>0</v>
      </c>
      <c r="M39" s="3">
        <v>8</v>
      </c>
      <c r="N39" s="17">
        <f>IF(裝備!L39&gt;0,裝備!M39/裝備!L39,0)</f>
        <v>0</v>
      </c>
    </row>
    <row r="40" spans="1:14" x14ac:dyDescent="0.25">
      <c r="A40" s="25"/>
      <c r="H40" s="18"/>
      <c r="K40" s="17">
        <f>IF(裝備!F40&gt;0,1/裝備!F40,0)</f>
        <v>0</v>
      </c>
      <c r="L40" s="17">
        <f>IF(裝備!F40&gt;0,(裝備!D40 + 裝備!D40 * 裝備!E40) / 裝備!F40,0)</f>
        <v>0</v>
      </c>
      <c r="M40" s="3">
        <v>8</v>
      </c>
      <c r="N40" s="17">
        <f>IF(裝備!L40&gt;0,裝備!M40/裝備!L40,0)</f>
        <v>0</v>
      </c>
    </row>
    <row r="41" spans="1:14" x14ac:dyDescent="0.25">
      <c r="A41" s="25"/>
      <c r="H41" s="18"/>
      <c r="K41" s="17">
        <f>IF(裝備!F41&gt;0,1/裝備!F41,0)</f>
        <v>0</v>
      </c>
      <c r="L41" s="17">
        <f>IF(裝備!F41&gt;0,(裝備!D41 + 裝備!D41 * 裝備!E41) / 裝備!F41,0)</f>
        <v>0</v>
      </c>
      <c r="M41" s="3">
        <v>8</v>
      </c>
      <c r="N41" s="17">
        <f>IF(裝備!L41&gt;0,裝備!M41/裝備!L41,0)</f>
        <v>0</v>
      </c>
    </row>
    <row r="42" spans="1:14" x14ac:dyDescent="0.25">
      <c r="A42" s="25"/>
      <c r="H42" s="18"/>
      <c r="K42" s="17">
        <f>IF(裝備!F42&gt;0,1/裝備!F42,0)</f>
        <v>0</v>
      </c>
      <c r="L42" s="17">
        <f>IF(裝備!F42&gt;0,(裝備!D42 + 裝備!D42 * 裝備!E42) / 裝備!F42,0)</f>
        <v>0</v>
      </c>
      <c r="M42" s="3">
        <v>8</v>
      </c>
      <c r="N42" s="17">
        <f>IF(裝備!L42&gt;0,裝備!M42/裝備!L42,0)</f>
        <v>0</v>
      </c>
    </row>
    <row r="43" spans="1:14" x14ac:dyDescent="0.25">
      <c r="A43" s="25"/>
      <c r="H43" s="18"/>
      <c r="K43" s="17">
        <f>IF(裝備!F43&gt;0,1/裝備!F43,0)</f>
        <v>0</v>
      </c>
      <c r="L43" s="17">
        <f>IF(裝備!F43&gt;0,(裝備!D43 + 裝備!D43 * 裝備!E43) / 裝備!F43,0)</f>
        <v>0</v>
      </c>
      <c r="M43" s="3">
        <v>8</v>
      </c>
      <c r="N43" s="17">
        <f>IF(裝備!L43&gt;0,裝備!M43/裝備!L43,0)</f>
        <v>0</v>
      </c>
    </row>
    <row r="44" spans="1:14" x14ac:dyDescent="0.25">
      <c r="A44" s="25"/>
      <c r="H44" s="18"/>
      <c r="K44" s="17">
        <f>IF(裝備!F44&gt;0,1/裝備!F44,0)</f>
        <v>0</v>
      </c>
      <c r="L44" s="17">
        <f>IF(裝備!F44&gt;0,(裝備!D44 + 裝備!D44 * 裝備!E44) / 裝備!F44,0)</f>
        <v>0</v>
      </c>
      <c r="M44" s="3">
        <v>8</v>
      </c>
      <c r="N44" s="17">
        <f>IF(裝備!L44&gt;0,裝備!M44/裝備!L44,0)</f>
        <v>0</v>
      </c>
    </row>
    <row r="45" spans="1:14" x14ac:dyDescent="0.25">
      <c r="A45" s="25"/>
      <c r="H45" s="18"/>
      <c r="K45" s="17">
        <f>IF(裝備!F45&gt;0,1/裝備!F45,0)</f>
        <v>0</v>
      </c>
      <c r="L45" s="17">
        <f>IF(裝備!F45&gt;0,(裝備!D45 + 裝備!D45 * 裝備!E45) / 裝備!F45,0)</f>
        <v>0</v>
      </c>
      <c r="M45" s="3">
        <v>8</v>
      </c>
      <c r="N45" s="17">
        <f>IF(裝備!L45&gt;0,裝備!M45/裝備!L45,0)</f>
        <v>0</v>
      </c>
    </row>
    <row r="46" spans="1:14" x14ac:dyDescent="0.25">
      <c r="A46" s="25"/>
      <c r="H46" s="18"/>
      <c r="K46" s="17">
        <f>IF(裝備!F46&gt;0,1/裝備!F46,0)</f>
        <v>0</v>
      </c>
      <c r="L46" s="17">
        <f>IF(裝備!F46&gt;0,(裝備!D46 + 裝備!D46 * 裝備!E46) / 裝備!F46,0)</f>
        <v>0</v>
      </c>
      <c r="M46" s="3">
        <v>8</v>
      </c>
      <c r="N46" s="17">
        <f>IF(裝備!L46&gt;0,裝備!M46/裝備!L46,0)</f>
        <v>0</v>
      </c>
    </row>
    <row r="47" spans="1:14" x14ac:dyDescent="0.25">
      <c r="A47" s="25"/>
      <c r="H47" s="18"/>
      <c r="K47" s="17">
        <f>IF(裝備!F47&gt;0,1/裝備!F47,0)</f>
        <v>0</v>
      </c>
      <c r="L47" s="17">
        <f>IF(裝備!F47&gt;0,(裝備!D47 + 裝備!D47 * 裝備!E47) / 裝備!F47,0)</f>
        <v>0</v>
      </c>
      <c r="M47" s="3">
        <v>8</v>
      </c>
      <c r="N47" s="17">
        <f>IF(裝備!L47&gt;0,裝備!M47/裝備!L47,0)</f>
        <v>0</v>
      </c>
    </row>
    <row r="48" spans="1:14" x14ac:dyDescent="0.25">
      <c r="A48" s="25"/>
      <c r="H48" s="18"/>
      <c r="K48" s="17">
        <f>IF(裝備!F48&gt;0,1/裝備!F48,0)</f>
        <v>0</v>
      </c>
      <c r="L48" s="17">
        <f>IF(裝備!F48&gt;0,(裝備!D48 + 裝備!D48 * 裝備!E48) / 裝備!F48,0)</f>
        <v>0</v>
      </c>
      <c r="M48" s="3">
        <v>8</v>
      </c>
      <c r="N48" s="17">
        <f>IF(裝備!L48&gt;0,裝備!M48/裝備!L48,0)</f>
        <v>0</v>
      </c>
    </row>
    <row r="49" spans="1:14" x14ac:dyDescent="0.25">
      <c r="A49" s="25"/>
      <c r="H49" s="18"/>
      <c r="K49" s="17">
        <f>IF(裝備!F49&gt;0,1/裝備!F49,0)</f>
        <v>0</v>
      </c>
      <c r="L49" s="17">
        <f>IF(裝備!F49&gt;0,(裝備!D49 + 裝備!D49 * 裝備!E49) / 裝備!F49,0)</f>
        <v>0</v>
      </c>
      <c r="M49" s="3">
        <v>8</v>
      </c>
      <c r="N49" s="17">
        <f>IF(裝備!L49&gt;0,裝備!M49/裝備!L49,0)</f>
        <v>0</v>
      </c>
    </row>
    <row r="50" spans="1:14" x14ac:dyDescent="0.25">
      <c r="A50" s="25"/>
      <c r="H50" s="18"/>
      <c r="K50" s="17">
        <f>IF(裝備!F50&gt;0,1/裝備!F50,0)</f>
        <v>0</v>
      </c>
      <c r="L50" s="17">
        <f>IF(裝備!F50&gt;0,(裝備!D50 + 裝備!D50 * 裝備!E50) / 裝備!F50,0)</f>
        <v>0</v>
      </c>
      <c r="M50" s="3">
        <v>8</v>
      </c>
      <c r="N50" s="17">
        <f>IF(裝備!L50&gt;0,裝備!M50/裝備!L50,0)</f>
        <v>0</v>
      </c>
    </row>
    <row r="51" spans="1:14" x14ac:dyDescent="0.25">
      <c r="A51" s="25"/>
      <c r="H51" s="18"/>
      <c r="K51" s="17">
        <f>IF(裝備!F51&gt;0,1/裝備!F51,0)</f>
        <v>0</v>
      </c>
      <c r="L51" s="17">
        <f>IF(裝備!F51&gt;0,(裝備!D51 + 裝備!D51 * 裝備!E51) / 裝備!F51,0)</f>
        <v>0</v>
      </c>
      <c r="M51" s="3">
        <v>8</v>
      </c>
      <c r="N51" s="17">
        <f>IF(裝備!L51&gt;0,裝備!M51/裝備!L51,0)</f>
        <v>0</v>
      </c>
    </row>
    <row r="52" spans="1:14" x14ac:dyDescent="0.25">
      <c r="A52" s="25"/>
      <c r="H52" s="18"/>
      <c r="K52" s="17">
        <f>IF(裝備!F52&gt;0,1/裝備!F52,0)</f>
        <v>0</v>
      </c>
      <c r="L52" s="17">
        <f>IF(裝備!F52&gt;0,(裝備!D52 + 裝備!D52 * 裝備!E52) / 裝備!F52,0)</f>
        <v>0</v>
      </c>
      <c r="M52" s="3">
        <v>8</v>
      </c>
      <c r="N52" s="17">
        <f>IF(裝備!L52&gt;0,裝備!M52/裝備!L52,0)</f>
        <v>0</v>
      </c>
    </row>
    <row r="53" spans="1:14" x14ac:dyDescent="0.25">
      <c r="A53" s="25"/>
      <c r="H53" s="18"/>
      <c r="K53" s="17">
        <f>IF(裝備!F53&gt;0,1/裝備!F53,0)</f>
        <v>0</v>
      </c>
      <c r="L53" s="17">
        <f>IF(裝備!F53&gt;0,(裝備!D53 + 裝備!D53 * 裝備!E53) / 裝備!F53,0)</f>
        <v>0</v>
      </c>
      <c r="M53" s="3">
        <v>8</v>
      </c>
      <c r="N53" s="17">
        <f>IF(裝備!L53&gt;0,裝備!M53/裝備!L53,0)</f>
        <v>0</v>
      </c>
    </row>
    <row r="54" spans="1:14" x14ac:dyDescent="0.25">
      <c r="A54" s="25"/>
      <c r="H54" s="18"/>
      <c r="K54" s="17">
        <f>IF(裝備!F54&gt;0,1/裝備!F54,0)</f>
        <v>0</v>
      </c>
      <c r="L54" s="17">
        <f>IF(裝備!F54&gt;0,(裝備!D54 + 裝備!D54 * 裝備!E54) / 裝備!F54,0)</f>
        <v>0</v>
      </c>
      <c r="M54" s="3">
        <v>8</v>
      </c>
      <c r="N54" s="17">
        <f>IF(裝備!L54&gt;0,裝備!M54/裝備!L54,0)</f>
        <v>0</v>
      </c>
    </row>
    <row r="55" spans="1:14" x14ac:dyDescent="0.25">
      <c r="A55" s="25"/>
      <c r="H55" s="18"/>
      <c r="K55" s="17">
        <f>IF(裝備!F55&gt;0,1/裝備!F55,0)</f>
        <v>0</v>
      </c>
      <c r="L55" s="17">
        <f>IF(裝備!F55&gt;0,(裝備!D55 + 裝備!D55 * 裝備!E55) / 裝備!F55,0)</f>
        <v>0</v>
      </c>
      <c r="M55" s="3">
        <v>8</v>
      </c>
      <c r="N55" s="17">
        <f>IF(裝備!L55&gt;0,裝備!M55/裝備!L55,0)</f>
        <v>0</v>
      </c>
    </row>
    <row r="56" spans="1:14" x14ac:dyDescent="0.25">
      <c r="A56" s="25"/>
      <c r="H56" s="18"/>
      <c r="K56" s="17">
        <f>IF(裝備!F56&gt;0,1/裝備!F56,0)</f>
        <v>0</v>
      </c>
      <c r="L56" s="17">
        <f>IF(裝備!F56&gt;0,(裝備!D56 + 裝備!D56 * 裝備!E56) / 裝備!F56,0)</f>
        <v>0</v>
      </c>
      <c r="M56" s="3">
        <v>8</v>
      </c>
      <c r="N56" s="17">
        <f>IF(裝備!L56&gt;0,裝備!M56/裝備!L56,0)</f>
        <v>0</v>
      </c>
    </row>
    <row r="57" spans="1:14" x14ac:dyDescent="0.25">
      <c r="A57" s="25"/>
      <c r="H57" s="18"/>
      <c r="K57" s="17">
        <f>IF(裝備!F57&gt;0,1/裝備!F57,0)</f>
        <v>0</v>
      </c>
      <c r="L57" s="17">
        <f>IF(裝備!F57&gt;0,(裝備!D57 + 裝備!D57 * 裝備!E57) / 裝備!F57,0)</f>
        <v>0</v>
      </c>
      <c r="M57" s="3">
        <v>8</v>
      </c>
      <c r="N57" s="17">
        <f>IF(裝備!L57&gt;0,裝備!M57/裝備!L57,0)</f>
        <v>0</v>
      </c>
    </row>
    <row r="58" spans="1:14" x14ac:dyDescent="0.25">
      <c r="A58" s="25"/>
      <c r="H58" s="18"/>
      <c r="K58" s="17">
        <f>IF(裝備!F58&gt;0,1/裝備!F58,0)</f>
        <v>0</v>
      </c>
      <c r="L58" s="17">
        <f>IF(裝備!F58&gt;0,(裝備!D58 + 裝備!D58 * 裝備!E58) / 裝備!F58,0)</f>
        <v>0</v>
      </c>
      <c r="M58" s="3">
        <v>8</v>
      </c>
      <c r="N58" s="17">
        <f>IF(裝備!L58&gt;0,裝備!M58/裝備!L58,0)</f>
        <v>0</v>
      </c>
    </row>
    <row r="59" spans="1:14" x14ac:dyDescent="0.25">
      <c r="A59" s="25"/>
      <c r="H59" s="18"/>
      <c r="K59" s="17">
        <f>IF(裝備!F59&gt;0,1/裝備!F59,0)</f>
        <v>0</v>
      </c>
      <c r="L59" s="17">
        <f>IF(裝備!F59&gt;0,(裝備!D59 + 裝備!D59 * 裝備!E59) / 裝備!F59,0)</f>
        <v>0</v>
      </c>
      <c r="M59" s="3">
        <v>8</v>
      </c>
      <c r="N59" s="17">
        <f>IF(裝備!L59&gt;0,裝備!M59/裝備!L59,0)</f>
        <v>0</v>
      </c>
    </row>
    <row r="60" spans="1:14" x14ac:dyDescent="0.25">
      <c r="A60" s="25"/>
      <c r="H60" s="18"/>
      <c r="K60" s="17">
        <f>IF(裝備!F60&gt;0,1/裝備!F60,0)</f>
        <v>0</v>
      </c>
      <c r="L60" s="17">
        <f>IF(裝備!F60&gt;0,(裝備!D60 + 裝備!D60 * 裝備!E60) / 裝備!F60,0)</f>
        <v>0</v>
      </c>
      <c r="M60" s="3">
        <v>8</v>
      </c>
      <c r="N60" s="17">
        <f>IF(裝備!L60&gt;0,裝備!M60/裝備!L60,0)</f>
        <v>0</v>
      </c>
    </row>
    <row r="61" spans="1:14" x14ac:dyDescent="0.25">
      <c r="A61" s="25"/>
      <c r="H61" s="18"/>
      <c r="K61" s="17">
        <f>IF(裝備!F61&gt;0,1/裝備!F61,0)</f>
        <v>0</v>
      </c>
      <c r="L61" s="17">
        <f>IF(裝備!F61&gt;0,(裝備!D61 + 裝備!D61 * 裝備!E61) / 裝備!F61,0)</f>
        <v>0</v>
      </c>
      <c r="M61" s="3">
        <v>8</v>
      </c>
      <c r="N61" s="17">
        <f>IF(裝備!L61&gt;0,裝備!M61/裝備!L61,0)</f>
        <v>0</v>
      </c>
    </row>
    <row r="62" spans="1:14" x14ac:dyDescent="0.25">
      <c r="A62" s="25"/>
      <c r="H62" s="18"/>
      <c r="K62" s="17">
        <f>IF(裝備!F62&gt;0,1/裝備!F62,0)</f>
        <v>0</v>
      </c>
      <c r="L62" s="17">
        <f>IF(裝備!F62&gt;0,(裝備!D62 + 裝備!D62 * 裝備!E62) / 裝備!F62,0)</f>
        <v>0</v>
      </c>
      <c r="M62" s="3">
        <v>8</v>
      </c>
      <c r="N62" s="17">
        <f>IF(裝備!L62&gt;0,裝備!M62/裝備!L62,0)</f>
        <v>0</v>
      </c>
    </row>
    <row r="63" spans="1:14" x14ac:dyDescent="0.25">
      <c r="A63" s="25"/>
      <c r="H63" s="18"/>
      <c r="K63" s="17">
        <f>IF(裝備!F63&gt;0,1/裝備!F63,0)</f>
        <v>0</v>
      </c>
      <c r="L63" s="17">
        <f>IF(裝備!F63&gt;0,(裝備!D63 + 裝備!D63 * 裝備!E63) / 裝備!F63,0)</f>
        <v>0</v>
      </c>
      <c r="M63" s="3">
        <v>8</v>
      </c>
      <c r="N63" s="17">
        <f>IF(裝備!L63&gt;0,裝備!M63/裝備!L63,0)</f>
        <v>0</v>
      </c>
    </row>
    <row r="64" spans="1:14" x14ac:dyDescent="0.25">
      <c r="A64" s="25"/>
      <c r="H64" s="18"/>
      <c r="K64" s="17">
        <f>IF(裝備!F64&gt;0,1/裝備!F64,0)</f>
        <v>0</v>
      </c>
      <c r="L64" s="17">
        <f>IF(裝備!F64&gt;0,(裝備!D64 + 裝備!D64 * 裝備!E64) / 裝備!F64,0)</f>
        <v>0</v>
      </c>
      <c r="M64" s="3">
        <v>8</v>
      </c>
      <c r="N64" s="17">
        <f>IF(裝備!L64&gt;0,裝備!M64/裝備!L64,0)</f>
        <v>0</v>
      </c>
    </row>
    <row r="65" spans="1:14" x14ac:dyDescent="0.25">
      <c r="A65" s="25"/>
      <c r="H65" s="18"/>
      <c r="K65" s="17">
        <f>IF(裝備!F65&gt;0,1/裝備!F65,0)</f>
        <v>0</v>
      </c>
      <c r="L65" s="17">
        <f>IF(裝備!F65&gt;0,(裝備!D65 + 裝備!D65 * 裝備!E65) / 裝備!F65,0)</f>
        <v>0</v>
      </c>
      <c r="M65" s="3">
        <v>8</v>
      </c>
      <c r="N65" s="17">
        <f>IF(裝備!L65&gt;0,裝備!M65/裝備!L65,0)</f>
        <v>0</v>
      </c>
    </row>
    <row r="66" spans="1:14" x14ac:dyDescent="0.25">
      <c r="A66" s="25"/>
      <c r="H66" s="18"/>
      <c r="K66" s="17">
        <f>IF(裝備!F66&gt;0,1/裝備!F66,0)</f>
        <v>0</v>
      </c>
      <c r="L66" s="17">
        <f>IF(裝備!F66&gt;0,(裝備!D66 + 裝備!D66 * 裝備!E66) / 裝備!F66,0)</f>
        <v>0</v>
      </c>
      <c r="M66" s="3">
        <v>8</v>
      </c>
      <c r="N66" s="17">
        <f>IF(裝備!L66&gt;0,裝備!M66/裝備!L66,0)</f>
        <v>0</v>
      </c>
    </row>
    <row r="67" spans="1:14" x14ac:dyDescent="0.25">
      <c r="A67" s="25"/>
      <c r="H67" s="18"/>
      <c r="K67" s="17">
        <f>IF(裝備!F67&gt;0,1/裝備!F67,0)</f>
        <v>0</v>
      </c>
      <c r="L67" s="17">
        <f>IF(裝備!F67&gt;0,(裝備!D67 + 裝備!D67 * 裝備!E67) / 裝備!F67,0)</f>
        <v>0</v>
      </c>
      <c r="M67" s="3">
        <v>8</v>
      </c>
      <c r="N67" s="17">
        <f>IF(裝備!L67&gt;0,裝備!M67/裝備!L67,0)</f>
        <v>0</v>
      </c>
    </row>
    <row r="68" spans="1:14" x14ac:dyDescent="0.25">
      <c r="A68" s="25"/>
      <c r="H68" s="18"/>
      <c r="K68" s="17">
        <f>IF(裝備!F68&gt;0,1/裝備!F68,0)</f>
        <v>0</v>
      </c>
      <c r="L68" s="17">
        <f>IF(裝備!F68&gt;0,(裝備!D68 + 裝備!D68 * 裝備!E68) / 裝備!F68,0)</f>
        <v>0</v>
      </c>
      <c r="M68" s="3">
        <v>8</v>
      </c>
      <c r="N68" s="17">
        <f>IF(裝備!L68&gt;0,裝備!M68/裝備!L68,0)</f>
        <v>0</v>
      </c>
    </row>
    <row r="69" spans="1:14" x14ac:dyDescent="0.25">
      <c r="A69" s="25"/>
      <c r="H69" s="18"/>
      <c r="K69" s="17">
        <f>IF(裝備!F69&gt;0,1/裝備!F69,0)</f>
        <v>0</v>
      </c>
      <c r="L69" s="17">
        <f>IF(裝備!F69&gt;0,(裝備!D69 + 裝備!D69 * 裝備!E69) / 裝備!F69,0)</f>
        <v>0</v>
      </c>
      <c r="M69" s="3">
        <v>8</v>
      </c>
      <c r="N69" s="17">
        <f>IF(裝備!L69&gt;0,裝備!M69/裝備!L69,0)</f>
        <v>0</v>
      </c>
    </row>
    <row r="70" spans="1:14" x14ac:dyDescent="0.25">
      <c r="A70" s="25"/>
      <c r="H70" s="18"/>
      <c r="K70" s="17">
        <f>IF(裝備!F70&gt;0,1/裝備!F70,0)</f>
        <v>0</v>
      </c>
      <c r="L70" s="17">
        <f>IF(裝備!F70&gt;0,(裝備!D70 + 裝備!D70 * 裝備!E70) / 裝備!F70,0)</f>
        <v>0</v>
      </c>
      <c r="M70" s="3">
        <v>8</v>
      </c>
      <c r="N70" s="17">
        <f>IF(裝備!L70&gt;0,裝備!M70/裝備!L70,0)</f>
        <v>0</v>
      </c>
    </row>
    <row r="71" spans="1:14" x14ac:dyDescent="0.25">
      <c r="A71" s="25"/>
      <c r="H71" s="18"/>
      <c r="K71" s="17">
        <f>IF(裝備!F71&gt;0,1/裝備!F71,0)</f>
        <v>0</v>
      </c>
      <c r="L71" s="17">
        <f>IF(裝備!F71&gt;0,(裝備!D71 + 裝備!D71 * 裝備!E71) / 裝備!F71,0)</f>
        <v>0</v>
      </c>
      <c r="M71" s="3">
        <v>8</v>
      </c>
      <c r="N71" s="17">
        <f>IF(裝備!L71&gt;0,裝備!M71/裝備!L71,0)</f>
        <v>0</v>
      </c>
    </row>
    <row r="72" spans="1:14" x14ac:dyDescent="0.25">
      <c r="A72" s="25"/>
      <c r="H72" s="18"/>
      <c r="K72" s="17">
        <f>IF(裝備!F72&gt;0,1/裝備!F72,0)</f>
        <v>0</v>
      </c>
      <c r="L72" s="17">
        <f>IF(裝備!F72&gt;0,(裝備!D72 + 裝備!D72 * 裝備!E72) / 裝備!F72,0)</f>
        <v>0</v>
      </c>
      <c r="M72" s="3">
        <v>8</v>
      </c>
      <c r="N72" s="17">
        <f>IF(裝備!L72&gt;0,裝備!M72/裝備!L72,0)</f>
        <v>0</v>
      </c>
    </row>
    <row r="73" spans="1:14" x14ac:dyDescent="0.25">
      <c r="A73" s="25"/>
      <c r="H73" s="18"/>
      <c r="K73" s="17">
        <f>IF(裝備!F73&gt;0,1/裝備!F73,0)</f>
        <v>0</v>
      </c>
      <c r="L73" s="17">
        <f>IF(裝備!F73&gt;0,(裝備!D73 + 裝備!D73 * 裝備!E73) / 裝備!F73,0)</f>
        <v>0</v>
      </c>
      <c r="M73" s="3">
        <v>8</v>
      </c>
      <c r="N73" s="17">
        <f>IF(裝備!L73&gt;0,裝備!M73/裝備!L73,0)</f>
        <v>0</v>
      </c>
    </row>
    <row r="74" spans="1:14" x14ac:dyDescent="0.25">
      <c r="A74" s="25"/>
      <c r="H74" s="18"/>
      <c r="K74" s="17">
        <f>IF(裝備!F74&gt;0,1/裝備!F74,0)</f>
        <v>0</v>
      </c>
      <c r="L74" s="17">
        <f>IF(裝備!F74&gt;0,(裝備!D74 + 裝備!D74 * 裝備!E74) / 裝備!F74,0)</f>
        <v>0</v>
      </c>
      <c r="M74" s="3">
        <v>8</v>
      </c>
      <c r="N74" s="17">
        <f>IF(裝備!L74&gt;0,裝備!M74/裝備!L74,0)</f>
        <v>0</v>
      </c>
    </row>
    <row r="75" spans="1:14" x14ac:dyDescent="0.25">
      <c r="A75" s="25"/>
      <c r="H75" s="18"/>
      <c r="K75" s="17">
        <f>IF(裝備!F75&gt;0,1/裝備!F75,0)</f>
        <v>0</v>
      </c>
      <c r="L75" s="17">
        <f>IF(裝備!F75&gt;0,(裝備!D75 + 裝備!D75 * 裝備!E75) / 裝備!F75,0)</f>
        <v>0</v>
      </c>
      <c r="M75" s="3">
        <v>8</v>
      </c>
      <c r="N75" s="17">
        <f>IF(裝備!L75&gt;0,裝備!M75/裝備!L75,0)</f>
        <v>0</v>
      </c>
    </row>
    <row r="76" spans="1:14" x14ac:dyDescent="0.25">
      <c r="A76" s="25"/>
      <c r="H76" s="18"/>
      <c r="K76" s="17">
        <f>IF(裝備!F76&gt;0,1/裝備!F76,0)</f>
        <v>0</v>
      </c>
      <c r="L76" s="17">
        <f>IF(裝備!F76&gt;0,(裝備!D76 + 裝備!D76 * 裝備!E76) / 裝備!F76,0)</f>
        <v>0</v>
      </c>
      <c r="M76" s="3">
        <v>8</v>
      </c>
      <c r="N76" s="17">
        <f>IF(裝備!L76&gt;0,裝備!M76/裝備!L76,0)</f>
        <v>0</v>
      </c>
    </row>
    <row r="77" spans="1:14" x14ac:dyDescent="0.25">
      <c r="A77" s="25"/>
      <c r="H77" s="18"/>
      <c r="K77" s="17">
        <f>IF(裝備!F77&gt;0,1/裝備!F77,0)</f>
        <v>0</v>
      </c>
      <c r="L77" s="17">
        <f>IF(裝備!F77&gt;0,(裝備!D77 + 裝備!D77 * 裝備!E77) / 裝備!F77,0)</f>
        <v>0</v>
      </c>
      <c r="M77" s="3">
        <v>8</v>
      </c>
      <c r="N77" s="17">
        <f>IF(裝備!L77&gt;0,裝備!M77/裝備!L77,0)</f>
        <v>0</v>
      </c>
    </row>
    <row r="78" spans="1:14" x14ac:dyDescent="0.25">
      <c r="A78" s="25"/>
      <c r="H78" s="18"/>
      <c r="K78" s="17">
        <f>IF(裝備!F78&gt;0,1/裝備!F78,0)</f>
        <v>0</v>
      </c>
      <c r="L78" s="17">
        <f>IF(裝備!F78&gt;0,(裝備!D78 + 裝備!D78 * 裝備!E78) / 裝備!F78,0)</f>
        <v>0</v>
      </c>
      <c r="M78" s="3">
        <v>8</v>
      </c>
      <c r="N78" s="17">
        <f>IF(裝備!L78&gt;0,裝備!M78/裝備!L78,0)</f>
        <v>0</v>
      </c>
    </row>
    <row r="79" spans="1:14" x14ac:dyDescent="0.25">
      <c r="A79" s="25"/>
      <c r="H79" s="18"/>
      <c r="K79" s="17">
        <f>IF(裝備!F79&gt;0,1/裝備!F79,0)</f>
        <v>0</v>
      </c>
      <c r="L79" s="17">
        <f>IF(裝備!F79&gt;0,(裝備!D79 + 裝備!D79 * 裝備!E79) / 裝備!F79,0)</f>
        <v>0</v>
      </c>
      <c r="M79" s="3">
        <v>8</v>
      </c>
      <c r="N79" s="17">
        <f>IF(裝備!L79&gt;0,裝備!M79/裝備!L79,0)</f>
        <v>0</v>
      </c>
    </row>
    <row r="80" spans="1:14" x14ac:dyDescent="0.25">
      <c r="A80" s="25"/>
      <c r="H80" s="18"/>
      <c r="K80" s="17">
        <f>IF(裝備!F80&gt;0,1/裝備!F80,0)</f>
        <v>0</v>
      </c>
      <c r="L80" s="17">
        <f>IF(裝備!F80&gt;0,(裝備!D80 + 裝備!D80 * 裝備!E80) / 裝備!F80,0)</f>
        <v>0</v>
      </c>
      <c r="M80" s="3">
        <v>8</v>
      </c>
      <c r="N80" s="17">
        <f>IF(裝備!L80&gt;0,裝備!M80/裝備!L80,0)</f>
        <v>0</v>
      </c>
    </row>
    <row r="81" spans="1:14" x14ac:dyDescent="0.25">
      <c r="A81" s="25"/>
      <c r="H81" s="18"/>
      <c r="K81" s="17">
        <f>IF(裝備!F81&gt;0,1/裝備!F81,0)</f>
        <v>0</v>
      </c>
      <c r="L81" s="17">
        <f>IF(裝備!F81&gt;0,(裝備!D81 + 裝備!D81 * 裝備!E81) / 裝備!F81,0)</f>
        <v>0</v>
      </c>
      <c r="M81" s="3">
        <v>8</v>
      </c>
      <c r="N81" s="17">
        <f>IF(裝備!L81&gt;0,裝備!M81/裝備!L81,0)</f>
        <v>0</v>
      </c>
    </row>
    <row r="82" spans="1:14" x14ac:dyDescent="0.25">
      <c r="A82" s="25"/>
      <c r="H82" s="18"/>
      <c r="K82" s="17">
        <f>IF(裝備!F82&gt;0,1/裝備!F82,0)</f>
        <v>0</v>
      </c>
      <c r="L82" s="17">
        <f>IF(裝備!F82&gt;0,(裝備!D82 + 裝備!D82 * 裝備!E82) / 裝備!F82,0)</f>
        <v>0</v>
      </c>
      <c r="M82" s="3">
        <v>8</v>
      </c>
      <c r="N82" s="17">
        <f>IF(裝備!L82&gt;0,裝備!M82/裝備!L82,0)</f>
        <v>0</v>
      </c>
    </row>
    <row r="83" spans="1:14" x14ac:dyDescent="0.25">
      <c r="A83" s="25"/>
      <c r="H83" s="18"/>
      <c r="K83" s="17">
        <f>IF(裝備!F83&gt;0,1/裝備!F83,0)</f>
        <v>0</v>
      </c>
      <c r="L83" s="17">
        <f>IF(裝備!F83&gt;0,(裝備!D83 + 裝備!D83 * 裝備!E83) / 裝備!F83,0)</f>
        <v>0</v>
      </c>
      <c r="M83" s="3">
        <v>8</v>
      </c>
      <c r="N83" s="17">
        <f>IF(裝備!L83&gt;0,裝備!M83/裝備!L83,0)</f>
        <v>0</v>
      </c>
    </row>
    <row r="84" spans="1:14" x14ac:dyDescent="0.25">
      <c r="A84" s="25"/>
      <c r="H84" s="18"/>
      <c r="K84" s="17">
        <f>IF(裝備!F84&gt;0,1/裝備!F84,0)</f>
        <v>0</v>
      </c>
      <c r="L84" s="17">
        <f>IF(裝備!F84&gt;0,(裝備!D84 + 裝備!D84 * 裝備!E84) / 裝備!F84,0)</f>
        <v>0</v>
      </c>
      <c r="M84" s="3">
        <v>8</v>
      </c>
      <c r="N84" s="17">
        <f>IF(裝備!L84&gt;0,裝備!M84/裝備!L84,0)</f>
        <v>0</v>
      </c>
    </row>
    <row r="85" spans="1:14" x14ac:dyDescent="0.25">
      <c r="A85" s="25"/>
      <c r="H85" s="18"/>
      <c r="K85" s="17">
        <f>IF(裝備!F85&gt;0,1/裝備!F85,0)</f>
        <v>0</v>
      </c>
      <c r="L85" s="17">
        <f>IF(裝備!F85&gt;0,(裝備!D85 + 裝備!D85 * 裝備!E85) / 裝備!F85,0)</f>
        <v>0</v>
      </c>
      <c r="M85" s="3">
        <v>8</v>
      </c>
      <c r="N85" s="17">
        <f>IF(裝備!L85&gt;0,裝備!M85/裝備!L85,0)</f>
        <v>0</v>
      </c>
    </row>
    <row r="86" spans="1:14" x14ac:dyDescent="0.25">
      <c r="A86" s="25"/>
      <c r="H86" s="18"/>
      <c r="K86" s="17">
        <f>IF(裝備!F86&gt;0,1/裝備!F86,0)</f>
        <v>0</v>
      </c>
      <c r="L86" s="17">
        <f>IF(裝備!F86&gt;0,(裝備!D86 + 裝備!D86 * 裝備!E86) / 裝備!F86,0)</f>
        <v>0</v>
      </c>
      <c r="M86" s="3">
        <v>8</v>
      </c>
      <c r="N86" s="17">
        <f>IF(裝備!L86&gt;0,裝備!M86/裝備!L86,0)</f>
        <v>0</v>
      </c>
    </row>
    <row r="87" spans="1:14" x14ac:dyDescent="0.25">
      <c r="A87" s="25"/>
      <c r="H87" s="18"/>
      <c r="K87" s="17">
        <f>IF(裝備!F87&gt;0,1/裝備!F87,0)</f>
        <v>0</v>
      </c>
      <c r="L87" s="17">
        <f>IF(裝備!F87&gt;0,(裝備!D87 + 裝備!D87 * 裝備!E87) / 裝備!F87,0)</f>
        <v>0</v>
      </c>
      <c r="M87" s="3">
        <v>8</v>
      </c>
      <c r="N87" s="17">
        <f>IF(裝備!L87&gt;0,裝備!M87/裝備!L87,0)</f>
        <v>0</v>
      </c>
    </row>
    <row r="88" spans="1:14" x14ac:dyDescent="0.25">
      <c r="A88" s="25"/>
      <c r="H88" s="18"/>
      <c r="K88" s="17">
        <f>IF(裝備!F88&gt;0,1/裝備!F88,0)</f>
        <v>0</v>
      </c>
      <c r="L88" s="17">
        <f>IF(裝備!F88&gt;0,(裝備!D88 + 裝備!D88 * 裝備!E88) / 裝備!F88,0)</f>
        <v>0</v>
      </c>
      <c r="M88" s="3">
        <v>8</v>
      </c>
      <c r="N88" s="17">
        <f>IF(裝備!L88&gt;0,裝備!M88/裝備!L88,0)</f>
        <v>0</v>
      </c>
    </row>
    <row r="89" spans="1:14" x14ac:dyDescent="0.25">
      <c r="A89" s="25"/>
      <c r="H89" s="18"/>
      <c r="K89" s="17">
        <f>IF(裝備!F89&gt;0,1/裝備!F89,0)</f>
        <v>0</v>
      </c>
      <c r="L89" s="17">
        <f>IF(裝備!F89&gt;0,(裝備!D89 + 裝備!D89 * 裝備!E89) / 裝備!F89,0)</f>
        <v>0</v>
      </c>
      <c r="M89" s="3">
        <v>8</v>
      </c>
      <c r="N89" s="17">
        <f>IF(裝備!L89&gt;0,裝備!M89/裝備!L89,0)</f>
        <v>0</v>
      </c>
    </row>
    <row r="90" spans="1:14" x14ac:dyDescent="0.25">
      <c r="A90" s="25"/>
      <c r="H90" s="18"/>
      <c r="K90" s="17">
        <f>IF(裝備!F90&gt;0,1/裝備!F90,0)</f>
        <v>0</v>
      </c>
      <c r="L90" s="17">
        <f>IF(裝備!F90&gt;0,(裝備!D90 + 裝備!D90 * 裝備!E90) / 裝備!F90,0)</f>
        <v>0</v>
      </c>
      <c r="M90" s="3">
        <v>8</v>
      </c>
      <c r="N90" s="17">
        <f>IF(裝備!L90&gt;0,裝備!M90/裝備!L90,0)</f>
        <v>0</v>
      </c>
    </row>
    <row r="91" spans="1:14" x14ac:dyDescent="0.25">
      <c r="A91" s="25"/>
      <c r="H91" s="18"/>
      <c r="K91" s="17">
        <f>IF(裝備!F91&gt;0,1/裝備!F91,0)</f>
        <v>0</v>
      </c>
      <c r="L91" s="17">
        <f>IF(裝備!F91&gt;0,(裝備!D91 + 裝備!D91 * 裝備!E91) / 裝備!F91,0)</f>
        <v>0</v>
      </c>
      <c r="M91" s="3">
        <v>8</v>
      </c>
      <c r="N91" s="17">
        <f>IF(裝備!L91&gt;0,裝備!M91/裝備!L91,0)</f>
        <v>0</v>
      </c>
    </row>
    <row r="92" spans="1:14" x14ac:dyDescent="0.25">
      <c r="A92" s="25"/>
      <c r="H92" s="18"/>
      <c r="K92" s="17">
        <f>IF(裝備!F92&gt;0,1/裝備!F92,0)</f>
        <v>0</v>
      </c>
      <c r="L92" s="17">
        <f>IF(裝備!F92&gt;0,(裝備!D92 + 裝備!D92 * 裝備!E92) / 裝備!F92,0)</f>
        <v>0</v>
      </c>
      <c r="M92" s="3">
        <v>8</v>
      </c>
      <c r="N92" s="17">
        <f>IF(裝備!L92&gt;0,裝備!M92/裝備!L92,0)</f>
        <v>0</v>
      </c>
    </row>
    <row r="93" spans="1:14" x14ac:dyDescent="0.25">
      <c r="A93" s="25"/>
      <c r="H93" s="18"/>
      <c r="K93" s="17">
        <f>IF(裝備!F93&gt;0,1/裝備!F93,0)</f>
        <v>0</v>
      </c>
      <c r="L93" s="17">
        <f>IF(裝備!F93&gt;0,(裝備!D93 + 裝備!D93 * 裝備!E93) / 裝備!F93,0)</f>
        <v>0</v>
      </c>
      <c r="M93" s="3">
        <v>8</v>
      </c>
      <c r="N93" s="17">
        <f>IF(裝備!L93&gt;0,裝備!M93/裝備!L93,0)</f>
        <v>0</v>
      </c>
    </row>
    <row r="94" spans="1:14" x14ac:dyDescent="0.25">
      <c r="A94" s="25"/>
      <c r="H94" s="18"/>
      <c r="K94" s="17">
        <f>IF(裝備!F94&gt;0,1/裝備!F94,0)</f>
        <v>0</v>
      </c>
      <c r="L94" s="17">
        <f>IF(裝備!F94&gt;0,(裝備!D94 + 裝備!D94 * 裝備!E94) / 裝備!F94,0)</f>
        <v>0</v>
      </c>
      <c r="M94" s="3">
        <v>8</v>
      </c>
      <c r="N94" s="17">
        <f>IF(裝備!L94&gt;0,裝備!M94/裝備!L94,0)</f>
        <v>0</v>
      </c>
    </row>
    <row r="95" spans="1:14" x14ac:dyDescent="0.25">
      <c r="A95" s="25"/>
      <c r="H95" s="18"/>
      <c r="K95" s="17">
        <f>IF(裝備!F95&gt;0,1/裝備!F95,0)</f>
        <v>0</v>
      </c>
      <c r="L95" s="17">
        <f>IF(裝備!F95&gt;0,(裝備!D95 + 裝備!D95 * 裝備!E95) / 裝備!F95,0)</f>
        <v>0</v>
      </c>
      <c r="M95" s="3">
        <v>8</v>
      </c>
      <c r="N95" s="17">
        <f>IF(裝備!L95&gt;0,裝備!M95/裝備!L95,0)</f>
        <v>0</v>
      </c>
    </row>
    <row r="96" spans="1:14" x14ac:dyDescent="0.25">
      <c r="A96" s="25"/>
      <c r="H96" s="18"/>
      <c r="K96" s="17">
        <f>IF(裝備!F96&gt;0,1/裝備!F96,0)</f>
        <v>0</v>
      </c>
      <c r="L96" s="17">
        <f>IF(裝備!F96&gt;0,(裝備!D96 + 裝備!D96 * 裝備!E96) / 裝備!F96,0)</f>
        <v>0</v>
      </c>
      <c r="M96" s="3">
        <v>8</v>
      </c>
      <c r="N96" s="17">
        <f>IF(裝備!L96&gt;0,裝備!M96/裝備!L96,0)</f>
        <v>0</v>
      </c>
    </row>
    <row r="97" spans="1:14" x14ac:dyDescent="0.25">
      <c r="A97" s="25"/>
      <c r="H97" s="18"/>
      <c r="K97" s="17">
        <f>IF(裝備!F97&gt;0,1/裝備!F97,0)</f>
        <v>0</v>
      </c>
      <c r="L97" s="17">
        <f>IF(裝備!F97&gt;0,(裝備!D97 + 裝備!D97 * 裝備!E97) / 裝備!F97,0)</f>
        <v>0</v>
      </c>
      <c r="M97" s="3">
        <v>8</v>
      </c>
      <c r="N97" s="17">
        <f>IF(裝備!L97&gt;0,裝備!M97/裝備!L97,0)</f>
        <v>0</v>
      </c>
    </row>
    <row r="98" spans="1:14" x14ac:dyDescent="0.25">
      <c r="A98" s="25"/>
      <c r="H98" s="18"/>
      <c r="K98" s="17">
        <f>IF(裝備!F98&gt;0,1/裝備!F98,0)</f>
        <v>0</v>
      </c>
      <c r="L98" s="17">
        <f>IF(裝備!F98&gt;0,(裝備!D98 + 裝備!D98 * 裝備!E98) / 裝備!F98,0)</f>
        <v>0</v>
      </c>
      <c r="M98" s="3">
        <v>8</v>
      </c>
      <c r="N98" s="17">
        <f>IF(裝備!L98&gt;0,裝備!M98/裝備!L98,0)</f>
        <v>0</v>
      </c>
    </row>
    <row r="99" spans="1:14" x14ac:dyDescent="0.25">
      <c r="A99" s="25"/>
      <c r="H99" s="18"/>
      <c r="K99" s="17">
        <f>IF(裝備!F99&gt;0,1/裝備!F99,0)</f>
        <v>0</v>
      </c>
      <c r="L99" s="17">
        <f>IF(裝備!F99&gt;0,(裝備!D99 + 裝備!D99 * 裝備!E99) / 裝備!F99,0)</f>
        <v>0</v>
      </c>
      <c r="M99" s="3">
        <v>8</v>
      </c>
      <c r="N99" s="17">
        <f>IF(裝備!L99&gt;0,裝備!M99/裝備!L99,0)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IF(裝備!F100&gt;0,1/裝備!F100,0)</f>
        <v>0</v>
      </c>
      <c r="L100" s="17">
        <f>IF(裝備!F100&gt;0,(裝備!D100 + 裝備!D100 * 裝備!E100) / 裝備!F100,0)</f>
        <v>0</v>
      </c>
      <c r="M100" s="3">
        <v>8</v>
      </c>
      <c r="N100" s="17">
        <f>IF(裝備!L100&gt;0,裝備!M100/裝備!L100,0)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D15" sqref="D15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24" customWidth="1"/>
    <col min="11" max="11" width="9" style="17"/>
    <col min="12" max="16384" width="9" style="3"/>
  </cols>
  <sheetData>
    <row r="1" spans="1:11" s="2" customFormat="1" x14ac:dyDescent="0.25">
      <c r="A1" s="2" t="s">
        <v>32</v>
      </c>
      <c r="B1" s="2" t="s">
        <v>33</v>
      </c>
      <c r="C1" s="2" t="s">
        <v>34</v>
      </c>
      <c r="D1" s="2" t="s">
        <v>53</v>
      </c>
      <c r="E1" s="2" t="s">
        <v>38</v>
      </c>
      <c r="F1" s="2" t="s">
        <v>35</v>
      </c>
      <c r="G1" s="2" t="s">
        <v>39</v>
      </c>
      <c r="H1" s="2" t="s">
        <v>36</v>
      </c>
      <c r="J1" s="22" t="s">
        <v>37</v>
      </c>
      <c r="K1" s="16" t="s">
        <v>141</v>
      </c>
    </row>
    <row r="2" spans="1:11" x14ac:dyDescent="0.25">
      <c r="A2" s="3">
        <v>1</v>
      </c>
      <c r="B2" s="3">
        <v>2001</v>
      </c>
      <c r="C2" s="3" t="s">
        <v>42</v>
      </c>
      <c r="D2" s="3">
        <v>0</v>
      </c>
      <c r="E2" s="3">
        <v>0</v>
      </c>
      <c r="F2" s="3">
        <v>0</v>
      </c>
      <c r="G2" s="3" t="s">
        <v>41</v>
      </c>
      <c r="H2" s="3">
        <v>5</v>
      </c>
      <c r="J2" s="23" t="s">
        <v>109</v>
      </c>
      <c r="K2" s="17">
        <f>IF(特性!F2&gt;0,(特性!H2 * 特性!E2) / 特性!F2,0)</f>
        <v>0</v>
      </c>
    </row>
    <row r="3" spans="1:11" x14ac:dyDescent="0.25">
      <c r="A3" s="3">
        <v>2</v>
      </c>
      <c r="B3" s="3">
        <v>2002</v>
      </c>
      <c r="C3" s="3" t="s">
        <v>42</v>
      </c>
      <c r="D3" s="3">
        <v>0</v>
      </c>
      <c r="E3" s="3">
        <v>0</v>
      </c>
      <c r="F3" s="3">
        <v>0</v>
      </c>
      <c r="G3" s="3" t="s">
        <v>41</v>
      </c>
      <c r="H3" s="3">
        <v>10</v>
      </c>
      <c r="J3" s="23" t="s">
        <v>110</v>
      </c>
      <c r="K3" s="17">
        <f>IF(特性!F3&gt;0,(特性!H3 * 特性!E3) / 特性!F3,0)</f>
        <v>0</v>
      </c>
    </row>
    <row r="4" spans="1:11" x14ac:dyDescent="0.25">
      <c r="A4" s="3">
        <v>3</v>
      </c>
      <c r="B4" s="3">
        <v>2003</v>
      </c>
      <c r="C4" s="3" t="s">
        <v>42</v>
      </c>
      <c r="D4" s="3">
        <v>0</v>
      </c>
      <c r="E4" s="3">
        <v>0</v>
      </c>
      <c r="F4" s="3">
        <v>0</v>
      </c>
      <c r="G4" s="3" t="s">
        <v>41</v>
      </c>
      <c r="H4" s="3">
        <v>15</v>
      </c>
      <c r="J4" s="23" t="s">
        <v>111</v>
      </c>
      <c r="K4" s="17">
        <f>IF(特性!F4&gt;0,(特性!H4 * 特性!E4) / 特性!F4,0)</f>
        <v>0</v>
      </c>
    </row>
    <row r="5" spans="1:11" x14ac:dyDescent="0.25">
      <c r="A5" s="3">
        <v>4</v>
      </c>
      <c r="B5" s="3">
        <v>2004</v>
      </c>
      <c r="C5" s="3" t="s">
        <v>42</v>
      </c>
      <c r="D5" s="3">
        <v>0</v>
      </c>
      <c r="E5" s="3">
        <v>0</v>
      </c>
      <c r="F5" s="3">
        <v>0</v>
      </c>
      <c r="G5" s="3" t="s">
        <v>41</v>
      </c>
      <c r="H5" s="3">
        <v>20</v>
      </c>
      <c r="J5" s="23" t="s">
        <v>112</v>
      </c>
      <c r="K5" s="17">
        <f>IF(特性!F5&gt;0,(特性!H5 * 特性!E5) / 特性!F5,0)</f>
        <v>0</v>
      </c>
    </row>
    <row r="6" spans="1:11" x14ac:dyDescent="0.25">
      <c r="A6" s="3">
        <v>5</v>
      </c>
      <c r="B6" s="3">
        <v>2005</v>
      </c>
      <c r="C6" s="3" t="s">
        <v>40</v>
      </c>
      <c r="D6" s="3">
        <v>0</v>
      </c>
      <c r="E6" s="3">
        <v>0.8</v>
      </c>
      <c r="F6" s="3">
        <v>5</v>
      </c>
      <c r="G6" s="3" t="s">
        <v>41</v>
      </c>
      <c r="H6" s="3">
        <v>3</v>
      </c>
      <c r="J6" s="23" t="s">
        <v>113</v>
      </c>
      <c r="K6" s="17">
        <f>IF(特性!F6&gt;0,(特性!H6 * 特性!E6) / 特性!F6,0)</f>
        <v>0.48000000000000009</v>
      </c>
    </row>
    <row r="7" spans="1:11" x14ac:dyDescent="0.25">
      <c r="A7" s="3">
        <v>6</v>
      </c>
      <c r="B7" s="3">
        <v>2006</v>
      </c>
      <c r="C7" s="3" t="s">
        <v>40</v>
      </c>
      <c r="D7" s="3">
        <v>0</v>
      </c>
      <c r="E7" s="3">
        <v>0.3</v>
      </c>
      <c r="F7" s="3">
        <v>30</v>
      </c>
      <c r="G7" s="3" t="s">
        <v>41</v>
      </c>
      <c r="H7" s="3">
        <v>55</v>
      </c>
      <c r="J7" s="23" t="s">
        <v>114</v>
      </c>
      <c r="K7" s="17">
        <f>IF(特性!F7&gt;0,(特性!H7 * 特性!E7) / 特性!F7,0)</f>
        <v>0.55000000000000004</v>
      </c>
    </row>
    <row r="8" spans="1:11" x14ac:dyDescent="0.25">
      <c r="A8" s="3">
        <v>7</v>
      </c>
      <c r="B8" s="3">
        <v>2007</v>
      </c>
      <c r="C8" s="3" t="s">
        <v>40</v>
      </c>
      <c r="D8" s="3">
        <v>0</v>
      </c>
      <c r="E8" s="3">
        <v>0.5</v>
      </c>
      <c r="F8" s="3">
        <v>20</v>
      </c>
      <c r="G8" s="3" t="s">
        <v>41</v>
      </c>
      <c r="H8" s="3">
        <v>25</v>
      </c>
      <c r="J8" s="24" t="s">
        <v>115</v>
      </c>
      <c r="K8" s="17">
        <f>IF(特性!F8&gt;0,(特性!H8 * 特性!E8) / 特性!F8,0)</f>
        <v>0.625</v>
      </c>
    </row>
    <row r="9" spans="1:11" x14ac:dyDescent="0.25">
      <c r="A9" s="3">
        <v>8</v>
      </c>
      <c r="B9" s="3">
        <v>2008</v>
      </c>
      <c r="C9" s="3" t="s">
        <v>42</v>
      </c>
      <c r="D9" s="3">
        <v>0</v>
      </c>
      <c r="E9" s="3">
        <v>0</v>
      </c>
      <c r="F9" s="3">
        <v>0</v>
      </c>
      <c r="G9" s="3" t="s">
        <v>41</v>
      </c>
      <c r="H9" s="3">
        <v>-4</v>
      </c>
      <c r="J9" s="24" t="s">
        <v>116</v>
      </c>
      <c r="K9" s="17">
        <f>IF(特性!F9&gt;0,(特性!H9 * 特性!E9) / 特性!F9,0)</f>
        <v>0</v>
      </c>
    </row>
    <row r="10" spans="1:11" x14ac:dyDescent="0.25">
      <c r="A10" s="3">
        <v>9</v>
      </c>
      <c r="B10" s="3">
        <v>2009</v>
      </c>
      <c r="C10" s="3" t="s">
        <v>42</v>
      </c>
      <c r="D10" s="3">
        <v>0</v>
      </c>
      <c r="E10" s="3">
        <v>0</v>
      </c>
      <c r="F10" s="3">
        <v>0</v>
      </c>
      <c r="G10" s="3" t="s">
        <v>41</v>
      </c>
      <c r="H10" s="3">
        <v>-8</v>
      </c>
      <c r="J10" s="24" t="s">
        <v>124</v>
      </c>
      <c r="K10" s="17">
        <f>IF(特性!F10&gt;0,(特性!H10 * 特性!E10) / 特性!F10,0)</f>
        <v>0</v>
      </c>
    </row>
    <row r="11" spans="1:11" x14ac:dyDescent="0.25">
      <c r="A11" s="3">
        <v>10</v>
      </c>
      <c r="B11" s="3">
        <v>2010</v>
      </c>
      <c r="C11" s="3" t="s">
        <v>42</v>
      </c>
      <c r="D11" s="3">
        <v>0</v>
      </c>
      <c r="E11" s="3">
        <v>0</v>
      </c>
      <c r="F11" s="3">
        <v>0</v>
      </c>
      <c r="G11" s="3" t="s">
        <v>41</v>
      </c>
      <c r="H11" s="3">
        <v>-12</v>
      </c>
      <c r="J11" s="24" t="s">
        <v>117</v>
      </c>
      <c r="K11" s="17">
        <f>IF(特性!F11&gt;0,(特性!H11 * 特性!E11) / 特性!F11,0)</f>
        <v>0</v>
      </c>
    </row>
    <row r="12" spans="1:11" x14ac:dyDescent="0.25">
      <c r="A12" s="3">
        <v>11</v>
      </c>
      <c r="B12" s="3">
        <v>2011</v>
      </c>
      <c r="C12" s="3" t="s">
        <v>42</v>
      </c>
      <c r="D12" s="3">
        <v>0</v>
      </c>
      <c r="E12" s="3">
        <v>0</v>
      </c>
      <c r="F12" s="3">
        <v>0</v>
      </c>
      <c r="G12" s="3" t="s">
        <v>41</v>
      </c>
      <c r="H12" s="3">
        <v>-16</v>
      </c>
      <c r="J12" s="24" t="s">
        <v>186</v>
      </c>
      <c r="K12" s="17">
        <f>IF(特性!F12&gt;0,(特性!H12 * 特性!E12) / 特性!F12,0)</f>
        <v>0</v>
      </c>
    </row>
    <row r="13" spans="1:11" x14ac:dyDescent="0.25">
      <c r="A13" s="3">
        <v>12</v>
      </c>
      <c r="B13" s="3">
        <v>2012</v>
      </c>
      <c r="C13" s="3" t="s">
        <v>40</v>
      </c>
      <c r="D13" s="3">
        <v>0</v>
      </c>
      <c r="E13" s="3">
        <v>0.4</v>
      </c>
      <c r="F13" s="3">
        <v>10</v>
      </c>
      <c r="G13" s="3" t="s">
        <v>41</v>
      </c>
      <c r="H13" s="3">
        <v>-10</v>
      </c>
      <c r="J13" s="24" t="s">
        <v>118</v>
      </c>
      <c r="K13" s="17">
        <f>IF(特性!F13&gt;0,(特性!H13 * 特性!E13) / 特性!F13,0)</f>
        <v>-0.4</v>
      </c>
    </row>
    <row r="14" spans="1:11" x14ac:dyDescent="0.25">
      <c r="A14" s="3">
        <v>13</v>
      </c>
      <c r="B14" s="3">
        <v>2013</v>
      </c>
      <c r="C14" s="3" t="s">
        <v>40</v>
      </c>
      <c r="D14" s="3">
        <v>0</v>
      </c>
      <c r="E14" s="3">
        <v>0.1</v>
      </c>
      <c r="F14" s="3">
        <v>15</v>
      </c>
      <c r="G14" s="3" t="s">
        <v>41</v>
      </c>
      <c r="H14" s="3">
        <v>-60</v>
      </c>
      <c r="J14" s="24" t="s">
        <v>119</v>
      </c>
      <c r="K14" s="17">
        <f>IF(特性!F14&gt;0,(特性!H14 * 特性!E14) / 特性!F14,0)</f>
        <v>-0.4</v>
      </c>
    </row>
    <row r="15" spans="1:11" x14ac:dyDescent="0.25">
      <c r="A15" s="3">
        <v>14</v>
      </c>
      <c r="B15" s="3">
        <v>2014</v>
      </c>
      <c r="C15" s="3" t="s">
        <v>42</v>
      </c>
      <c r="D15" s="3">
        <v>0</v>
      </c>
      <c r="E15" s="3">
        <v>0</v>
      </c>
      <c r="F15" s="3">
        <v>0</v>
      </c>
      <c r="G15" s="3" t="s">
        <v>120</v>
      </c>
      <c r="H15" s="3">
        <v>10</v>
      </c>
      <c r="J15" s="24" t="s">
        <v>125</v>
      </c>
      <c r="K15" s="17">
        <f>IF(特性!F15&gt;0,(特性!H15 * 特性!E15) / 特性!F15,0)</f>
        <v>0</v>
      </c>
    </row>
    <row r="16" spans="1:11" x14ac:dyDescent="0.25">
      <c r="A16" s="3">
        <v>15</v>
      </c>
      <c r="B16" s="3">
        <v>2015</v>
      </c>
      <c r="C16" s="3" t="s">
        <v>42</v>
      </c>
      <c r="D16" s="3">
        <v>0</v>
      </c>
      <c r="E16" s="3">
        <v>0</v>
      </c>
      <c r="F16" s="3">
        <v>0</v>
      </c>
      <c r="G16" s="3" t="s">
        <v>120</v>
      </c>
      <c r="H16" s="3">
        <v>30</v>
      </c>
      <c r="J16" s="24" t="s">
        <v>126</v>
      </c>
      <c r="K16" s="17">
        <f>IF(特性!F16&gt;0,(特性!H16 * 特性!E16) / 特性!F16,0)</f>
        <v>0</v>
      </c>
    </row>
    <row r="17" spans="1:11" x14ac:dyDescent="0.25">
      <c r="A17" s="3">
        <v>16</v>
      </c>
      <c r="B17" s="3">
        <v>2016</v>
      </c>
      <c r="C17" s="3" t="s">
        <v>42</v>
      </c>
      <c r="D17" s="3">
        <v>0</v>
      </c>
      <c r="E17" s="3">
        <v>0</v>
      </c>
      <c r="F17" s="3">
        <v>0</v>
      </c>
      <c r="G17" s="3" t="s">
        <v>120</v>
      </c>
      <c r="H17" s="3">
        <v>50</v>
      </c>
      <c r="J17" s="24" t="s">
        <v>127</v>
      </c>
      <c r="K17" s="17">
        <f>IF(特性!F17&gt;0,(特性!H17 * 特性!E17) / 特性!F17,0)</f>
        <v>0</v>
      </c>
    </row>
    <row r="18" spans="1:11" x14ac:dyDescent="0.25">
      <c r="A18" s="3">
        <v>17</v>
      </c>
      <c r="B18" s="3">
        <v>2017</v>
      </c>
      <c r="C18" s="3" t="s">
        <v>42</v>
      </c>
      <c r="D18" s="3">
        <v>0</v>
      </c>
      <c r="E18" s="3">
        <v>0</v>
      </c>
      <c r="F18" s="3">
        <v>0</v>
      </c>
      <c r="G18" s="3" t="s">
        <v>120</v>
      </c>
      <c r="H18" s="3">
        <v>-10</v>
      </c>
      <c r="J18" s="24" t="s">
        <v>128</v>
      </c>
      <c r="K18" s="17">
        <f>IF(特性!F18&gt;0,(特性!H18 * 特性!E18) / 特性!F18,0)</f>
        <v>0</v>
      </c>
    </row>
    <row r="19" spans="1:11" x14ac:dyDescent="0.25">
      <c r="A19" s="3">
        <v>18</v>
      </c>
      <c r="B19" s="3">
        <v>2018</v>
      </c>
      <c r="C19" s="3" t="s">
        <v>42</v>
      </c>
      <c r="D19" s="3">
        <v>0</v>
      </c>
      <c r="E19" s="3">
        <v>0</v>
      </c>
      <c r="F19" s="3">
        <v>0</v>
      </c>
      <c r="G19" s="3" t="s">
        <v>120</v>
      </c>
      <c r="H19" s="3">
        <v>-30</v>
      </c>
      <c r="J19" s="24" t="s">
        <v>129</v>
      </c>
      <c r="K19" s="17">
        <f>IF(特性!F19&gt;0,(特性!H19 * 特性!E19) / 特性!F19,0)</f>
        <v>0</v>
      </c>
    </row>
    <row r="20" spans="1:11" x14ac:dyDescent="0.25">
      <c r="A20" s="3">
        <v>19</v>
      </c>
      <c r="B20" s="3">
        <v>2019</v>
      </c>
      <c r="C20" s="3" t="s">
        <v>42</v>
      </c>
      <c r="D20" s="3">
        <v>0</v>
      </c>
      <c r="E20" s="3">
        <v>0</v>
      </c>
      <c r="F20" s="3">
        <v>0</v>
      </c>
      <c r="G20" s="3" t="s">
        <v>120</v>
      </c>
      <c r="H20" s="3">
        <v>-50</v>
      </c>
      <c r="J20" s="24" t="s">
        <v>130</v>
      </c>
      <c r="K20" s="17">
        <f>IF(特性!F20&gt;0,(特性!H20 * 特性!E20) / 特性!F20,0)</f>
        <v>0</v>
      </c>
    </row>
    <row r="21" spans="1:11" x14ac:dyDescent="0.25">
      <c r="A21" s="3">
        <v>20</v>
      </c>
      <c r="B21" s="3">
        <v>2020</v>
      </c>
      <c r="C21" s="3" t="s">
        <v>42</v>
      </c>
      <c r="D21" s="3">
        <v>0</v>
      </c>
      <c r="E21" s="3">
        <v>0</v>
      </c>
      <c r="F21" s="3">
        <v>0</v>
      </c>
      <c r="G21" s="3" t="s">
        <v>122</v>
      </c>
      <c r="H21" s="3">
        <v>1</v>
      </c>
      <c r="J21" s="24" t="s">
        <v>131</v>
      </c>
      <c r="K21" s="17">
        <f>IF(特性!F21&gt;0,(特性!H21 * 特性!E21) / 特性!F21,0)</f>
        <v>0</v>
      </c>
    </row>
    <row r="22" spans="1:11" x14ac:dyDescent="0.25">
      <c r="A22" s="3">
        <v>21</v>
      </c>
      <c r="B22" s="3">
        <v>2021</v>
      </c>
      <c r="C22" s="3" t="s">
        <v>42</v>
      </c>
      <c r="D22" s="3">
        <v>0</v>
      </c>
      <c r="E22" s="3">
        <v>0</v>
      </c>
      <c r="F22" s="3">
        <v>0</v>
      </c>
      <c r="G22" s="3" t="s">
        <v>122</v>
      </c>
      <c r="H22" s="3">
        <v>2</v>
      </c>
      <c r="J22" s="24" t="s">
        <v>132</v>
      </c>
      <c r="K22" s="17">
        <f>IF(特性!F22&gt;0,(特性!H22 * 特性!E22) / 特性!F22,0)</f>
        <v>0</v>
      </c>
    </row>
    <row r="23" spans="1:11" x14ac:dyDescent="0.25">
      <c r="A23" s="3">
        <v>22</v>
      </c>
      <c r="B23" s="3">
        <v>2022</v>
      </c>
      <c r="C23" s="3" t="s">
        <v>42</v>
      </c>
      <c r="D23" s="3">
        <v>0</v>
      </c>
      <c r="E23" s="3">
        <v>0</v>
      </c>
      <c r="F23" s="3">
        <v>0</v>
      </c>
      <c r="G23" s="3" t="s">
        <v>122</v>
      </c>
      <c r="H23" s="3">
        <v>-1</v>
      </c>
      <c r="J23" s="24" t="s">
        <v>133</v>
      </c>
      <c r="K23" s="17">
        <f>IF(特性!F23&gt;0,(特性!H23 * 特性!E23) / 特性!F23,0)</f>
        <v>0</v>
      </c>
    </row>
    <row r="24" spans="1:11" x14ac:dyDescent="0.25">
      <c r="A24" s="3">
        <v>23</v>
      </c>
      <c r="B24" s="3">
        <v>2023</v>
      </c>
      <c r="C24" s="3" t="s">
        <v>42</v>
      </c>
      <c r="D24" s="3">
        <v>0</v>
      </c>
      <c r="E24" s="3">
        <v>0</v>
      </c>
      <c r="F24" s="3">
        <v>0</v>
      </c>
      <c r="G24" s="3" t="s">
        <v>122</v>
      </c>
      <c r="H24" s="3">
        <v>-2</v>
      </c>
      <c r="J24" s="24" t="s">
        <v>134</v>
      </c>
      <c r="K24" s="17">
        <f>IF(特性!F24&gt;0,(特性!H24 * 特性!E24) / 特性!F24,0)</f>
        <v>0</v>
      </c>
    </row>
    <row r="25" spans="1:11" x14ac:dyDescent="0.25">
      <c r="A25" s="3">
        <v>24</v>
      </c>
      <c r="B25" s="3">
        <v>2024</v>
      </c>
      <c r="C25" s="3" t="s">
        <v>40</v>
      </c>
      <c r="D25" s="3">
        <v>1</v>
      </c>
      <c r="E25" s="3">
        <v>0.2</v>
      </c>
      <c r="F25" s="3">
        <v>30</v>
      </c>
      <c r="G25" s="3" t="s">
        <v>24</v>
      </c>
      <c r="H25" s="3">
        <v>30</v>
      </c>
      <c r="J25" s="24" t="s">
        <v>135</v>
      </c>
      <c r="K25" s="17">
        <f>IF(特性!F25&gt;0,(特性!H25 * 特性!E25) / 特性!F25,0)</f>
        <v>0.2</v>
      </c>
    </row>
    <row r="26" spans="1:11" x14ac:dyDescent="0.25">
      <c r="A26" s="3">
        <v>25</v>
      </c>
      <c r="B26" s="3">
        <v>2025</v>
      </c>
      <c r="C26" s="3" t="s">
        <v>40</v>
      </c>
      <c r="D26" s="3">
        <v>2</v>
      </c>
      <c r="E26" s="3">
        <v>0.2</v>
      </c>
      <c r="F26" s="3">
        <v>30</v>
      </c>
      <c r="G26" s="3" t="s">
        <v>20</v>
      </c>
      <c r="H26" s="3">
        <v>15</v>
      </c>
      <c r="J26" s="24" t="s">
        <v>136</v>
      </c>
      <c r="K26" s="17">
        <f>IF(特性!F26&gt;0,(特性!H26 * 特性!E26) / 特性!F26,0)</f>
        <v>0.1</v>
      </c>
    </row>
    <row r="27" spans="1:11" x14ac:dyDescent="0.25">
      <c r="A27" s="3">
        <v>26</v>
      </c>
      <c r="B27" s="3">
        <v>2026</v>
      </c>
      <c r="C27" s="3" t="s">
        <v>40</v>
      </c>
      <c r="D27" s="3">
        <v>3</v>
      </c>
      <c r="E27" s="3">
        <v>0.2</v>
      </c>
      <c r="F27" s="3">
        <v>30</v>
      </c>
      <c r="G27" s="3" t="s">
        <v>22</v>
      </c>
      <c r="H27" s="3">
        <v>10</v>
      </c>
      <c r="J27" s="24" t="s">
        <v>137</v>
      </c>
      <c r="K27" s="17">
        <f>IF(特性!F27&gt;0,(特性!H27 * 特性!E27) / 特性!F27,0)</f>
        <v>6.6666666666666666E-2</v>
      </c>
    </row>
    <row r="28" spans="1:11" x14ac:dyDescent="0.25">
      <c r="A28" s="3">
        <v>27</v>
      </c>
      <c r="B28" s="3">
        <v>2027</v>
      </c>
      <c r="C28" s="3" t="s">
        <v>40</v>
      </c>
      <c r="D28" s="3">
        <v>1</v>
      </c>
      <c r="E28" s="3">
        <v>0.4</v>
      </c>
      <c r="F28" s="3">
        <v>30</v>
      </c>
      <c r="G28" s="3" t="s">
        <v>24</v>
      </c>
      <c r="H28" s="3">
        <v>30</v>
      </c>
      <c r="J28" s="24" t="s">
        <v>138</v>
      </c>
      <c r="K28" s="17">
        <f>IF(特性!F28&gt;0,(特性!H28 * 特性!E28) / 特性!F28,0)</f>
        <v>0.4</v>
      </c>
    </row>
    <row r="29" spans="1:11" x14ac:dyDescent="0.25">
      <c r="A29" s="3">
        <v>28</v>
      </c>
      <c r="B29" s="3">
        <v>2028</v>
      </c>
      <c r="C29" s="3" t="s">
        <v>40</v>
      </c>
      <c r="D29" s="3">
        <v>2</v>
      </c>
      <c r="E29" s="3">
        <v>0.4</v>
      </c>
      <c r="F29" s="3">
        <v>30</v>
      </c>
      <c r="G29" s="3" t="s">
        <v>20</v>
      </c>
      <c r="H29" s="3">
        <v>15</v>
      </c>
      <c r="J29" s="24" t="s">
        <v>139</v>
      </c>
      <c r="K29" s="17">
        <f>IF(特性!F29&gt;0,(特性!H29 * 特性!E29) / 特性!F29,0)</f>
        <v>0.2</v>
      </c>
    </row>
    <row r="30" spans="1:11" x14ac:dyDescent="0.25">
      <c r="A30" s="3">
        <v>29</v>
      </c>
      <c r="B30" s="3">
        <v>2029</v>
      </c>
      <c r="C30" s="3" t="s">
        <v>40</v>
      </c>
      <c r="D30" s="3">
        <v>3</v>
      </c>
      <c r="E30" s="3">
        <v>0.4</v>
      </c>
      <c r="F30" s="3">
        <v>30</v>
      </c>
      <c r="G30" s="3" t="s">
        <v>22</v>
      </c>
      <c r="H30" s="3">
        <v>10</v>
      </c>
      <c r="J30" s="24" t="s">
        <v>140</v>
      </c>
      <c r="K30" s="17">
        <f>IF(特性!F30&gt;0,(特性!H30 * 特性!E30) / 特性!F30,0)</f>
        <v>0.13333333333333333</v>
      </c>
    </row>
    <row r="31" spans="1:11" x14ac:dyDescent="0.25">
      <c r="A31" s="3">
        <v>30</v>
      </c>
      <c r="B31" s="3">
        <v>2030</v>
      </c>
      <c r="C31" s="3" t="s">
        <v>42</v>
      </c>
      <c r="D31" s="3">
        <v>4</v>
      </c>
      <c r="E31" s="3">
        <v>0</v>
      </c>
      <c r="F31" s="3">
        <v>0</v>
      </c>
      <c r="G31" s="3" t="s">
        <v>148</v>
      </c>
      <c r="H31" s="3">
        <v>-0.3</v>
      </c>
      <c r="J31" s="24" t="s">
        <v>142</v>
      </c>
      <c r="K31" s="17">
        <f>IF(特性!F31&gt;0,(特性!H31 * 特性!E31) / 特性!F31,0)</f>
        <v>0</v>
      </c>
    </row>
    <row r="32" spans="1:11" x14ac:dyDescent="0.25">
      <c r="A32" s="3">
        <v>31</v>
      </c>
      <c r="B32" s="3">
        <v>2031</v>
      </c>
      <c r="C32" s="3" t="s">
        <v>42</v>
      </c>
      <c r="D32" s="3">
        <v>4</v>
      </c>
      <c r="E32" s="3">
        <v>0</v>
      </c>
      <c r="F32" s="3">
        <v>0</v>
      </c>
      <c r="G32" s="3" t="s">
        <v>148</v>
      </c>
      <c r="H32" s="18">
        <v>-0.2</v>
      </c>
      <c r="J32" s="24" t="s">
        <v>143</v>
      </c>
      <c r="K32" s="17">
        <f>IF(特性!F32&gt;0,(特性!H32 * 特性!E32) / 特性!F32,0)</f>
        <v>0</v>
      </c>
    </row>
    <row r="33" spans="1:11" x14ac:dyDescent="0.25">
      <c r="A33" s="3">
        <v>32</v>
      </c>
      <c r="B33" s="3">
        <v>2032</v>
      </c>
      <c r="C33" s="3" t="s">
        <v>42</v>
      </c>
      <c r="D33" s="3">
        <v>4</v>
      </c>
      <c r="E33" s="3">
        <v>0</v>
      </c>
      <c r="F33" s="3">
        <v>0</v>
      </c>
      <c r="G33" s="3" t="s">
        <v>148</v>
      </c>
      <c r="H33" s="18">
        <v>-0.1</v>
      </c>
      <c r="J33" s="24" t="s">
        <v>144</v>
      </c>
      <c r="K33" s="17">
        <f>IF(特性!F33&gt;0,(特性!H33 * 特性!E33) / 特性!F33,0)</f>
        <v>0</v>
      </c>
    </row>
    <row r="34" spans="1:11" x14ac:dyDescent="0.25">
      <c r="A34" s="3">
        <v>33</v>
      </c>
      <c r="B34" s="3">
        <v>2033</v>
      </c>
      <c r="C34" s="3" t="s">
        <v>42</v>
      </c>
      <c r="D34" s="3">
        <v>4</v>
      </c>
      <c r="E34" s="3">
        <v>0</v>
      </c>
      <c r="F34" s="3">
        <v>0</v>
      </c>
      <c r="G34" s="3" t="s">
        <v>148</v>
      </c>
      <c r="H34" s="18">
        <v>0.1</v>
      </c>
      <c r="J34" s="24" t="s">
        <v>145</v>
      </c>
      <c r="K34" s="17">
        <f>IF(特性!F34&gt;0,(特性!H34 * 特性!E34) / 特性!F34,0)</f>
        <v>0</v>
      </c>
    </row>
    <row r="35" spans="1:11" x14ac:dyDescent="0.25">
      <c r="A35" s="3">
        <v>34</v>
      </c>
      <c r="B35" s="3">
        <v>2034</v>
      </c>
      <c r="C35" s="3" t="s">
        <v>42</v>
      </c>
      <c r="D35" s="3">
        <v>4</v>
      </c>
      <c r="E35" s="3">
        <v>0</v>
      </c>
      <c r="F35" s="3">
        <v>0</v>
      </c>
      <c r="G35" s="3" t="s">
        <v>148</v>
      </c>
      <c r="H35" s="18">
        <v>0.2</v>
      </c>
      <c r="J35" s="24" t="s">
        <v>146</v>
      </c>
      <c r="K35" s="17">
        <f>IF(特性!F35&gt;0,(特性!H35 * 特性!E35) / 特性!F35,0)</f>
        <v>0</v>
      </c>
    </row>
    <row r="36" spans="1:11" x14ac:dyDescent="0.25">
      <c r="A36" s="3">
        <v>35</v>
      </c>
      <c r="B36" s="3">
        <v>2035</v>
      </c>
      <c r="C36" s="3" t="s">
        <v>42</v>
      </c>
      <c r="D36" s="3">
        <v>4</v>
      </c>
      <c r="E36" s="3">
        <v>0</v>
      </c>
      <c r="F36" s="3">
        <v>0</v>
      </c>
      <c r="G36" s="3" t="s">
        <v>148</v>
      </c>
      <c r="H36" s="18">
        <v>0.3</v>
      </c>
      <c r="J36" s="24" t="s">
        <v>147</v>
      </c>
      <c r="K36" s="17">
        <f>IF(特性!F36&gt;0,(特性!H36 * 特性!E36) / 特性!F36,0)</f>
        <v>0</v>
      </c>
    </row>
    <row r="37" spans="1:11" x14ac:dyDescent="0.25">
      <c r="A37" s="3">
        <v>36</v>
      </c>
      <c r="B37" s="3">
        <v>2036</v>
      </c>
      <c r="C37" s="3" t="s">
        <v>42</v>
      </c>
      <c r="D37" s="3">
        <v>0</v>
      </c>
      <c r="E37" s="3">
        <v>0</v>
      </c>
      <c r="F37" s="3">
        <v>0</v>
      </c>
      <c r="G37" s="3" t="s">
        <v>150</v>
      </c>
      <c r="H37" s="18">
        <v>1</v>
      </c>
      <c r="J37" s="24" t="s">
        <v>149</v>
      </c>
      <c r="K37" s="17">
        <f>IF(特性!F37&gt;0,(特性!H37 * 特性!E37) / 特性!F37,0)</f>
        <v>0</v>
      </c>
    </row>
    <row r="38" spans="1:11" x14ac:dyDescent="0.25">
      <c r="A38" s="25"/>
      <c r="H38" s="18"/>
      <c r="K38" s="17">
        <f>IF(特性!F38&gt;0,(特性!H38 * 特性!E38) / 特性!F38,0)</f>
        <v>0</v>
      </c>
    </row>
    <row r="39" spans="1:11" x14ac:dyDescent="0.25">
      <c r="A39" s="25"/>
      <c r="H39" s="18"/>
      <c r="K39" s="17">
        <f>IF(特性!F39&gt;0,(特性!H39 * 特性!E39) / 特性!F39,0)</f>
        <v>0</v>
      </c>
    </row>
    <row r="40" spans="1:11" x14ac:dyDescent="0.25">
      <c r="A40" s="25"/>
      <c r="H40" s="18"/>
      <c r="K40" s="17">
        <f>IF(特性!F40&gt;0,(特性!H40 * 特性!E40) / 特性!F40,0)</f>
        <v>0</v>
      </c>
    </row>
    <row r="41" spans="1:11" x14ac:dyDescent="0.25">
      <c r="A41" s="25"/>
      <c r="H41" s="18"/>
      <c r="K41" s="17">
        <f>IF(特性!F41&gt;0,(特性!H41 * 特性!E41) / 特性!F41,0)</f>
        <v>0</v>
      </c>
    </row>
    <row r="42" spans="1:11" x14ac:dyDescent="0.25">
      <c r="A42" s="25"/>
      <c r="H42" s="18"/>
      <c r="K42" s="17">
        <f>IF(特性!F42&gt;0,(特性!H42 * 特性!E42) / 特性!F42,0)</f>
        <v>0</v>
      </c>
    </row>
    <row r="43" spans="1:11" x14ac:dyDescent="0.25">
      <c r="A43" s="25"/>
      <c r="H43" s="18"/>
      <c r="K43" s="17">
        <f>IF(特性!F43&gt;0,(特性!H43 * 特性!E43) / 特性!F43,0)</f>
        <v>0</v>
      </c>
    </row>
    <row r="44" spans="1:11" x14ac:dyDescent="0.25">
      <c r="A44" s="25"/>
      <c r="H44" s="18"/>
      <c r="K44" s="17">
        <f>IF(特性!F44&gt;0,(特性!H44 * 特性!E44) / 特性!F44,0)</f>
        <v>0</v>
      </c>
    </row>
    <row r="45" spans="1:11" x14ac:dyDescent="0.25">
      <c r="A45" s="25"/>
      <c r="H45" s="18"/>
      <c r="K45" s="17">
        <f>IF(特性!F45&gt;0,(特性!H45 * 特性!E45) / 特性!F45,0)</f>
        <v>0</v>
      </c>
    </row>
    <row r="46" spans="1:11" x14ac:dyDescent="0.25">
      <c r="A46" s="25"/>
      <c r="H46" s="18"/>
      <c r="K46" s="17">
        <f>IF(特性!F46&gt;0,(特性!H46 * 特性!E46) / 特性!F46,0)</f>
        <v>0</v>
      </c>
    </row>
    <row r="47" spans="1:11" x14ac:dyDescent="0.25">
      <c r="A47" s="25"/>
      <c r="H47" s="18"/>
      <c r="K47" s="17">
        <f>IF(特性!F47&gt;0,(特性!H47 * 特性!E47) / 特性!F47,0)</f>
        <v>0</v>
      </c>
    </row>
    <row r="48" spans="1:11" x14ac:dyDescent="0.25">
      <c r="A48" s="25"/>
      <c r="H48" s="18"/>
      <c r="K48" s="17">
        <f>IF(特性!F48&gt;0,(特性!H48 * 特性!E48) / 特性!F48,0)</f>
        <v>0</v>
      </c>
    </row>
    <row r="49" spans="1:11" x14ac:dyDescent="0.25">
      <c r="A49" s="25"/>
      <c r="H49" s="18"/>
      <c r="K49" s="17">
        <f>IF(特性!F49&gt;0,(特性!H49 * 特性!E49) / 特性!F49,0)</f>
        <v>0</v>
      </c>
    </row>
    <row r="50" spans="1:11" x14ac:dyDescent="0.25">
      <c r="A50" s="25"/>
      <c r="H50" s="18"/>
      <c r="K50" s="17">
        <f>IF(特性!F50&gt;0,(特性!H50 * 特性!E50) / 特性!F50,0)</f>
        <v>0</v>
      </c>
    </row>
    <row r="51" spans="1:11" x14ac:dyDescent="0.25">
      <c r="A51" s="25"/>
      <c r="H51" s="18"/>
      <c r="K51" s="17">
        <f>IF(特性!F51&gt;0,(特性!H51 * 特性!E51) / 特性!F51,0)</f>
        <v>0</v>
      </c>
    </row>
    <row r="52" spans="1:11" x14ac:dyDescent="0.25">
      <c r="A52" s="25"/>
      <c r="H52" s="18"/>
      <c r="K52" s="17">
        <f>IF(特性!F52&gt;0,(特性!H52 * 特性!E52) / 特性!F52,0)</f>
        <v>0</v>
      </c>
    </row>
    <row r="53" spans="1:11" x14ac:dyDescent="0.25">
      <c r="A53" s="25"/>
      <c r="H53" s="18"/>
      <c r="K53" s="17">
        <f>IF(特性!F53&gt;0,(特性!H53 * 特性!E53) / 特性!F53,0)</f>
        <v>0</v>
      </c>
    </row>
    <row r="54" spans="1:11" x14ac:dyDescent="0.25">
      <c r="A54" s="25"/>
      <c r="H54" s="18"/>
      <c r="K54" s="17">
        <f>IF(特性!F54&gt;0,(特性!H54 * 特性!E54) / 特性!F54,0)</f>
        <v>0</v>
      </c>
    </row>
    <row r="55" spans="1:11" x14ac:dyDescent="0.25">
      <c r="A55" s="25"/>
      <c r="H55" s="18"/>
      <c r="K55" s="17">
        <f>IF(特性!F55&gt;0,(特性!H55 * 特性!E55) / 特性!F55,0)</f>
        <v>0</v>
      </c>
    </row>
    <row r="56" spans="1:11" x14ac:dyDescent="0.25">
      <c r="A56" s="25"/>
      <c r="H56" s="18"/>
      <c r="K56" s="17">
        <f>IF(特性!F56&gt;0,(特性!H56 * 特性!E56) / 特性!F56,0)</f>
        <v>0</v>
      </c>
    </row>
    <row r="57" spans="1:11" x14ac:dyDescent="0.25">
      <c r="A57" s="25"/>
      <c r="H57" s="18"/>
      <c r="K57" s="17">
        <f>IF(特性!F57&gt;0,(特性!H57 * 特性!E57) / 特性!F57,0)</f>
        <v>0</v>
      </c>
    </row>
    <row r="58" spans="1:11" x14ac:dyDescent="0.25">
      <c r="A58" s="25"/>
      <c r="H58" s="18"/>
      <c r="K58" s="17">
        <f>IF(特性!F58&gt;0,(特性!H58 * 特性!E58) / 特性!F58,0)</f>
        <v>0</v>
      </c>
    </row>
    <row r="59" spans="1:11" x14ac:dyDescent="0.25">
      <c r="A59" s="25"/>
      <c r="H59" s="18"/>
      <c r="K59" s="17">
        <f>IF(特性!F59&gt;0,(特性!H59 * 特性!E59) / 特性!F59,0)</f>
        <v>0</v>
      </c>
    </row>
    <row r="60" spans="1:11" x14ac:dyDescent="0.25">
      <c r="A60" s="25"/>
      <c r="H60" s="18"/>
      <c r="K60" s="17">
        <f>IF(特性!F60&gt;0,(特性!H60 * 特性!E60) / 特性!F60,0)</f>
        <v>0</v>
      </c>
    </row>
    <row r="61" spans="1:11" x14ac:dyDescent="0.25">
      <c r="A61" s="25"/>
      <c r="H61" s="18"/>
      <c r="K61" s="17">
        <f>IF(特性!F61&gt;0,(特性!H61 * 特性!E61) / 特性!F61,0)</f>
        <v>0</v>
      </c>
    </row>
    <row r="62" spans="1:11" x14ac:dyDescent="0.25">
      <c r="A62" s="25"/>
      <c r="H62" s="18"/>
      <c r="K62" s="17">
        <f>IF(特性!F62&gt;0,(特性!H62 * 特性!E62) / 特性!F62,0)</f>
        <v>0</v>
      </c>
    </row>
    <row r="63" spans="1:11" x14ac:dyDescent="0.25">
      <c r="A63" s="25"/>
      <c r="H63" s="18"/>
      <c r="K63" s="17">
        <f>IF(特性!F63&gt;0,(特性!H63 * 特性!E63) / 特性!F63,0)</f>
        <v>0</v>
      </c>
    </row>
    <row r="64" spans="1:11" x14ac:dyDescent="0.25">
      <c r="A64" s="25"/>
      <c r="H64" s="18"/>
      <c r="K64" s="17">
        <f>IF(特性!F64&gt;0,(特性!H64 * 特性!E64) / 特性!F64,0)</f>
        <v>0</v>
      </c>
    </row>
    <row r="65" spans="1:11" x14ac:dyDescent="0.25">
      <c r="A65" s="25"/>
      <c r="H65" s="18"/>
      <c r="K65" s="17">
        <f>IF(特性!F65&gt;0,(特性!H65 * 特性!E65) / 特性!F65,0)</f>
        <v>0</v>
      </c>
    </row>
    <row r="66" spans="1:11" x14ac:dyDescent="0.25">
      <c r="A66" s="25"/>
      <c r="H66" s="18"/>
      <c r="K66" s="17">
        <f>IF(特性!F66&gt;0,(特性!H66 * 特性!E66) / 特性!F66,0)</f>
        <v>0</v>
      </c>
    </row>
    <row r="67" spans="1:11" x14ac:dyDescent="0.25">
      <c r="A67" s="25"/>
      <c r="H67" s="18"/>
      <c r="K67" s="17">
        <f>IF(特性!F67&gt;0,(特性!H67 * 特性!E67) / 特性!F67,0)</f>
        <v>0</v>
      </c>
    </row>
    <row r="68" spans="1:11" x14ac:dyDescent="0.25">
      <c r="A68" s="25"/>
      <c r="H68" s="18"/>
      <c r="K68" s="17">
        <f>IF(特性!F68&gt;0,(特性!H68 * 特性!E68) / 特性!F68,0)</f>
        <v>0</v>
      </c>
    </row>
    <row r="69" spans="1:11" x14ac:dyDescent="0.25">
      <c r="A69" s="25"/>
      <c r="H69" s="18"/>
      <c r="K69" s="17">
        <f>IF(特性!F69&gt;0,(特性!H69 * 特性!E69) / 特性!F69,0)</f>
        <v>0</v>
      </c>
    </row>
    <row r="70" spans="1:11" x14ac:dyDescent="0.25">
      <c r="A70" s="25"/>
      <c r="H70" s="18"/>
      <c r="K70" s="17">
        <f>IF(特性!F70&gt;0,(特性!H70 * 特性!E70) / 特性!F70,0)</f>
        <v>0</v>
      </c>
    </row>
    <row r="71" spans="1:11" x14ac:dyDescent="0.25">
      <c r="A71" s="25"/>
      <c r="H71" s="18"/>
      <c r="K71" s="17">
        <f>IF(特性!F71&gt;0,(特性!H71 * 特性!E71) / 特性!F71,0)</f>
        <v>0</v>
      </c>
    </row>
    <row r="72" spans="1:11" x14ac:dyDescent="0.25">
      <c r="A72" s="25"/>
      <c r="H72" s="18"/>
      <c r="K72" s="17">
        <f>IF(特性!F72&gt;0,(特性!H72 * 特性!E72) / 特性!F72,0)</f>
        <v>0</v>
      </c>
    </row>
    <row r="73" spans="1:11" x14ac:dyDescent="0.25">
      <c r="A73" s="25"/>
      <c r="H73" s="18"/>
      <c r="K73" s="17">
        <f>IF(特性!F73&gt;0,(特性!H73 * 特性!E73) / 特性!F73,0)</f>
        <v>0</v>
      </c>
    </row>
    <row r="74" spans="1:11" x14ac:dyDescent="0.25">
      <c r="A74" s="25"/>
      <c r="H74" s="18"/>
      <c r="K74" s="17">
        <f>IF(特性!F74&gt;0,(特性!H74 * 特性!E74) / 特性!F74,0)</f>
        <v>0</v>
      </c>
    </row>
    <row r="75" spans="1:11" x14ac:dyDescent="0.25">
      <c r="A75" s="25"/>
      <c r="H75" s="18"/>
      <c r="K75" s="17">
        <f>IF(特性!F75&gt;0,(特性!H75 * 特性!E75) / 特性!F75,0)</f>
        <v>0</v>
      </c>
    </row>
    <row r="76" spans="1:11" x14ac:dyDescent="0.25">
      <c r="A76" s="25"/>
      <c r="H76" s="18"/>
      <c r="K76" s="17">
        <f>IF(特性!F76&gt;0,(特性!H76 * 特性!E76) / 特性!F76,0)</f>
        <v>0</v>
      </c>
    </row>
    <row r="77" spans="1:11" x14ac:dyDescent="0.25">
      <c r="A77" s="25"/>
      <c r="H77" s="18"/>
      <c r="K77" s="17">
        <f>IF(特性!F77&gt;0,(特性!H77 * 特性!E77) / 特性!F77,0)</f>
        <v>0</v>
      </c>
    </row>
    <row r="78" spans="1:11" x14ac:dyDescent="0.25">
      <c r="A78" s="25"/>
      <c r="H78" s="18"/>
      <c r="K78" s="17">
        <f>IF(特性!F78&gt;0,(特性!H78 * 特性!E78) / 特性!F78,0)</f>
        <v>0</v>
      </c>
    </row>
    <row r="79" spans="1:11" x14ac:dyDescent="0.25">
      <c r="A79" s="25"/>
      <c r="H79" s="18"/>
      <c r="K79" s="17">
        <f>IF(特性!F79&gt;0,(特性!H79 * 特性!E79) / 特性!F79,0)</f>
        <v>0</v>
      </c>
    </row>
    <row r="80" spans="1:11" x14ac:dyDescent="0.25">
      <c r="A80" s="25"/>
      <c r="H80" s="18"/>
      <c r="K80" s="17">
        <f>IF(特性!F80&gt;0,(特性!H80 * 特性!E80) / 特性!F80,0)</f>
        <v>0</v>
      </c>
    </row>
    <row r="81" spans="1:11" x14ac:dyDescent="0.25">
      <c r="A81" s="25"/>
      <c r="H81" s="18"/>
      <c r="K81" s="17">
        <f>IF(特性!F81&gt;0,(特性!H81 * 特性!E81) / 特性!F81,0)</f>
        <v>0</v>
      </c>
    </row>
    <row r="82" spans="1:11" x14ac:dyDescent="0.25">
      <c r="A82" s="25"/>
      <c r="H82" s="18"/>
      <c r="K82" s="17">
        <f>IF(特性!F82&gt;0,(特性!H82 * 特性!E82) / 特性!F82,0)</f>
        <v>0</v>
      </c>
    </row>
    <row r="83" spans="1:11" x14ac:dyDescent="0.25">
      <c r="A83" s="25"/>
      <c r="H83" s="18"/>
      <c r="K83" s="17">
        <f>IF(特性!F83&gt;0,(特性!H83 * 特性!E83) / 特性!F83,0)</f>
        <v>0</v>
      </c>
    </row>
    <row r="84" spans="1:11" x14ac:dyDescent="0.25">
      <c r="A84" s="25"/>
      <c r="H84" s="18"/>
      <c r="K84" s="17">
        <f>IF(特性!F84&gt;0,(特性!H84 * 特性!E84) / 特性!F84,0)</f>
        <v>0</v>
      </c>
    </row>
    <row r="85" spans="1:11" x14ac:dyDescent="0.25">
      <c r="A85" s="25"/>
      <c r="H85" s="18"/>
      <c r="K85" s="17">
        <f>IF(特性!F85&gt;0,(特性!H85 * 特性!E85) / 特性!F85,0)</f>
        <v>0</v>
      </c>
    </row>
    <row r="86" spans="1:11" x14ac:dyDescent="0.25">
      <c r="A86" s="25"/>
      <c r="H86" s="18"/>
      <c r="K86" s="17">
        <f>IF(特性!F86&gt;0,(特性!H86 * 特性!E86) / 特性!F86,0)</f>
        <v>0</v>
      </c>
    </row>
    <row r="87" spans="1:11" x14ac:dyDescent="0.25">
      <c r="A87" s="25"/>
      <c r="H87" s="18"/>
      <c r="K87" s="17">
        <f>IF(特性!F87&gt;0,(特性!H87 * 特性!E87) / 特性!F87,0)</f>
        <v>0</v>
      </c>
    </row>
    <row r="88" spans="1:11" x14ac:dyDescent="0.25">
      <c r="A88" s="25"/>
      <c r="H88" s="18"/>
      <c r="K88" s="17">
        <f>IF(特性!F88&gt;0,(特性!H88 * 特性!E88) / 特性!F88,0)</f>
        <v>0</v>
      </c>
    </row>
    <row r="89" spans="1:11" x14ac:dyDescent="0.25">
      <c r="A89" s="25"/>
      <c r="H89" s="18"/>
      <c r="K89" s="17">
        <f>IF(特性!F89&gt;0,(特性!H89 * 特性!E89) / 特性!F89,0)</f>
        <v>0</v>
      </c>
    </row>
    <row r="90" spans="1:11" x14ac:dyDescent="0.25">
      <c r="A90" s="25"/>
      <c r="H90" s="18"/>
      <c r="K90" s="17">
        <f>IF(特性!F90&gt;0,(特性!H90 * 特性!E90) / 特性!F90,0)</f>
        <v>0</v>
      </c>
    </row>
    <row r="91" spans="1:11" x14ac:dyDescent="0.25">
      <c r="A91" s="25"/>
      <c r="H91" s="18"/>
      <c r="K91" s="17">
        <f>IF(特性!F91&gt;0,(特性!H91 * 特性!E91) / 特性!F91,0)</f>
        <v>0</v>
      </c>
    </row>
    <row r="92" spans="1:11" x14ac:dyDescent="0.25">
      <c r="A92" s="25"/>
      <c r="H92" s="18"/>
      <c r="K92" s="17">
        <f>IF(特性!F92&gt;0,(特性!H92 * 特性!E92) / 特性!F92,0)</f>
        <v>0</v>
      </c>
    </row>
    <row r="93" spans="1:11" x14ac:dyDescent="0.25">
      <c r="A93" s="25"/>
      <c r="H93" s="18"/>
      <c r="K93" s="17">
        <f>IF(特性!F93&gt;0,(特性!H93 * 特性!E93) / 特性!F93,0)</f>
        <v>0</v>
      </c>
    </row>
    <row r="94" spans="1:11" x14ac:dyDescent="0.25">
      <c r="A94" s="25"/>
      <c r="H94" s="18"/>
      <c r="K94" s="17">
        <f>IF(特性!F94&gt;0,(特性!H94 * 特性!E94) / 特性!F94,0)</f>
        <v>0</v>
      </c>
    </row>
    <row r="95" spans="1:11" x14ac:dyDescent="0.25">
      <c r="A95" s="25"/>
      <c r="H95" s="18"/>
      <c r="K95" s="17">
        <f>IF(特性!F95&gt;0,(特性!H95 * 特性!E95) / 特性!F95,0)</f>
        <v>0</v>
      </c>
    </row>
    <row r="96" spans="1:11" x14ac:dyDescent="0.25">
      <c r="A96" s="25"/>
      <c r="H96" s="18"/>
      <c r="K96" s="17">
        <f>IF(特性!F96&gt;0,(特性!H96 * 特性!E96) / 特性!F96,0)</f>
        <v>0</v>
      </c>
    </row>
    <row r="97" spans="1:11" x14ac:dyDescent="0.25">
      <c r="A97" s="25"/>
      <c r="H97" s="18"/>
      <c r="K97" s="17">
        <f>IF(特性!F97&gt;0,(特性!H97 * 特性!E97) / 特性!F97,0)</f>
        <v>0</v>
      </c>
    </row>
    <row r="98" spans="1:11" x14ac:dyDescent="0.25">
      <c r="A98" s="25"/>
      <c r="H98" s="18"/>
      <c r="K98" s="17">
        <f>IF(特性!F98&gt;0,(特性!H98 * 特性!E98) / 特性!F98,0)</f>
        <v>0</v>
      </c>
    </row>
    <row r="99" spans="1:11" x14ac:dyDescent="0.25">
      <c r="A99" s="25"/>
      <c r="H99" s="18"/>
      <c r="K99" s="17">
        <f>IF(特性!F99&gt;0,(特性!H99 * 特性!E99) / 特性!F99,0)</f>
        <v>0</v>
      </c>
    </row>
    <row r="100" spans="1:11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IF(特性!F100&gt;0,(特性!H100 * 特性!E100) / 特性!F100,0)</f>
        <v>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G1:G1048576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D4" sqref="D4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54</v>
      </c>
      <c r="B1" s="2" t="s">
        <v>55</v>
      </c>
      <c r="C1" s="2" t="s">
        <v>56</v>
      </c>
      <c r="D1" s="2" t="s">
        <v>108</v>
      </c>
      <c r="E1" s="2" t="s">
        <v>57</v>
      </c>
      <c r="F1" s="2" t="s">
        <v>58</v>
      </c>
      <c r="H1" s="22" t="s">
        <v>59</v>
      </c>
    </row>
    <row r="2" spans="1:8" x14ac:dyDescent="0.25">
      <c r="A2" s="11">
        <v>1</v>
      </c>
      <c r="B2" s="10" t="s">
        <v>62</v>
      </c>
      <c r="C2" s="13">
        <v>6</v>
      </c>
      <c r="D2" s="13">
        <v>0.15</v>
      </c>
      <c r="E2" s="13">
        <v>1</v>
      </c>
      <c r="F2" s="13">
        <v>1</v>
      </c>
      <c r="H2" s="23" t="s">
        <v>64</v>
      </c>
    </row>
    <row r="3" spans="1:8" x14ac:dyDescent="0.25">
      <c r="A3" s="11">
        <v>2</v>
      </c>
      <c r="B3" s="10" t="s">
        <v>62</v>
      </c>
      <c r="C3" s="13">
        <v>10</v>
      </c>
      <c r="D3" s="13">
        <v>0.15</v>
      </c>
      <c r="E3" s="13">
        <v>2</v>
      </c>
      <c r="F3" s="13">
        <v>1</v>
      </c>
      <c r="H3" s="23" t="s">
        <v>107</v>
      </c>
    </row>
    <row r="4" spans="1:8" x14ac:dyDescent="0.25">
      <c r="A4" s="11">
        <v>3</v>
      </c>
      <c r="B4" s="10" t="s">
        <v>62</v>
      </c>
      <c r="C4" s="13">
        <v>18</v>
      </c>
      <c r="D4" s="13">
        <v>0.15</v>
      </c>
      <c r="E4" s="13">
        <v>3</v>
      </c>
      <c r="F4" s="13">
        <v>1</v>
      </c>
      <c r="H4" s="23" t="s">
        <v>65</v>
      </c>
    </row>
    <row r="32" spans="1:6" x14ac:dyDescent="0.25">
      <c r="A32" s="27"/>
      <c r="F32" s="28"/>
    </row>
    <row r="33" spans="1:6" x14ac:dyDescent="0.25">
      <c r="A33" s="27"/>
      <c r="F33" s="28"/>
    </row>
    <row r="34" spans="1:6" x14ac:dyDescent="0.25">
      <c r="A34" s="27"/>
      <c r="F34" s="28"/>
    </row>
    <row r="35" spans="1:6" x14ac:dyDescent="0.25">
      <c r="A35" s="27"/>
      <c r="F35" s="28"/>
    </row>
    <row r="36" spans="1:6" x14ac:dyDescent="0.25">
      <c r="A36" s="27"/>
      <c r="F36" s="28"/>
    </row>
    <row r="37" spans="1:6" x14ac:dyDescent="0.25">
      <c r="A37" s="27"/>
      <c r="F37" s="28"/>
    </row>
    <row r="38" spans="1:6" x14ac:dyDescent="0.25">
      <c r="A38" s="27"/>
      <c r="F38" s="28"/>
    </row>
    <row r="39" spans="1:6" x14ac:dyDescent="0.25">
      <c r="A39" s="27"/>
      <c r="F39" s="28"/>
    </row>
    <row r="40" spans="1:6" x14ac:dyDescent="0.25">
      <c r="A40" s="27"/>
      <c r="F40" s="28"/>
    </row>
    <row r="41" spans="1:6" x14ac:dyDescent="0.25">
      <c r="A41" s="27"/>
      <c r="F41" s="28"/>
    </row>
    <row r="42" spans="1:6" x14ac:dyDescent="0.25">
      <c r="A42" s="27"/>
      <c r="F42" s="28"/>
    </row>
    <row r="43" spans="1:6" x14ac:dyDescent="0.25">
      <c r="A43" s="27"/>
      <c r="F43" s="28"/>
    </row>
    <row r="44" spans="1:6" x14ac:dyDescent="0.25">
      <c r="A44" s="27"/>
      <c r="F44" s="28"/>
    </row>
    <row r="45" spans="1:6" x14ac:dyDescent="0.25">
      <c r="A45" s="27"/>
      <c r="F45" s="28"/>
    </row>
    <row r="46" spans="1:6" x14ac:dyDescent="0.25">
      <c r="A46" s="27"/>
      <c r="F46" s="28"/>
    </row>
    <row r="47" spans="1:6" x14ac:dyDescent="0.25">
      <c r="A47" s="27"/>
      <c r="F47" s="28"/>
    </row>
    <row r="48" spans="1:6" x14ac:dyDescent="0.25">
      <c r="A48" s="27"/>
      <c r="F48" s="28"/>
    </row>
    <row r="49" spans="1:6" x14ac:dyDescent="0.25">
      <c r="A49" s="27"/>
      <c r="F49" s="28"/>
    </row>
    <row r="50" spans="1:6" x14ac:dyDescent="0.25">
      <c r="A50" s="27"/>
      <c r="F50" s="28"/>
    </row>
    <row r="51" spans="1:6" x14ac:dyDescent="0.25">
      <c r="A51" s="27"/>
      <c r="F51" s="28"/>
    </row>
    <row r="52" spans="1:6" x14ac:dyDescent="0.25">
      <c r="A52" s="27"/>
      <c r="F52" s="28"/>
    </row>
    <row r="53" spans="1:6" x14ac:dyDescent="0.25">
      <c r="A53" s="27"/>
      <c r="F53" s="28"/>
    </row>
    <row r="54" spans="1:6" x14ac:dyDescent="0.25">
      <c r="A54" s="27"/>
      <c r="F54" s="28"/>
    </row>
    <row r="55" spans="1:6" x14ac:dyDescent="0.25">
      <c r="A55" s="27"/>
      <c r="F55" s="28"/>
    </row>
    <row r="56" spans="1:6" x14ac:dyDescent="0.25">
      <c r="A56" s="27"/>
      <c r="F56" s="28"/>
    </row>
    <row r="57" spans="1:6" x14ac:dyDescent="0.25">
      <c r="A57" s="27"/>
      <c r="F57" s="28"/>
    </row>
    <row r="58" spans="1:6" x14ac:dyDescent="0.25">
      <c r="A58" s="27"/>
      <c r="F58" s="28"/>
    </row>
    <row r="59" spans="1:6" x14ac:dyDescent="0.25">
      <c r="A59" s="27"/>
      <c r="F59" s="28"/>
    </row>
    <row r="60" spans="1:6" x14ac:dyDescent="0.25">
      <c r="A60" s="27"/>
      <c r="F60" s="28"/>
    </row>
    <row r="61" spans="1:6" x14ac:dyDescent="0.25">
      <c r="A61" s="27"/>
      <c r="F61" s="28"/>
    </row>
    <row r="62" spans="1:6" x14ac:dyDescent="0.25">
      <c r="A62" s="27"/>
      <c r="F62" s="28"/>
    </row>
    <row r="63" spans="1:6" x14ac:dyDescent="0.25">
      <c r="A63" s="27"/>
      <c r="F63" s="28"/>
    </row>
    <row r="64" spans="1:6" x14ac:dyDescent="0.25">
      <c r="A64" s="27"/>
      <c r="F64" s="28"/>
    </row>
    <row r="65" spans="1:6" x14ac:dyDescent="0.25">
      <c r="A65" s="27"/>
      <c r="F65" s="28"/>
    </row>
    <row r="66" spans="1:6" x14ac:dyDescent="0.25">
      <c r="A66" s="27"/>
      <c r="F66" s="28"/>
    </row>
    <row r="67" spans="1:6" x14ac:dyDescent="0.25">
      <c r="A67" s="27"/>
      <c r="F67" s="28"/>
    </row>
    <row r="68" spans="1:6" x14ac:dyDescent="0.25">
      <c r="A68" s="27"/>
      <c r="F68" s="28"/>
    </row>
    <row r="69" spans="1:6" x14ac:dyDescent="0.25">
      <c r="A69" s="27"/>
      <c r="F69" s="28"/>
    </row>
    <row r="70" spans="1:6" x14ac:dyDescent="0.25">
      <c r="A70" s="27"/>
      <c r="F70" s="28"/>
    </row>
    <row r="71" spans="1:6" x14ac:dyDescent="0.25">
      <c r="A71" s="27"/>
      <c r="F71" s="28"/>
    </row>
    <row r="72" spans="1:6" x14ac:dyDescent="0.25">
      <c r="A72" s="27"/>
      <c r="F72" s="28"/>
    </row>
    <row r="73" spans="1:6" x14ac:dyDescent="0.25">
      <c r="A73" s="27"/>
      <c r="F73" s="28"/>
    </row>
    <row r="74" spans="1:6" x14ac:dyDescent="0.25">
      <c r="A74" s="27"/>
      <c r="F74" s="28"/>
    </row>
    <row r="75" spans="1:6" x14ac:dyDescent="0.25">
      <c r="A75" s="27"/>
      <c r="F75" s="28"/>
    </row>
    <row r="76" spans="1:6" x14ac:dyDescent="0.25">
      <c r="A76" s="27"/>
      <c r="F76" s="28"/>
    </row>
    <row r="77" spans="1:6" x14ac:dyDescent="0.25">
      <c r="A77" s="27"/>
      <c r="F77" s="28"/>
    </row>
    <row r="78" spans="1:6" x14ac:dyDescent="0.25">
      <c r="A78" s="27"/>
      <c r="F78" s="28"/>
    </row>
    <row r="79" spans="1:6" x14ac:dyDescent="0.25">
      <c r="A79" s="27"/>
      <c r="F79" s="28"/>
    </row>
    <row r="80" spans="1:6" x14ac:dyDescent="0.25">
      <c r="A80" s="27"/>
      <c r="F80" s="28"/>
    </row>
    <row r="81" spans="1:6" x14ac:dyDescent="0.25">
      <c r="A81" s="27"/>
      <c r="F81" s="28"/>
    </row>
    <row r="82" spans="1:6" x14ac:dyDescent="0.25">
      <c r="A82" s="27"/>
      <c r="F82" s="28"/>
    </row>
    <row r="83" spans="1:6" x14ac:dyDescent="0.25">
      <c r="A83" s="27"/>
      <c r="F83" s="28"/>
    </row>
    <row r="84" spans="1:6" x14ac:dyDescent="0.25">
      <c r="A84" s="27"/>
      <c r="F84" s="28"/>
    </row>
    <row r="85" spans="1:6" x14ac:dyDescent="0.25">
      <c r="A85" s="27"/>
      <c r="F85" s="28"/>
    </row>
    <row r="86" spans="1:6" x14ac:dyDescent="0.25">
      <c r="A86" s="27"/>
      <c r="F86" s="28"/>
    </row>
    <row r="87" spans="1:6" x14ac:dyDescent="0.25">
      <c r="A87" s="27"/>
      <c r="F87" s="28"/>
    </row>
    <row r="88" spans="1:6" x14ac:dyDescent="0.25">
      <c r="A88" s="27"/>
      <c r="F88" s="28"/>
    </row>
    <row r="89" spans="1:6" x14ac:dyDescent="0.25">
      <c r="A89" s="27"/>
      <c r="F89" s="28"/>
    </row>
    <row r="90" spans="1:6" x14ac:dyDescent="0.25">
      <c r="A90" s="27"/>
      <c r="F90" s="28"/>
    </row>
    <row r="91" spans="1:6" x14ac:dyDescent="0.25">
      <c r="A91" s="27"/>
      <c r="F91" s="28"/>
    </row>
    <row r="92" spans="1:6" x14ac:dyDescent="0.25">
      <c r="A92" s="27"/>
      <c r="F92" s="28"/>
    </row>
    <row r="93" spans="1:6" x14ac:dyDescent="0.25">
      <c r="A93" s="27"/>
      <c r="F93" s="28"/>
    </row>
    <row r="94" spans="1:6" x14ac:dyDescent="0.25">
      <c r="A94" s="27"/>
      <c r="F94" s="28"/>
    </row>
    <row r="95" spans="1:6" x14ac:dyDescent="0.25">
      <c r="A95" s="27"/>
      <c r="F95" s="28"/>
    </row>
    <row r="96" spans="1:6" x14ac:dyDescent="0.25">
      <c r="A96" s="27"/>
      <c r="F96" s="28"/>
    </row>
    <row r="97" spans="1:6" x14ac:dyDescent="0.25">
      <c r="A97" s="27"/>
      <c r="F97" s="28"/>
    </row>
    <row r="98" spans="1:6" x14ac:dyDescent="0.25">
      <c r="A98" s="27"/>
      <c r="F98" s="28"/>
    </row>
    <row r="99" spans="1:6" x14ac:dyDescent="0.25">
      <c r="A99" s="27"/>
      <c r="F99" s="28"/>
    </row>
    <row r="100" spans="1:6" x14ac:dyDescent="0.25">
      <c r="A100" s="29"/>
      <c r="B100" s="30"/>
      <c r="C100" s="31"/>
      <c r="D100" s="31"/>
      <c r="E100" s="31"/>
      <c r="F100" s="32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"/>
  <sheetViews>
    <sheetView workbookViewId="0">
      <pane ySplit="1" topLeftCell="A2" activePane="bottomLeft" state="frozen"/>
      <selection pane="bottomLeft" activeCell="A2" sqref="A2:A5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69</v>
      </c>
      <c r="B1" s="2" t="s">
        <v>78</v>
      </c>
      <c r="C1" s="2" t="s">
        <v>71</v>
      </c>
      <c r="D1" s="2" t="s">
        <v>72</v>
      </c>
    </row>
    <row r="2" spans="1:4" x14ac:dyDescent="0.25">
      <c r="A2" s="3" t="s">
        <v>83</v>
      </c>
      <c r="B2" s="3" t="s">
        <v>73</v>
      </c>
      <c r="C2" s="3" t="s">
        <v>74</v>
      </c>
      <c r="D2" s="3" t="s">
        <v>84</v>
      </c>
    </row>
    <row r="3" spans="1:4" x14ac:dyDescent="0.25">
      <c r="A3" s="3" t="s">
        <v>70</v>
      </c>
      <c r="B3" s="3" t="s">
        <v>73</v>
      </c>
      <c r="C3" s="3" t="s">
        <v>74</v>
      </c>
      <c r="D3" s="3" t="s">
        <v>80</v>
      </c>
    </row>
    <row r="4" spans="1:4" x14ac:dyDescent="0.25">
      <c r="A4" s="3" t="s">
        <v>82</v>
      </c>
      <c r="B4" s="3" t="s">
        <v>77</v>
      </c>
      <c r="C4" s="3" t="s">
        <v>75</v>
      </c>
      <c r="D4" s="3" t="s">
        <v>84</v>
      </c>
    </row>
    <row r="5" spans="1:4" x14ac:dyDescent="0.25">
      <c r="A5" s="3" t="s">
        <v>81</v>
      </c>
      <c r="B5" s="3" t="s">
        <v>76</v>
      </c>
      <c r="C5" s="3" t="s">
        <v>85</v>
      </c>
      <c r="D5" s="3" t="s">
        <v>79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workbookViewId="0">
      <selection activeCell="I3" sqref="I3:I12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34" t="s">
        <v>10</v>
      </c>
      <c r="B1" s="34"/>
      <c r="C1" s="34" t="s">
        <v>17</v>
      </c>
      <c r="D1" s="34"/>
      <c r="E1" s="34" t="s">
        <v>47</v>
      </c>
      <c r="F1" s="35"/>
      <c r="G1" s="34" t="s">
        <v>44</v>
      </c>
      <c r="H1" s="35"/>
      <c r="I1" s="34" t="s">
        <v>48</v>
      </c>
      <c r="J1" s="35"/>
      <c r="K1" s="34" t="s">
        <v>60</v>
      </c>
      <c r="L1" s="35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 x14ac:dyDescent="0.25">
      <c r="E5" s="7" t="s">
        <v>23</v>
      </c>
      <c r="F5" s="4">
        <v>3</v>
      </c>
      <c r="I5" s="8" t="s">
        <v>50</v>
      </c>
      <c r="J5" s="19">
        <v>3</v>
      </c>
    </row>
    <row r="6" spans="1:12" x14ac:dyDescent="0.25">
      <c r="I6" s="4" t="s">
        <v>121</v>
      </c>
      <c r="J6" s="19">
        <v>4</v>
      </c>
    </row>
    <row r="7" spans="1:12" x14ac:dyDescent="0.25">
      <c r="I7" s="4" t="s">
        <v>123</v>
      </c>
      <c r="J7" s="19">
        <v>5</v>
      </c>
    </row>
    <row r="8" spans="1:12" x14ac:dyDescent="0.25">
      <c r="I8" s="8" t="s">
        <v>24</v>
      </c>
      <c r="J8" s="19">
        <v>6</v>
      </c>
    </row>
    <row r="9" spans="1:12" x14ac:dyDescent="0.25">
      <c r="I9" s="8" t="s">
        <v>20</v>
      </c>
      <c r="J9" s="19">
        <v>7</v>
      </c>
    </row>
    <row r="10" spans="1:12" x14ac:dyDescent="0.25">
      <c r="I10" s="8" t="s">
        <v>22</v>
      </c>
      <c r="J10" s="19">
        <v>8</v>
      </c>
    </row>
    <row r="11" spans="1:12" x14ac:dyDescent="0.25">
      <c r="I11" s="4" t="s">
        <v>51</v>
      </c>
      <c r="J11" s="19">
        <v>9</v>
      </c>
    </row>
    <row r="12" spans="1:12" x14ac:dyDescent="0.25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A2" sqref="A2:C100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 x14ac:dyDescent="0.25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 x14ac:dyDescent="0.25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 x14ac:dyDescent="0.25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 x14ac:dyDescent="0.25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 x14ac:dyDescent="0.25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 x14ac:dyDescent="0.25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 x14ac:dyDescent="0.25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 x14ac:dyDescent="0.25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 x14ac:dyDescent="0.25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 x14ac:dyDescent="0.25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 x14ac:dyDescent="0.25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 x14ac:dyDescent="0.25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 x14ac:dyDescent="0.25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 x14ac:dyDescent="0.25">
      <c r="A26" t="str">
        <f>ToResult(語言列表!A26)</f>
        <v>2015</v>
      </c>
      <c r="B26" t="str">
        <f>ToResult(語言列表!B26)</f>
        <v>Dietitians</v>
      </c>
      <c r="C26" t="str">
        <f>ToResult(語言列表!C26)</f>
        <v>營養師</v>
      </c>
    </row>
    <row r="27" spans="1:3" x14ac:dyDescent="0.25">
      <c r="A27" t="str">
        <f>ToResult(語言列表!A27)</f>
        <v>2016</v>
      </c>
      <c r="B27" t="str">
        <f>ToResult(語言列表!B27)</f>
        <v>Doctor</v>
      </c>
      <c r="C27" t="str">
        <f>ToResult(語言列表!C27)</f>
        <v>醫生</v>
      </c>
    </row>
    <row r="28" spans="1:3" x14ac:dyDescent="0.25">
      <c r="A28" t="str">
        <f>ToResult(語言列表!A28)</f>
        <v>2017</v>
      </c>
      <c r="B28" t="str">
        <f>ToResult(語言列表!B28)</f>
        <v>Obesity</v>
      </c>
      <c r="C28" t="str">
        <f>ToResult(語言列表!C28)</f>
        <v>肥胖</v>
      </c>
    </row>
    <row r="29" spans="1:3" x14ac:dyDescent="0.25">
      <c r="A29" t="str">
        <f>ToResult(語言列表!A29)</f>
        <v>2018</v>
      </c>
      <c r="B29" t="str">
        <f>ToResult(語言列表!B29)</f>
        <v>Aging</v>
      </c>
      <c r="C29" t="str">
        <f>ToResult(語言列表!C29)</f>
        <v>老化</v>
      </c>
    </row>
    <row r="30" spans="1:3" x14ac:dyDescent="0.25">
      <c r="A30" t="str">
        <f>ToResult(語言列表!A30)</f>
        <v>2019</v>
      </c>
      <c r="B30" t="str">
        <f>ToResult(語言列表!B30)</f>
        <v>Disability</v>
      </c>
      <c r="C30" t="str">
        <f>ToResult(語言列表!C30)</f>
        <v>殘疾</v>
      </c>
    </row>
    <row r="31" spans="1:3" x14ac:dyDescent="0.25">
      <c r="A31" t="str">
        <f>ToResult(語言列表!A31)</f>
        <v>2020</v>
      </c>
      <c r="B31" t="str">
        <f>ToResult(語言列表!B31)</f>
        <v>Healthy</v>
      </c>
      <c r="C31" t="str">
        <f>ToResult(語言列表!C31)</f>
        <v>健康</v>
      </c>
    </row>
    <row r="32" spans="1:3" x14ac:dyDescent="0.25">
      <c r="A32" t="str">
        <f>ToResult(語言列表!A32)</f>
        <v>2021</v>
      </c>
      <c r="B32" t="str">
        <f>ToResult(語言列表!B32)</f>
        <v>Strong</v>
      </c>
      <c r="C32" t="str">
        <f>ToResult(語言列表!C32)</f>
        <v>強壯</v>
      </c>
    </row>
    <row r="33" spans="1:3" x14ac:dyDescent="0.25">
      <c r="A33" t="str">
        <f>ToResult(語言列表!A33)</f>
        <v>2022</v>
      </c>
      <c r="B33" t="str">
        <f>ToResult(語言列表!B33)</f>
        <v>Flu</v>
      </c>
      <c r="C33" t="str">
        <f>ToResult(語言列表!C33)</f>
        <v>感冒</v>
      </c>
    </row>
    <row r="34" spans="1:3" x14ac:dyDescent="0.25">
      <c r="A34" t="str">
        <f>ToResult(語言列表!A34)</f>
        <v>2023</v>
      </c>
      <c r="B34" t="str">
        <f>ToResult(語言列表!B34)</f>
        <v>Injured</v>
      </c>
      <c r="C34" t="str">
        <f>ToResult(語言列表!C34)</f>
        <v>受傷</v>
      </c>
    </row>
    <row r="35" spans="1:3" x14ac:dyDescent="0.25">
      <c r="A35" t="str">
        <f>ToResult(語言列表!A35)</f>
        <v>2024</v>
      </c>
      <c r="B35" t="str">
        <f>ToResult(語言列表!B35)</f>
        <v>Careless battery scavengers</v>
      </c>
      <c r="C35" t="str">
        <f>ToResult(語言列表!C35)</f>
        <v>粗心的電池拾荒者</v>
      </c>
    </row>
    <row r="36" spans="1:3" x14ac:dyDescent="0.25">
      <c r="A36" t="str">
        <f>ToResult(語言列表!A36)</f>
        <v>2025</v>
      </c>
      <c r="B36" t="str">
        <f>ToResult(語言列表!B36)</f>
        <v>Careless light ammo scavengers</v>
      </c>
      <c r="C36" t="str">
        <f>ToResult(語言列表!C36)</f>
        <v>粗心的輕型彈藥拾荒者</v>
      </c>
    </row>
    <row r="37" spans="1:3" x14ac:dyDescent="0.25">
      <c r="A37" t="str">
        <f>ToResult(語言列表!A37)</f>
        <v>2026</v>
      </c>
      <c r="B37" t="str">
        <f>ToResult(語言列表!B37)</f>
        <v>Careless heavy ammo scavengers</v>
      </c>
      <c r="C37" t="str">
        <f>ToResult(語言列表!C37)</f>
        <v>粗心的重型彈藥拾荒者</v>
      </c>
    </row>
    <row r="38" spans="1:3" x14ac:dyDescent="0.25">
      <c r="A38" t="str">
        <f>ToResult(語言列表!A38)</f>
        <v>2027</v>
      </c>
      <c r="B38" t="str">
        <f>ToResult(語言列表!B38)</f>
        <v>Careful battery scavengers</v>
      </c>
      <c r="C38" t="str">
        <f>ToResult(語言列表!C38)</f>
        <v>細心的電池拾荒者</v>
      </c>
    </row>
    <row r="39" spans="1:3" x14ac:dyDescent="0.25">
      <c r="A39" t="str">
        <f>ToResult(語言列表!A39)</f>
        <v>2028</v>
      </c>
      <c r="B39" t="str">
        <f>ToResult(語言列表!B39)</f>
        <v>Careful light ammo scavengers</v>
      </c>
      <c r="C39" t="str">
        <f>ToResult(語言列表!C39)</f>
        <v>細心的輕型彈藥拾荒者</v>
      </c>
    </row>
    <row r="40" spans="1:3" x14ac:dyDescent="0.25">
      <c r="A40" t="str">
        <f>ToResult(語言列表!A40)</f>
        <v>2029</v>
      </c>
      <c r="B40" t="str">
        <f>ToResult(語言列表!B40)</f>
        <v>Careful heavy ammo scavengers</v>
      </c>
      <c r="C40" t="str">
        <f>ToResult(語言列表!C40)</f>
        <v>細心的重型彈藥拾荒者</v>
      </c>
    </row>
    <row r="41" spans="1:3" x14ac:dyDescent="0.25">
      <c r="A41" t="str">
        <f>ToResult(語言列表!A41)</f>
        <v>2030</v>
      </c>
      <c r="B41" t="str">
        <f>ToResult(語言列表!B41)</f>
        <v>Benevolent warrior</v>
      </c>
      <c r="C41" t="str">
        <f>ToResult(語言列表!C41)</f>
        <v>仁慈的戰士</v>
      </c>
    </row>
    <row r="42" spans="1:3" x14ac:dyDescent="0.25">
      <c r="A42" t="str">
        <f>ToResult(語言列表!A42)</f>
        <v>2031</v>
      </c>
      <c r="B42" t="str">
        <f>ToResult(語言列表!B42)</f>
        <v>Clumsy soldier</v>
      </c>
      <c r="C42" t="str">
        <f>ToResult(語言列表!C42)</f>
        <v>笨拙的戰士</v>
      </c>
    </row>
    <row r="43" spans="1:3" x14ac:dyDescent="0.25">
      <c r="A43" t="str">
        <f>ToResult(語言列表!A43)</f>
        <v>2032</v>
      </c>
      <c r="B43" t="str">
        <f>ToResult(語言列表!B43)</f>
        <v>Careless soldier</v>
      </c>
      <c r="C43" t="str">
        <f>ToResult(語言列表!C43)</f>
        <v>粗心的戰士</v>
      </c>
    </row>
    <row r="44" spans="1:3" x14ac:dyDescent="0.25">
      <c r="A44" t="str">
        <f>ToResult(語言列表!A44)</f>
        <v>2033</v>
      </c>
      <c r="B44" t="str">
        <f>ToResult(語言列表!B44)</f>
        <v>Cool soldier</v>
      </c>
      <c r="C44" t="str">
        <f>ToResult(語言列表!C44)</f>
        <v>冷靜的戰士</v>
      </c>
    </row>
    <row r="45" spans="1:3" x14ac:dyDescent="0.25">
      <c r="A45" t="str">
        <f>ToResult(語言列表!A45)</f>
        <v>2034</v>
      </c>
      <c r="B45" t="str">
        <f>ToResult(語言列表!B45)</f>
        <v>Elite soldier</v>
      </c>
      <c r="C45" t="str">
        <f>ToResult(語言列表!C45)</f>
        <v>精英的戰士</v>
      </c>
    </row>
    <row r="46" spans="1:3" x14ac:dyDescent="0.25">
      <c r="A46" t="str">
        <f>ToResult(語言列表!A46)</f>
        <v>2035</v>
      </c>
      <c r="B46" t="str">
        <f>ToResult(語言列表!B46)</f>
        <v>Genius soldier</v>
      </c>
      <c r="C46" t="str">
        <f>ToResult(語言列表!C46)</f>
        <v>天才的戰士</v>
      </c>
    </row>
    <row r="47" spans="1:3" x14ac:dyDescent="0.25">
      <c r="A47" t="str">
        <f>ToResult(語言列表!A47)</f>
        <v>2036</v>
      </c>
      <c r="B47" t="str">
        <f>ToResult(語言列表!B47)</f>
        <v>Berserker</v>
      </c>
      <c r="C47" t="str">
        <f>ToResult(語言列表!C47)</f>
        <v>狂戰士</v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0</v>
      </c>
      <c r="F3" t="str">
        <f>ToResult(裝備!F3)</f>
        <v>1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2</v>
      </c>
      <c r="E4" t="str">
        <f>ToResult(裝備!E4)</f>
        <v>0.5</v>
      </c>
      <c r="F4" t="str">
        <f>ToResult(裝備!F4)</f>
        <v>2</v>
      </c>
      <c r="G4" t="str">
        <f>ToEquipRange(裝備!G4)</f>
        <v>1</v>
      </c>
      <c r="H4" t="str">
        <f>ToEquipResource(裝備!H4)</f>
        <v>0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1</v>
      </c>
      <c r="E5" t="str">
        <f>ToResult(裝備!E5)</f>
        <v>0.1</v>
      </c>
      <c r="F5" t="str">
        <f>ToResult(裝備!F5)</f>
        <v>0.5</v>
      </c>
      <c r="G5" t="str">
        <f>ToEquipRange(裝備!G5)</f>
        <v>1</v>
      </c>
      <c r="H5" t="str">
        <f>ToEquipResource(裝備!H5)</f>
        <v>1</v>
      </c>
    </row>
    <row r="6" spans="1:8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3</v>
      </c>
      <c r="E6" t="str">
        <f>ToResult(裝備!E6)</f>
        <v>0</v>
      </c>
      <c r="F6" t="str">
        <f>ToResult(裝備!F6)</f>
        <v>1</v>
      </c>
      <c r="G6" t="str">
        <f>ToEquipRange(裝備!G6)</f>
        <v>2</v>
      </c>
      <c r="H6" t="str">
        <f>ToEquipResource(裝備!H6)</f>
        <v>2</v>
      </c>
    </row>
    <row r="7" spans="1:8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3</v>
      </c>
      <c r="E7" t="str">
        <f>ToResult(裝備!E7)</f>
        <v>0.2</v>
      </c>
      <c r="F7" t="str">
        <f>ToResult(裝備!F7)</f>
        <v>1</v>
      </c>
      <c r="G7" t="str">
        <f>ToEquipRange(裝備!G7)</f>
        <v>2</v>
      </c>
      <c r="H7" t="str">
        <f>ToEquipResource(裝備!H7)</f>
        <v>2</v>
      </c>
    </row>
    <row r="8" spans="1:8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6</v>
      </c>
      <c r="E8" t="str">
        <f>ToResult(裝備!E8)</f>
        <v>0.8</v>
      </c>
      <c r="F8" t="str">
        <f>ToResult(裝備!F8)</f>
        <v>2.5</v>
      </c>
      <c r="G8" t="str">
        <f>ToEquipRange(裝備!G8)</f>
        <v>2</v>
      </c>
      <c r="H8" t="str">
        <f>ToEquipResource(裝備!H8)</f>
        <v>2</v>
      </c>
    </row>
    <row r="9" spans="1:8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2</v>
      </c>
      <c r="E9" t="str">
        <f>ToResult(裝備!E9)</f>
        <v>0.25</v>
      </c>
      <c r="F9" t="str">
        <f>ToResult(裝備!F9)</f>
        <v>0.5</v>
      </c>
      <c r="G9" t="str">
        <f>ToEquipRange(裝備!G9)</f>
        <v>2</v>
      </c>
      <c r="H9" t="str">
        <f>ToEquipResource(裝備!H9)</f>
        <v>3</v>
      </c>
    </row>
    <row r="10" spans="1:8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4</v>
      </c>
      <c r="E10" t="str">
        <f>ToResult(裝備!E10)</f>
        <v>0.5</v>
      </c>
      <c r="F10" t="str">
        <f>ToResult(裝備!F10)</f>
        <v>1</v>
      </c>
      <c r="G10" t="str">
        <f>ToEquipRange(裝備!G10)</f>
        <v>2</v>
      </c>
      <c r="H10" t="str">
        <f>ToEquipResource(裝備!H10)</f>
        <v>3</v>
      </c>
    </row>
    <row r="11" spans="1:8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2</v>
      </c>
      <c r="E11" t="str">
        <f>ToResult(裝備!E11)</f>
        <v>0</v>
      </c>
      <c r="F11" t="str">
        <f>ToResult(裝備!F11)</f>
        <v>0.25</v>
      </c>
      <c r="G11" t="str">
        <f>ToEquipRange(裝備!G11)</f>
        <v>2</v>
      </c>
      <c r="H11" t="str">
        <f>ToEquipResource(裝備!H11)</f>
        <v>3</v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  <row r="31" spans="1:8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ToEquipRange(裝備!G31)</f>
        <v/>
      </c>
      <c r="H31" t="str">
        <f>ToEquipResource(裝備!H31)</f>
        <v/>
      </c>
    </row>
    <row r="32" spans="1:8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ToEquipRange(裝備!G32)</f>
        <v/>
      </c>
      <c r="H32" t="str">
        <f>ToEquipResource(裝備!H32)</f>
        <v/>
      </c>
    </row>
    <row r="33" spans="1:8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ToEquipRange(裝備!G33)</f>
        <v/>
      </c>
      <c r="H33" t="str">
        <f>ToEquipResource(裝備!H33)</f>
        <v/>
      </c>
    </row>
    <row r="34" spans="1:8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ToEquipRange(裝備!G34)</f>
        <v/>
      </c>
      <c r="H34" t="str">
        <f>ToEquipResource(裝備!H34)</f>
        <v/>
      </c>
    </row>
    <row r="35" spans="1:8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ToEquipRange(裝備!G35)</f>
        <v/>
      </c>
      <c r="H35" t="str">
        <f>ToEquipResource(裝備!H35)</f>
        <v/>
      </c>
    </row>
    <row r="36" spans="1:8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ToEquipRange(裝備!G36)</f>
        <v/>
      </c>
      <c r="H36" t="str">
        <f>ToEquipResource(裝備!H36)</f>
        <v/>
      </c>
    </row>
    <row r="37" spans="1:8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ToEquipRange(裝備!G37)</f>
        <v/>
      </c>
      <c r="H37" t="str">
        <f>ToEquipResource(裝備!H37)</f>
        <v/>
      </c>
    </row>
    <row r="38" spans="1:8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ToEquipRange(裝備!G38)</f>
        <v/>
      </c>
      <c r="H38" t="str">
        <f>ToEquipResource(裝備!H38)</f>
        <v/>
      </c>
    </row>
    <row r="39" spans="1:8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ToEquipRange(裝備!G39)</f>
        <v/>
      </c>
      <c r="H39" t="str">
        <f>ToEquipResource(裝備!H39)</f>
        <v/>
      </c>
    </row>
    <row r="40" spans="1:8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ToEquipRange(裝備!G40)</f>
        <v/>
      </c>
      <c r="H40" t="str">
        <f>ToEquipResource(裝備!H40)</f>
        <v/>
      </c>
    </row>
    <row r="41" spans="1:8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ToEquipRange(裝備!G41)</f>
        <v/>
      </c>
      <c r="H41" t="str">
        <f>ToEquipResource(裝備!H41)</f>
        <v/>
      </c>
    </row>
    <row r="42" spans="1:8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ToEquipRange(裝備!G42)</f>
        <v/>
      </c>
      <c r="H42" t="str">
        <f>ToEquipResource(裝備!H42)</f>
        <v/>
      </c>
    </row>
    <row r="43" spans="1:8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ToEquipRange(裝備!G43)</f>
        <v/>
      </c>
      <c r="H43" t="str">
        <f>ToEquipResource(裝備!H43)</f>
        <v/>
      </c>
    </row>
    <row r="44" spans="1:8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ToEquipRange(裝備!G44)</f>
        <v/>
      </c>
      <c r="H44" t="str">
        <f>ToEquipResource(裝備!H44)</f>
        <v/>
      </c>
    </row>
    <row r="45" spans="1:8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ToEquipRange(裝備!G45)</f>
        <v/>
      </c>
      <c r="H45" t="str">
        <f>ToEquipResource(裝備!H45)</f>
        <v/>
      </c>
    </row>
    <row r="46" spans="1:8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ToEquipRange(裝備!G46)</f>
        <v/>
      </c>
      <c r="H46" t="str">
        <f>ToEquipResource(裝備!H46)</f>
        <v/>
      </c>
    </row>
    <row r="47" spans="1:8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ToEquipRange(裝備!G47)</f>
        <v/>
      </c>
      <c r="H47" t="str">
        <f>ToEquipResource(裝備!H47)</f>
        <v/>
      </c>
    </row>
    <row r="48" spans="1:8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ToEquipRange(裝備!G48)</f>
        <v/>
      </c>
      <c r="H48" t="str">
        <f>ToEquipResource(裝備!H48)</f>
        <v/>
      </c>
    </row>
    <row r="49" spans="1:8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ToEquipRange(裝備!G49)</f>
        <v/>
      </c>
      <c r="H49" t="str">
        <f>ToEquipResource(裝備!H49)</f>
        <v/>
      </c>
    </row>
    <row r="50" spans="1:8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ToEquipRange(裝備!G50)</f>
        <v/>
      </c>
      <c r="H50" t="str">
        <f>ToEquipResource(裝備!H50)</f>
        <v/>
      </c>
    </row>
    <row r="51" spans="1:8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ToEquipRange(裝備!G51)</f>
        <v/>
      </c>
      <c r="H51" t="str">
        <f>ToEquipResource(裝備!H51)</f>
        <v/>
      </c>
    </row>
    <row r="52" spans="1:8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ToEquipRange(裝備!G52)</f>
        <v/>
      </c>
      <c r="H52" t="str">
        <f>ToEquipResource(裝備!H52)</f>
        <v/>
      </c>
    </row>
    <row r="53" spans="1:8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ToEquipRange(裝備!G53)</f>
        <v/>
      </c>
      <c r="H53" t="str">
        <f>ToEquipResource(裝備!H53)</f>
        <v/>
      </c>
    </row>
    <row r="54" spans="1:8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ToEquipRange(裝備!G54)</f>
        <v/>
      </c>
      <c r="H54" t="str">
        <f>ToEquipResource(裝備!H54)</f>
        <v/>
      </c>
    </row>
    <row r="55" spans="1:8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ToEquipRange(裝備!G55)</f>
        <v/>
      </c>
      <c r="H55" t="str">
        <f>ToEquipResource(裝備!H55)</f>
        <v/>
      </c>
    </row>
    <row r="56" spans="1:8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ToEquipRange(裝備!G56)</f>
        <v/>
      </c>
      <c r="H56" t="str">
        <f>ToEquipResource(裝備!H56)</f>
        <v/>
      </c>
    </row>
    <row r="57" spans="1:8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ToEquipRange(裝備!G57)</f>
        <v/>
      </c>
      <c r="H57" t="str">
        <f>ToEquipResource(裝備!H57)</f>
        <v/>
      </c>
    </row>
    <row r="58" spans="1:8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ToEquipRange(裝備!G58)</f>
        <v/>
      </c>
      <c r="H58" t="str">
        <f>ToEquipResource(裝備!H58)</f>
        <v/>
      </c>
    </row>
    <row r="59" spans="1:8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ToEquipRange(裝備!G59)</f>
        <v/>
      </c>
      <c r="H59" t="str">
        <f>ToEquipResource(裝備!H59)</f>
        <v/>
      </c>
    </row>
    <row r="60" spans="1:8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ToEquipRange(裝備!G60)</f>
        <v/>
      </c>
      <c r="H60" t="str">
        <f>ToEquipResource(裝備!H60)</f>
        <v/>
      </c>
    </row>
    <row r="61" spans="1:8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ToEquipRange(裝備!G61)</f>
        <v/>
      </c>
      <c r="H61" t="str">
        <f>ToEquipResource(裝備!H61)</f>
        <v/>
      </c>
    </row>
    <row r="62" spans="1:8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ToEquipRange(裝備!G62)</f>
        <v/>
      </c>
      <c r="H62" t="str">
        <f>ToEquipResource(裝備!H62)</f>
        <v/>
      </c>
    </row>
    <row r="63" spans="1:8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ToEquipRange(裝備!G63)</f>
        <v/>
      </c>
      <c r="H63" t="str">
        <f>ToEquipResource(裝備!H63)</f>
        <v/>
      </c>
    </row>
    <row r="64" spans="1:8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ToEquipRange(裝備!G64)</f>
        <v/>
      </c>
      <c r="H64" t="str">
        <f>ToEquipResource(裝備!H64)</f>
        <v/>
      </c>
    </row>
    <row r="65" spans="1:8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ToEquipRange(裝備!G65)</f>
        <v/>
      </c>
      <c r="H65" t="str">
        <f>ToEquipResource(裝備!H65)</f>
        <v/>
      </c>
    </row>
    <row r="66" spans="1:8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ToEquipRange(裝備!G66)</f>
        <v/>
      </c>
      <c r="H66" t="str">
        <f>ToEquipResource(裝備!H66)</f>
        <v/>
      </c>
    </row>
    <row r="67" spans="1:8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ToEquipRange(裝備!G67)</f>
        <v/>
      </c>
      <c r="H67" t="str">
        <f>ToEquipResource(裝備!H67)</f>
        <v/>
      </c>
    </row>
    <row r="68" spans="1:8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ToEquipRange(裝備!G68)</f>
        <v/>
      </c>
      <c r="H68" t="str">
        <f>ToEquipResource(裝備!H68)</f>
        <v/>
      </c>
    </row>
    <row r="69" spans="1:8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ToEquipRange(裝備!G69)</f>
        <v/>
      </c>
      <c r="H69" t="str">
        <f>ToEquipResource(裝備!H69)</f>
        <v/>
      </c>
    </row>
    <row r="70" spans="1:8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ToEquipRange(裝備!G70)</f>
        <v/>
      </c>
      <c r="H70" t="str">
        <f>ToEquipResource(裝備!H70)</f>
        <v/>
      </c>
    </row>
    <row r="71" spans="1:8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ToEquipRange(裝備!G71)</f>
        <v/>
      </c>
      <c r="H71" t="str">
        <f>ToEquipResource(裝備!H71)</f>
        <v/>
      </c>
    </row>
    <row r="72" spans="1:8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ToEquipRange(裝備!G72)</f>
        <v/>
      </c>
      <c r="H72" t="str">
        <f>ToEquipResource(裝備!H72)</f>
        <v/>
      </c>
    </row>
    <row r="73" spans="1:8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ToEquipRange(裝備!G73)</f>
        <v/>
      </c>
      <c r="H73" t="str">
        <f>ToEquipResource(裝備!H73)</f>
        <v/>
      </c>
    </row>
    <row r="74" spans="1:8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ToEquipRange(裝備!G74)</f>
        <v/>
      </c>
      <c r="H74" t="str">
        <f>ToEquipResource(裝備!H74)</f>
        <v/>
      </c>
    </row>
    <row r="75" spans="1:8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ToEquipRange(裝備!G75)</f>
        <v/>
      </c>
      <c r="H75" t="str">
        <f>ToEquipResource(裝備!H75)</f>
        <v/>
      </c>
    </row>
    <row r="76" spans="1:8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ToEquipRange(裝備!G76)</f>
        <v/>
      </c>
      <c r="H76" t="str">
        <f>ToEquipResource(裝備!H76)</f>
        <v/>
      </c>
    </row>
    <row r="77" spans="1:8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ToEquipRange(裝備!G77)</f>
        <v/>
      </c>
      <c r="H77" t="str">
        <f>ToEquipResource(裝備!H77)</f>
        <v/>
      </c>
    </row>
    <row r="78" spans="1:8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ToEquipRange(裝備!G78)</f>
        <v/>
      </c>
      <c r="H78" t="str">
        <f>ToEquipResource(裝備!H78)</f>
        <v/>
      </c>
    </row>
    <row r="79" spans="1:8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ToEquipRange(裝備!G79)</f>
        <v/>
      </c>
      <c r="H79" t="str">
        <f>ToEquipResource(裝備!H79)</f>
        <v/>
      </c>
    </row>
    <row r="80" spans="1:8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ToEquipRange(裝備!G80)</f>
        <v/>
      </c>
      <c r="H80" t="str">
        <f>ToEquipResource(裝備!H80)</f>
        <v/>
      </c>
    </row>
    <row r="81" spans="1:8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ToEquipRange(裝備!G81)</f>
        <v/>
      </c>
      <c r="H81" t="str">
        <f>ToEquipResource(裝備!H81)</f>
        <v/>
      </c>
    </row>
    <row r="82" spans="1:8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ToEquipRange(裝備!G82)</f>
        <v/>
      </c>
      <c r="H82" t="str">
        <f>ToEquipResource(裝備!H82)</f>
        <v/>
      </c>
    </row>
    <row r="83" spans="1:8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ToEquipRange(裝備!G83)</f>
        <v/>
      </c>
      <c r="H83" t="str">
        <f>ToEquipResource(裝備!H83)</f>
        <v/>
      </c>
    </row>
    <row r="84" spans="1:8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ToEquipRange(裝備!G84)</f>
        <v/>
      </c>
      <c r="H84" t="str">
        <f>ToEquipResource(裝備!H84)</f>
        <v/>
      </c>
    </row>
    <row r="85" spans="1:8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ToEquipRange(裝備!G85)</f>
        <v/>
      </c>
      <c r="H85" t="str">
        <f>ToEquipResource(裝備!H85)</f>
        <v/>
      </c>
    </row>
    <row r="86" spans="1:8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ToEquipRange(裝備!G86)</f>
        <v/>
      </c>
      <c r="H86" t="str">
        <f>ToEquipResource(裝備!H86)</f>
        <v/>
      </c>
    </row>
    <row r="87" spans="1:8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ToEquipRange(裝備!G87)</f>
        <v/>
      </c>
      <c r="H87" t="str">
        <f>ToEquipResource(裝備!H87)</f>
        <v/>
      </c>
    </row>
    <row r="88" spans="1:8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ToEquipRange(裝備!G88)</f>
        <v/>
      </c>
      <c r="H88" t="str">
        <f>ToEquipResource(裝備!H88)</f>
        <v/>
      </c>
    </row>
    <row r="89" spans="1:8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ToEquipRange(裝備!G89)</f>
        <v/>
      </c>
      <c r="H89" t="str">
        <f>ToEquipResource(裝備!H89)</f>
        <v/>
      </c>
    </row>
    <row r="90" spans="1:8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ToEquipRange(裝備!G90)</f>
        <v/>
      </c>
      <c r="H90" t="str">
        <f>ToEquipResource(裝備!H90)</f>
        <v/>
      </c>
    </row>
    <row r="91" spans="1:8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ToEquipRange(裝備!G91)</f>
        <v/>
      </c>
      <c r="H91" t="str">
        <f>ToEquipResource(裝備!H91)</f>
        <v/>
      </c>
    </row>
    <row r="92" spans="1:8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ToEquipRange(裝備!G92)</f>
        <v/>
      </c>
      <c r="H92" t="str">
        <f>ToEquipResource(裝備!H92)</f>
        <v/>
      </c>
    </row>
    <row r="93" spans="1:8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ToEquipRange(裝備!G93)</f>
        <v/>
      </c>
      <c r="H93" t="str">
        <f>ToEquipResource(裝備!H93)</f>
        <v/>
      </c>
    </row>
    <row r="94" spans="1:8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ToEquipRange(裝備!G94)</f>
        <v/>
      </c>
      <c r="H94" t="str">
        <f>ToEquipResource(裝備!H94)</f>
        <v/>
      </c>
    </row>
    <row r="95" spans="1:8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ToEquipRange(裝備!G95)</f>
        <v/>
      </c>
      <c r="H95" t="str">
        <f>ToEquipResource(裝備!H95)</f>
        <v/>
      </c>
    </row>
    <row r="96" spans="1:8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ToEquipRange(裝備!G96)</f>
        <v/>
      </c>
      <c r="H96" t="str">
        <f>ToEquipResource(裝備!H96)</f>
        <v/>
      </c>
    </row>
    <row r="97" spans="1:8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ToEquipRange(裝備!G97)</f>
        <v/>
      </c>
      <c r="H97" t="str">
        <f>ToEquipResource(裝備!H97)</f>
        <v/>
      </c>
    </row>
    <row r="98" spans="1:8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ToEquipRange(裝備!G98)</f>
        <v/>
      </c>
      <c r="H98" t="str">
        <f>ToEquipResource(裝備!H98)</f>
        <v/>
      </c>
    </row>
    <row r="99" spans="1:8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ToEquipRange(裝備!G99)</f>
        <v/>
      </c>
      <c r="H99" t="str">
        <f>ToEquipResource(裝備!H99)</f>
        <v/>
      </c>
    </row>
    <row r="100" spans="1:8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ToEquipRange(裝備!G100)</f>
        <v/>
      </c>
      <c r="H100" t="str">
        <f>ToEquipResource(裝備!H100)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0</v>
      </c>
      <c r="E2" t="str">
        <f>ToResult(特性!E2)</f>
        <v>0</v>
      </c>
      <c r="F2" t="str">
        <f>ToResult(特性!F2)</f>
        <v>0</v>
      </c>
      <c r="G2" t="str">
        <f>ToFeatureEffect(特性!G2)</f>
        <v>2</v>
      </c>
      <c r="H2" t="str">
        <f>ToResult(特性!H2)</f>
        <v>5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0</v>
      </c>
      <c r="E3" t="str">
        <f>ToResult(特性!E3)</f>
        <v>0</v>
      </c>
      <c r="F3" t="str">
        <f>ToResult(特性!F3)</f>
        <v>0</v>
      </c>
      <c r="G3" t="str">
        <f>ToFeatureEffect(特性!G3)</f>
        <v>2</v>
      </c>
      <c r="H3" t="str">
        <f>ToResult(特性!H3)</f>
        <v>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0</v>
      </c>
      <c r="E4" t="str">
        <f>ToResult(特性!E4)</f>
        <v>0</v>
      </c>
      <c r="F4" t="str">
        <f>ToResult(特性!F4)</f>
        <v>0</v>
      </c>
      <c r="G4" t="str">
        <f>ToFeatureEffect(特性!G4)</f>
        <v>2</v>
      </c>
      <c r="H4" t="str">
        <f>ToResult(特性!H4)</f>
        <v>15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0</v>
      </c>
      <c r="E5" t="str">
        <f>ToResult(特性!E5)</f>
        <v>0</v>
      </c>
      <c r="F5" t="str">
        <f>ToResult(特性!F5)</f>
        <v>0</v>
      </c>
      <c r="G5" t="str">
        <f>ToFeatureEffect(特性!G5)</f>
        <v>2</v>
      </c>
      <c r="H5" t="str">
        <f>ToResult(特性!H5)</f>
        <v>20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0</v>
      </c>
      <c r="E6" t="str">
        <f>ToResult(特性!E6)</f>
        <v>0.8</v>
      </c>
      <c r="F6" t="str">
        <f>ToResult(特性!F6)</f>
        <v>5</v>
      </c>
      <c r="G6" t="str">
        <f>ToFeatureEffect(特性!G6)</f>
        <v>2</v>
      </c>
      <c r="H6" t="str">
        <f>ToResult(特性!H6)</f>
        <v>3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0</v>
      </c>
      <c r="E7" t="str">
        <f>ToResult(特性!E7)</f>
        <v>0.3</v>
      </c>
      <c r="F7" t="str">
        <f>ToResult(特性!F7)</f>
        <v>30</v>
      </c>
      <c r="G7" t="str">
        <f>ToFeatureEffect(特性!G7)</f>
        <v>2</v>
      </c>
      <c r="H7" t="str">
        <f>ToResult(特性!H7)</f>
        <v>55</v>
      </c>
    </row>
    <row r="8" spans="1:8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0</v>
      </c>
      <c r="E8" t="str">
        <f>ToResult(特性!E8)</f>
        <v>0.5</v>
      </c>
      <c r="F8" t="str">
        <f>ToResult(特性!F8)</f>
        <v>20</v>
      </c>
      <c r="G8" t="str">
        <f>ToFeatureEffect(特性!G8)</f>
        <v>2</v>
      </c>
      <c r="H8" t="str">
        <f>ToResult(特性!H8)</f>
        <v>25</v>
      </c>
    </row>
    <row r="9" spans="1:8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0</v>
      </c>
      <c r="F9" t="str">
        <f>ToResult(特性!F9)</f>
        <v>0</v>
      </c>
      <c r="G9" t="str">
        <f>ToFeatureEffect(特性!G9)</f>
        <v>2</v>
      </c>
      <c r="H9" t="str">
        <f>ToResult(特性!H9)</f>
        <v>-4</v>
      </c>
    </row>
    <row r="10" spans="1:8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0</v>
      </c>
      <c r="E10" t="str">
        <f>ToResult(特性!E10)</f>
        <v>0</v>
      </c>
      <c r="F10" t="str">
        <f>ToResult(特性!F10)</f>
        <v>0</v>
      </c>
      <c r="G10" t="str">
        <f>ToFeatureEffect(特性!G10)</f>
        <v>2</v>
      </c>
      <c r="H10" t="str">
        <f>ToResult(特性!H10)</f>
        <v>-8</v>
      </c>
    </row>
    <row r="11" spans="1:8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0</v>
      </c>
      <c r="E11" t="str">
        <f>ToResult(特性!E11)</f>
        <v>0</v>
      </c>
      <c r="F11" t="str">
        <f>ToResult(特性!F11)</f>
        <v>0</v>
      </c>
      <c r="G11" t="str">
        <f>ToFeatureEffect(特性!G11)</f>
        <v>2</v>
      </c>
      <c r="H11" t="str">
        <f>ToResult(特性!H11)</f>
        <v>-12</v>
      </c>
    </row>
    <row r="12" spans="1:8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0</v>
      </c>
      <c r="E12" t="str">
        <f>ToResult(特性!E12)</f>
        <v>0</v>
      </c>
      <c r="F12" t="str">
        <f>ToResult(特性!F12)</f>
        <v>0</v>
      </c>
      <c r="G12" t="str">
        <f>ToFeatureEffect(特性!G12)</f>
        <v>2</v>
      </c>
      <c r="H12" t="str">
        <f>ToResult(特性!H12)</f>
        <v>-16</v>
      </c>
    </row>
    <row r="13" spans="1:8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0</v>
      </c>
      <c r="E13" t="str">
        <f>ToResult(特性!E13)</f>
        <v>0.4</v>
      </c>
      <c r="F13" t="str">
        <f>ToResult(特性!F13)</f>
        <v>10</v>
      </c>
      <c r="G13" t="str">
        <f>ToFeatureEffect(特性!G13)</f>
        <v>2</v>
      </c>
      <c r="H13" t="str">
        <f>ToResult(特性!H13)</f>
        <v>-10</v>
      </c>
    </row>
    <row r="14" spans="1:8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0</v>
      </c>
      <c r="E14" t="str">
        <f>ToResult(特性!E14)</f>
        <v>0.1</v>
      </c>
      <c r="F14" t="str">
        <f>ToResult(特性!F14)</f>
        <v>15</v>
      </c>
      <c r="G14" t="str">
        <f>ToFeatureEffect(特性!G14)</f>
        <v>2</v>
      </c>
      <c r="H14" t="str">
        <f>ToResult(特性!H14)</f>
        <v>-60</v>
      </c>
    </row>
    <row r="15" spans="1:8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0</v>
      </c>
      <c r="E15" t="str">
        <f>ToResult(特性!E15)</f>
        <v>0</v>
      </c>
      <c r="F15" t="str">
        <f>ToResult(特性!F15)</f>
        <v>0</v>
      </c>
      <c r="G15" t="str">
        <f>ToFeatureEffect(特性!G15)</f>
        <v>4</v>
      </c>
      <c r="H15" t="str">
        <f>ToResult(特性!H15)</f>
        <v>10</v>
      </c>
    </row>
    <row r="16" spans="1:8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0</v>
      </c>
      <c r="E16" t="str">
        <f>ToResult(特性!E16)</f>
        <v>0</v>
      </c>
      <c r="F16" t="str">
        <f>ToResult(特性!F16)</f>
        <v>0</v>
      </c>
      <c r="G16" t="str">
        <f>ToFeatureEffect(特性!G16)</f>
        <v>4</v>
      </c>
      <c r="H16" t="str">
        <f>ToResult(特性!H16)</f>
        <v>30</v>
      </c>
    </row>
    <row r="17" spans="1:8" x14ac:dyDescent="0.25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0</v>
      </c>
      <c r="E17" t="str">
        <f>ToResult(特性!E17)</f>
        <v>0</v>
      </c>
      <c r="F17" t="str">
        <f>ToResult(特性!F17)</f>
        <v>0</v>
      </c>
      <c r="G17" t="str">
        <f>ToFeatureEffect(特性!G17)</f>
        <v>4</v>
      </c>
      <c r="H17" t="str">
        <f>ToResult(特性!H17)</f>
        <v>50</v>
      </c>
    </row>
    <row r="18" spans="1:8" x14ac:dyDescent="0.25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0</v>
      </c>
      <c r="E18" t="str">
        <f>ToResult(特性!E18)</f>
        <v>0</v>
      </c>
      <c r="F18" t="str">
        <f>ToResult(特性!F18)</f>
        <v>0</v>
      </c>
      <c r="G18" t="str">
        <f>ToFeatureEffect(特性!G18)</f>
        <v>4</v>
      </c>
      <c r="H18" t="str">
        <f>ToResult(特性!H18)</f>
        <v>-10</v>
      </c>
    </row>
    <row r="19" spans="1:8" x14ac:dyDescent="0.25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0</v>
      </c>
      <c r="E19" t="str">
        <f>ToResult(特性!E19)</f>
        <v>0</v>
      </c>
      <c r="F19" t="str">
        <f>ToResult(特性!F19)</f>
        <v>0</v>
      </c>
      <c r="G19" t="str">
        <f>ToFeatureEffect(特性!G19)</f>
        <v>4</v>
      </c>
      <c r="H19" t="str">
        <f>ToResult(特性!H19)</f>
        <v>-30</v>
      </c>
    </row>
    <row r="20" spans="1:8" x14ac:dyDescent="0.25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0</v>
      </c>
      <c r="E20" t="str">
        <f>ToResult(特性!E20)</f>
        <v>0</v>
      </c>
      <c r="F20" t="str">
        <f>ToResult(特性!F20)</f>
        <v>0</v>
      </c>
      <c r="G20" t="str">
        <f>ToFeatureEffect(特性!G20)</f>
        <v>4</v>
      </c>
      <c r="H20" t="str">
        <f>ToResult(特性!H20)</f>
        <v>-50</v>
      </c>
    </row>
    <row r="21" spans="1:8" x14ac:dyDescent="0.25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0</v>
      </c>
      <c r="E21" t="str">
        <f>ToResult(特性!E21)</f>
        <v>0</v>
      </c>
      <c r="F21" t="str">
        <f>ToResult(特性!F21)</f>
        <v>0</v>
      </c>
      <c r="G21" t="str">
        <f>ToFeatureEffect(特性!G21)</f>
        <v>5</v>
      </c>
      <c r="H21" t="str">
        <f>ToResult(特性!H21)</f>
        <v>1</v>
      </c>
    </row>
    <row r="22" spans="1:8" x14ac:dyDescent="0.25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0</v>
      </c>
      <c r="E22" t="str">
        <f>ToResult(特性!E22)</f>
        <v>0</v>
      </c>
      <c r="F22" t="str">
        <f>ToResult(特性!F22)</f>
        <v>0</v>
      </c>
      <c r="G22" t="str">
        <f>ToFeatureEffect(特性!G22)</f>
        <v>5</v>
      </c>
      <c r="H22" t="str">
        <f>ToResult(特性!H22)</f>
        <v>2</v>
      </c>
    </row>
    <row r="23" spans="1:8" x14ac:dyDescent="0.25">
      <c r="A23" t="str">
        <f>ToResult(特性!A23)</f>
        <v>22</v>
      </c>
      <c r="B23" t="str">
        <f>ToResult(特性!B23)</f>
        <v>2022</v>
      </c>
      <c r="C23" t="str">
        <f>ToFeatureMode(特性!C23)</f>
        <v>2</v>
      </c>
      <c r="D23" t="str">
        <f>ToResult(特性!D23)</f>
        <v>0</v>
      </c>
      <c r="E23" t="str">
        <f>ToResult(特性!E23)</f>
        <v>0</v>
      </c>
      <c r="F23" t="str">
        <f>ToResult(特性!F23)</f>
        <v>0</v>
      </c>
      <c r="G23" t="str">
        <f>ToFeatureEffect(特性!G23)</f>
        <v>5</v>
      </c>
      <c r="H23" t="str">
        <f>ToResult(特性!H23)</f>
        <v>-1</v>
      </c>
    </row>
    <row r="24" spans="1:8" x14ac:dyDescent="0.25">
      <c r="A24" t="str">
        <f>ToResult(特性!A24)</f>
        <v>23</v>
      </c>
      <c r="B24" t="str">
        <f>ToResult(特性!B24)</f>
        <v>2023</v>
      </c>
      <c r="C24" t="str">
        <f>ToFeatureMode(特性!C24)</f>
        <v>2</v>
      </c>
      <c r="D24" t="str">
        <f>ToResult(特性!D24)</f>
        <v>0</v>
      </c>
      <c r="E24" t="str">
        <f>ToResult(特性!E24)</f>
        <v>0</v>
      </c>
      <c r="F24" t="str">
        <f>ToResult(特性!F24)</f>
        <v>0</v>
      </c>
      <c r="G24" t="str">
        <f>ToFeatureEffect(特性!G24)</f>
        <v>5</v>
      </c>
      <c r="H24" t="str">
        <f>ToResult(特性!H24)</f>
        <v>-2</v>
      </c>
    </row>
    <row r="25" spans="1:8" x14ac:dyDescent="0.25">
      <c r="A25" t="str">
        <f>ToResult(特性!A25)</f>
        <v>24</v>
      </c>
      <c r="B25" t="str">
        <f>ToResult(特性!B25)</f>
        <v>2024</v>
      </c>
      <c r="C25" t="str">
        <f>ToFeatureMode(特性!C25)</f>
        <v>1</v>
      </c>
      <c r="D25" t="str">
        <f>ToResult(特性!D25)</f>
        <v>1</v>
      </c>
      <c r="E25" t="str">
        <f>ToResult(特性!E25)</f>
        <v>0.2</v>
      </c>
      <c r="F25" t="str">
        <f>ToResult(特性!F25)</f>
        <v>30</v>
      </c>
      <c r="G25" t="str">
        <f>ToFeatureEffect(特性!G25)</f>
        <v>6</v>
      </c>
      <c r="H25" t="str">
        <f>ToResult(特性!H25)</f>
        <v>30</v>
      </c>
    </row>
    <row r="26" spans="1:8" x14ac:dyDescent="0.25">
      <c r="A26" t="str">
        <f>ToResult(特性!A26)</f>
        <v>25</v>
      </c>
      <c r="B26" t="str">
        <f>ToResult(特性!B26)</f>
        <v>2025</v>
      </c>
      <c r="C26" t="str">
        <f>ToFeatureMode(特性!C26)</f>
        <v>1</v>
      </c>
      <c r="D26" t="str">
        <f>ToResult(特性!D26)</f>
        <v>2</v>
      </c>
      <c r="E26" t="str">
        <f>ToResult(特性!E26)</f>
        <v>0.2</v>
      </c>
      <c r="F26" t="str">
        <f>ToResult(特性!F26)</f>
        <v>30</v>
      </c>
      <c r="G26" t="str">
        <f>ToFeatureEffect(特性!G26)</f>
        <v>7</v>
      </c>
      <c r="H26" t="str">
        <f>ToResult(特性!H26)</f>
        <v>15</v>
      </c>
    </row>
    <row r="27" spans="1:8" x14ac:dyDescent="0.25">
      <c r="A27" t="str">
        <f>ToResult(特性!A27)</f>
        <v>26</v>
      </c>
      <c r="B27" t="str">
        <f>ToResult(特性!B27)</f>
        <v>2026</v>
      </c>
      <c r="C27" t="str">
        <f>ToFeatureMode(特性!C27)</f>
        <v>1</v>
      </c>
      <c r="D27" t="str">
        <f>ToResult(特性!D27)</f>
        <v>3</v>
      </c>
      <c r="E27" t="str">
        <f>ToResult(特性!E27)</f>
        <v>0.2</v>
      </c>
      <c r="F27" t="str">
        <f>ToResult(特性!F27)</f>
        <v>30</v>
      </c>
      <c r="G27" t="str">
        <f>ToFeatureEffect(特性!G27)</f>
        <v>8</v>
      </c>
      <c r="H27" t="str">
        <f>ToResult(特性!H27)</f>
        <v>10</v>
      </c>
    </row>
    <row r="28" spans="1:8" x14ac:dyDescent="0.25">
      <c r="A28" t="str">
        <f>ToResult(特性!A28)</f>
        <v>27</v>
      </c>
      <c r="B28" t="str">
        <f>ToResult(特性!B28)</f>
        <v>2027</v>
      </c>
      <c r="C28" t="str">
        <f>ToFeatureMode(特性!C28)</f>
        <v>1</v>
      </c>
      <c r="D28" t="str">
        <f>ToResult(特性!D28)</f>
        <v>1</v>
      </c>
      <c r="E28" t="str">
        <f>ToResult(特性!E28)</f>
        <v>0.4</v>
      </c>
      <c r="F28" t="str">
        <f>ToResult(特性!F28)</f>
        <v>30</v>
      </c>
      <c r="G28" t="str">
        <f>ToFeatureEffect(特性!G28)</f>
        <v>6</v>
      </c>
      <c r="H28" t="str">
        <f>ToResult(特性!H28)</f>
        <v>30</v>
      </c>
    </row>
    <row r="29" spans="1:8" x14ac:dyDescent="0.25">
      <c r="A29" t="str">
        <f>ToResult(特性!A29)</f>
        <v>28</v>
      </c>
      <c r="B29" t="str">
        <f>ToResult(特性!B29)</f>
        <v>2028</v>
      </c>
      <c r="C29" t="str">
        <f>ToFeatureMode(特性!C29)</f>
        <v>1</v>
      </c>
      <c r="D29" t="str">
        <f>ToResult(特性!D29)</f>
        <v>2</v>
      </c>
      <c r="E29" t="str">
        <f>ToResult(特性!E29)</f>
        <v>0.4</v>
      </c>
      <c r="F29" t="str">
        <f>ToResult(特性!F29)</f>
        <v>30</v>
      </c>
      <c r="G29" t="str">
        <f>ToFeatureEffect(特性!G29)</f>
        <v>7</v>
      </c>
      <c r="H29" t="str">
        <f>ToResult(特性!H29)</f>
        <v>15</v>
      </c>
    </row>
    <row r="30" spans="1:8" x14ac:dyDescent="0.25">
      <c r="A30" t="str">
        <f>ToResult(特性!A30)</f>
        <v>29</v>
      </c>
      <c r="B30" t="str">
        <f>ToResult(特性!B30)</f>
        <v>2029</v>
      </c>
      <c r="C30" t="str">
        <f>ToFeatureMode(特性!C30)</f>
        <v>1</v>
      </c>
      <c r="D30" t="str">
        <f>ToResult(特性!D30)</f>
        <v>3</v>
      </c>
      <c r="E30" t="str">
        <f>ToResult(特性!E30)</f>
        <v>0.4</v>
      </c>
      <c r="F30" t="str">
        <f>ToResult(特性!F30)</f>
        <v>30</v>
      </c>
      <c r="G30" t="str">
        <f>ToFeatureEffect(特性!G30)</f>
        <v>8</v>
      </c>
      <c r="H30" t="str">
        <f>ToResult(特性!H30)</f>
        <v>10</v>
      </c>
    </row>
    <row r="31" spans="1:8" x14ac:dyDescent="0.25">
      <c r="A31" t="str">
        <f>ToResult(特性!A31)</f>
        <v>30</v>
      </c>
      <c r="B31" t="str">
        <f>ToResult(特性!B31)</f>
        <v>2030</v>
      </c>
      <c r="C31" t="str">
        <f>ToFeatureMode(特性!C31)</f>
        <v>2</v>
      </c>
      <c r="D31" t="str">
        <f>ToResult(特性!D31)</f>
        <v>4</v>
      </c>
      <c r="E31" t="str">
        <f>ToResult(特性!E31)</f>
        <v>0</v>
      </c>
      <c r="F31" t="str">
        <f>ToResult(特性!F31)</f>
        <v>0</v>
      </c>
      <c r="G31" t="str">
        <f>ToFeatureEffect(特性!G31)</f>
        <v>9</v>
      </c>
      <c r="H31" t="str">
        <f>ToResult(特性!H31)</f>
        <v>-0.3</v>
      </c>
    </row>
    <row r="32" spans="1:8" x14ac:dyDescent="0.25">
      <c r="A32" t="str">
        <f>ToResult(特性!A32)</f>
        <v>31</v>
      </c>
      <c r="B32" t="str">
        <f>ToResult(特性!B32)</f>
        <v>2031</v>
      </c>
      <c r="C32" t="str">
        <f>ToFeatureMode(特性!C32)</f>
        <v>2</v>
      </c>
      <c r="D32" t="str">
        <f>ToResult(特性!D32)</f>
        <v>4</v>
      </c>
      <c r="E32" t="str">
        <f>ToResult(特性!E32)</f>
        <v>0</v>
      </c>
      <c r="F32" t="str">
        <f>ToResult(特性!F32)</f>
        <v>0</v>
      </c>
      <c r="G32" t="str">
        <f>ToFeatureEffect(特性!G32)</f>
        <v>9</v>
      </c>
      <c r="H32" t="str">
        <f>ToResult(特性!H32)</f>
        <v>-0.2</v>
      </c>
    </row>
    <row r="33" spans="1:8" x14ac:dyDescent="0.25">
      <c r="A33" t="str">
        <f>ToResult(特性!A33)</f>
        <v>32</v>
      </c>
      <c r="B33" t="str">
        <f>ToResult(特性!B33)</f>
        <v>2032</v>
      </c>
      <c r="C33" t="str">
        <f>ToFeatureMode(特性!C33)</f>
        <v>2</v>
      </c>
      <c r="D33" t="str">
        <f>ToResult(特性!D33)</f>
        <v>4</v>
      </c>
      <c r="E33" t="str">
        <f>ToResult(特性!E33)</f>
        <v>0</v>
      </c>
      <c r="F33" t="str">
        <f>ToResult(特性!F33)</f>
        <v>0</v>
      </c>
      <c r="G33" t="str">
        <f>ToFeatureEffect(特性!G33)</f>
        <v>9</v>
      </c>
      <c r="H33" t="str">
        <f>ToResult(特性!H33)</f>
        <v>-0.1</v>
      </c>
    </row>
    <row r="34" spans="1:8" x14ac:dyDescent="0.25">
      <c r="A34" t="str">
        <f>ToResult(特性!A34)</f>
        <v>33</v>
      </c>
      <c r="B34" t="str">
        <f>ToResult(特性!B34)</f>
        <v>2033</v>
      </c>
      <c r="C34" t="str">
        <f>ToFeatureMode(特性!C34)</f>
        <v>2</v>
      </c>
      <c r="D34" t="str">
        <f>ToResult(特性!D34)</f>
        <v>4</v>
      </c>
      <c r="E34" t="str">
        <f>ToResult(特性!E34)</f>
        <v>0</v>
      </c>
      <c r="F34" t="str">
        <f>ToResult(特性!F34)</f>
        <v>0</v>
      </c>
      <c r="G34" t="str">
        <f>ToFeatureEffect(特性!G34)</f>
        <v>9</v>
      </c>
      <c r="H34" t="str">
        <f>ToResult(特性!H34)</f>
        <v>0.1</v>
      </c>
    </row>
    <row r="35" spans="1:8" x14ac:dyDescent="0.25">
      <c r="A35" t="str">
        <f>ToResult(特性!A35)</f>
        <v>34</v>
      </c>
      <c r="B35" t="str">
        <f>ToResult(特性!B35)</f>
        <v>2034</v>
      </c>
      <c r="C35" t="str">
        <f>ToFeatureMode(特性!C35)</f>
        <v>2</v>
      </c>
      <c r="D35" t="str">
        <f>ToResult(特性!D35)</f>
        <v>4</v>
      </c>
      <c r="E35" t="str">
        <f>ToResult(特性!E35)</f>
        <v>0</v>
      </c>
      <c r="F35" t="str">
        <f>ToResult(特性!F35)</f>
        <v>0</v>
      </c>
      <c r="G35" t="str">
        <f>ToFeatureEffect(特性!G35)</f>
        <v>9</v>
      </c>
      <c r="H35" t="str">
        <f>ToResult(特性!H35)</f>
        <v>0.2</v>
      </c>
    </row>
    <row r="36" spans="1:8" x14ac:dyDescent="0.25">
      <c r="A36" t="str">
        <f>ToResult(特性!A36)</f>
        <v>35</v>
      </c>
      <c r="B36" t="str">
        <f>ToResult(特性!B36)</f>
        <v>2035</v>
      </c>
      <c r="C36" t="str">
        <f>ToFeatureMode(特性!C36)</f>
        <v>2</v>
      </c>
      <c r="D36" t="str">
        <f>ToResult(特性!D36)</f>
        <v>4</v>
      </c>
      <c r="E36" t="str">
        <f>ToResult(特性!E36)</f>
        <v>0</v>
      </c>
      <c r="F36" t="str">
        <f>ToResult(特性!F36)</f>
        <v>0</v>
      </c>
      <c r="G36" t="str">
        <f>ToFeatureEffect(特性!G36)</f>
        <v>9</v>
      </c>
      <c r="H36" t="str">
        <f>ToResult(特性!H36)</f>
        <v>0.3</v>
      </c>
    </row>
    <row r="37" spans="1:8" x14ac:dyDescent="0.25">
      <c r="A37" t="str">
        <f>ToResult(特性!A37)</f>
        <v>36</v>
      </c>
      <c r="B37" t="str">
        <f>ToResult(特性!B37)</f>
        <v>2036</v>
      </c>
      <c r="C37" t="str">
        <f>ToFeatureMode(特性!C37)</f>
        <v>2</v>
      </c>
      <c r="D37" t="str">
        <f>ToResult(特性!D37)</f>
        <v>0</v>
      </c>
      <c r="E37" t="str">
        <f>ToResult(特性!E37)</f>
        <v>0</v>
      </c>
      <c r="F37" t="str">
        <f>ToResult(特性!F37)</f>
        <v>0</v>
      </c>
      <c r="G37" t="str">
        <f>ToFeatureEffect(特性!G37)</f>
        <v>10</v>
      </c>
      <c r="H37" t="str">
        <f>ToResult(特性!H37)</f>
        <v>1</v>
      </c>
    </row>
    <row r="38" spans="1:8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ToFeatureEffect(特性!G38)</f>
        <v/>
      </c>
      <c r="H38" t="str">
        <f>ToResult(特性!H38)</f>
        <v/>
      </c>
    </row>
    <row r="39" spans="1:8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ToFeatureEffect(特性!G39)</f>
        <v/>
      </c>
      <c r="H39" t="str">
        <f>ToResult(特性!H39)</f>
        <v/>
      </c>
    </row>
    <row r="40" spans="1:8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ToFeatureEffect(特性!G40)</f>
        <v/>
      </c>
      <c r="H40" t="str">
        <f>ToResult(特性!H40)</f>
        <v/>
      </c>
    </row>
    <row r="41" spans="1:8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ToFeatureEffect(特性!G41)</f>
        <v/>
      </c>
      <c r="H41" t="str">
        <f>ToResult(特性!H41)</f>
        <v/>
      </c>
    </row>
    <row r="42" spans="1:8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ToFeatureEffect(特性!G42)</f>
        <v/>
      </c>
      <c r="H42" t="str">
        <f>ToResult(特性!H42)</f>
        <v/>
      </c>
    </row>
    <row r="43" spans="1:8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ToFeatureEffect(特性!G43)</f>
        <v/>
      </c>
      <c r="H43" t="str">
        <f>ToResult(特性!H43)</f>
        <v/>
      </c>
    </row>
    <row r="44" spans="1:8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ToFeatureEffect(特性!G44)</f>
        <v/>
      </c>
      <c r="H44" t="str">
        <f>ToResult(特性!H44)</f>
        <v/>
      </c>
    </row>
    <row r="45" spans="1:8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ToFeatureEffect(特性!G45)</f>
        <v/>
      </c>
      <c r="H45" t="str">
        <f>ToResult(特性!H45)</f>
        <v/>
      </c>
    </row>
    <row r="46" spans="1:8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ToFeatureEffect(特性!G46)</f>
        <v/>
      </c>
      <c r="H46" t="str">
        <f>ToResult(特性!H46)</f>
        <v/>
      </c>
    </row>
    <row r="47" spans="1:8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ToFeatureEffect(特性!G47)</f>
        <v/>
      </c>
      <c r="H47" t="str">
        <f>ToResult(特性!H47)</f>
        <v/>
      </c>
    </row>
    <row r="48" spans="1:8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ToFeatureEffect(特性!G48)</f>
        <v/>
      </c>
      <c r="H48" t="str">
        <f>ToResult(特性!H48)</f>
        <v/>
      </c>
    </row>
    <row r="49" spans="1:8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ToFeatureEffect(特性!G49)</f>
        <v/>
      </c>
      <c r="H49" t="str">
        <f>ToResult(特性!H49)</f>
        <v/>
      </c>
    </row>
    <row r="50" spans="1:8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ToFeatureEffect(特性!G50)</f>
        <v/>
      </c>
      <c r="H50" t="str">
        <f>ToResult(特性!H50)</f>
        <v/>
      </c>
    </row>
    <row r="51" spans="1:8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ToFeatureEffect(特性!G51)</f>
        <v/>
      </c>
      <c r="H51" t="str">
        <f>ToResult(特性!H51)</f>
        <v/>
      </c>
    </row>
    <row r="52" spans="1:8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ToFeatureEffect(特性!G52)</f>
        <v/>
      </c>
      <c r="H52" t="str">
        <f>ToResult(特性!H52)</f>
        <v/>
      </c>
    </row>
    <row r="53" spans="1:8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ToFeatureEffect(特性!G53)</f>
        <v/>
      </c>
      <c r="H53" t="str">
        <f>ToResult(特性!H53)</f>
        <v/>
      </c>
    </row>
    <row r="54" spans="1:8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ToFeatureEffect(特性!G54)</f>
        <v/>
      </c>
      <c r="H54" t="str">
        <f>ToResult(特性!H54)</f>
        <v/>
      </c>
    </row>
    <row r="55" spans="1:8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ToFeatureEffect(特性!G55)</f>
        <v/>
      </c>
      <c r="H55" t="str">
        <f>ToResult(特性!H55)</f>
        <v/>
      </c>
    </row>
    <row r="56" spans="1:8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ToFeatureEffect(特性!G56)</f>
        <v/>
      </c>
      <c r="H56" t="str">
        <f>ToResult(特性!H56)</f>
        <v/>
      </c>
    </row>
    <row r="57" spans="1:8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ToFeatureEffect(特性!G57)</f>
        <v/>
      </c>
      <c r="H57" t="str">
        <f>ToResult(特性!H57)</f>
        <v/>
      </c>
    </row>
    <row r="58" spans="1:8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ToFeatureEffect(特性!G58)</f>
        <v/>
      </c>
      <c r="H58" t="str">
        <f>ToResult(特性!H58)</f>
        <v/>
      </c>
    </row>
    <row r="59" spans="1:8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ToFeatureEffect(特性!G59)</f>
        <v/>
      </c>
      <c r="H59" t="str">
        <f>ToResult(特性!H59)</f>
        <v/>
      </c>
    </row>
    <row r="60" spans="1:8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ToFeatureEffect(特性!G60)</f>
        <v/>
      </c>
      <c r="H60" t="str">
        <f>ToResult(特性!H60)</f>
        <v/>
      </c>
    </row>
    <row r="61" spans="1:8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ToFeatureEffect(特性!G61)</f>
        <v/>
      </c>
      <c r="H61" t="str">
        <f>ToResult(特性!H61)</f>
        <v/>
      </c>
    </row>
    <row r="62" spans="1:8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ToFeatureEffect(特性!G62)</f>
        <v/>
      </c>
      <c r="H62" t="str">
        <f>ToResult(特性!H62)</f>
        <v/>
      </c>
    </row>
    <row r="63" spans="1:8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ToFeatureEffect(特性!G63)</f>
        <v/>
      </c>
      <c r="H63" t="str">
        <f>ToResult(特性!H63)</f>
        <v/>
      </c>
    </row>
    <row r="64" spans="1:8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ToFeatureEffect(特性!G64)</f>
        <v/>
      </c>
      <c r="H64" t="str">
        <f>ToResult(特性!H64)</f>
        <v/>
      </c>
    </row>
    <row r="65" spans="1:8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ToFeatureEffect(特性!G65)</f>
        <v/>
      </c>
      <c r="H65" t="str">
        <f>ToResult(特性!H65)</f>
        <v/>
      </c>
    </row>
    <row r="66" spans="1:8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ToFeatureEffect(特性!G66)</f>
        <v/>
      </c>
      <c r="H66" t="str">
        <f>ToResult(特性!H66)</f>
        <v/>
      </c>
    </row>
    <row r="67" spans="1:8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ToFeatureEffect(特性!G67)</f>
        <v/>
      </c>
      <c r="H67" t="str">
        <f>ToResult(特性!H67)</f>
        <v/>
      </c>
    </row>
    <row r="68" spans="1:8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ToFeatureEffect(特性!G68)</f>
        <v/>
      </c>
      <c r="H68" t="str">
        <f>ToResult(特性!H68)</f>
        <v/>
      </c>
    </row>
    <row r="69" spans="1:8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ToFeatureEffect(特性!G69)</f>
        <v/>
      </c>
      <c r="H69" t="str">
        <f>ToResult(特性!H69)</f>
        <v/>
      </c>
    </row>
    <row r="70" spans="1:8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ToFeatureEffect(特性!G70)</f>
        <v/>
      </c>
      <c r="H70" t="str">
        <f>ToResult(特性!H70)</f>
        <v/>
      </c>
    </row>
    <row r="71" spans="1:8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ToFeatureEffect(特性!G71)</f>
        <v/>
      </c>
      <c r="H71" t="str">
        <f>ToResult(特性!H71)</f>
        <v/>
      </c>
    </row>
    <row r="72" spans="1:8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ToFeatureEffect(特性!G72)</f>
        <v/>
      </c>
      <c r="H72" t="str">
        <f>ToResult(特性!H72)</f>
        <v/>
      </c>
    </row>
    <row r="73" spans="1:8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ToFeatureEffect(特性!G73)</f>
        <v/>
      </c>
      <c r="H73" t="str">
        <f>ToResult(特性!H73)</f>
        <v/>
      </c>
    </row>
    <row r="74" spans="1:8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ToFeatureEffect(特性!G74)</f>
        <v/>
      </c>
      <c r="H74" t="str">
        <f>ToResult(特性!H74)</f>
        <v/>
      </c>
    </row>
    <row r="75" spans="1:8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ToFeatureEffect(特性!G75)</f>
        <v/>
      </c>
      <c r="H75" t="str">
        <f>ToResult(特性!H75)</f>
        <v/>
      </c>
    </row>
    <row r="76" spans="1:8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ToFeatureEffect(特性!G76)</f>
        <v/>
      </c>
      <c r="H76" t="str">
        <f>ToResult(特性!H76)</f>
        <v/>
      </c>
    </row>
    <row r="77" spans="1:8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ToFeatureEffect(特性!G77)</f>
        <v/>
      </c>
      <c r="H77" t="str">
        <f>ToResult(特性!H77)</f>
        <v/>
      </c>
    </row>
    <row r="78" spans="1:8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ToFeatureEffect(特性!G78)</f>
        <v/>
      </c>
      <c r="H78" t="str">
        <f>ToResult(特性!H78)</f>
        <v/>
      </c>
    </row>
    <row r="79" spans="1:8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ToFeatureEffect(特性!G79)</f>
        <v/>
      </c>
      <c r="H79" t="str">
        <f>ToResult(特性!H79)</f>
        <v/>
      </c>
    </row>
    <row r="80" spans="1:8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ToFeatureEffect(特性!G80)</f>
        <v/>
      </c>
      <c r="H80" t="str">
        <f>ToResult(特性!H80)</f>
        <v/>
      </c>
    </row>
    <row r="81" spans="1:8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ToFeatureEffect(特性!G81)</f>
        <v/>
      </c>
      <c r="H81" t="str">
        <f>ToResult(特性!H81)</f>
        <v/>
      </c>
    </row>
    <row r="82" spans="1:8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ToFeatureEffect(特性!G82)</f>
        <v/>
      </c>
      <c r="H82" t="str">
        <f>ToResult(特性!H82)</f>
        <v/>
      </c>
    </row>
    <row r="83" spans="1:8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ToFeatureEffect(特性!G83)</f>
        <v/>
      </c>
      <c r="H83" t="str">
        <f>ToResult(特性!H83)</f>
        <v/>
      </c>
    </row>
    <row r="84" spans="1:8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ToFeatureEffect(特性!G84)</f>
        <v/>
      </c>
      <c r="H84" t="str">
        <f>ToResult(特性!H84)</f>
        <v/>
      </c>
    </row>
    <row r="85" spans="1:8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ToFeatureEffect(特性!G85)</f>
        <v/>
      </c>
      <c r="H85" t="str">
        <f>ToResult(特性!H85)</f>
        <v/>
      </c>
    </row>
    <row r="86" spans="1:8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ToFeatureEffect(特性!G86)</f>
        <v/>
      </c>
      <c r="H86" t="str">
        <f>ToResult(特性!H86)</f>
        <v/>
      </c>
    </row>
    <row r="87" spans="1:8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ToFeatureEffect(特性!G87)</f>
        <v/>
      </c>
      <c r="H87" t="str">
        <f>ToResult(特性!H87)</f>
        <v/>
      </c>
    </row>
    <row r="88" spans="1:8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ToFeatureEffect(特性!G88)</f>
        <v/>
      </c>
      <c r="H88" t="str">
        <f>ToResult(特性!H88)</f>
        <v/>
      </c>
    </row>
    <row r="89" spans="1:8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ToFeatureEffect(特性!G89)</f>
        <v/>
      </c>
      <c r="H89" t="str">
        <f>ToResult(特性!H89)</f>
        <v/>
      </c>
    </row>
    <row r="90" spans="1:8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ToFeatureEffect(特性!G90)</f>
        <v/>
      </c>
      <c r="H90" t="str">
        <f>ToResult(特性!H90)</f>
        <v/>
      </c>
    </row>
    <row r="91" spans="1:8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ToFeatureEffect(特性!G91)</f>
        <v/>
      </c>
      <c r="H91" t="str">
        <f>ToResult(特性!H91)</f>
        <v/>
      </c>
    </row>
    <row r="92" spans="1:8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ToFeatureEffect(特性!G92)</f>
        <v/>
      </c>
      <c r="H92" t="str">
        <f>ToResult(特性!H92)</f>
        <v/>
      </c>
    </row>
    <row r="93" spans="1:8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ToFeatureEffect(特性!G93)</f>
        <v/>
      </c>
      <c r="H93" t="str">
        <f>ToResult(特性!H93)</f>
        <v/>
      </c>
    </row>
    <row r="94" spans="1:8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ToFeatureEffect(特性!G94)</f>
        <v/>
      </c>
      <c r="H94" t="str">
        <f>ToResult(特性!H94)</f>
        <v/>
      </c>
    </row>
    <row r="95" spans="1:8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ToFeatureEffect(特性!G95)</f>
        <v/>
      </c>
      <c r="H95" t="str">
        <f>ToResult(特性!H95)</f>
        <v/>
      </c>
    </row>
    <row r="96" spans="1:8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ToFeatureEffect(特性!G96)</f>
        <v/>
      </c>
      <c r="H96" t="str">
        <f>ToResult(特性!H96)</f>
        <v/>
      </c>
    </row>
    <row r="97" spans="1:8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ToFeatureEffect(特性!G97)</f>
        <v/>
      </c>
      <c r="H97" t="str">
        <f>ToResult(特性!H97)</f>
        <v/>
      </c>
    </row>
    <row r="98" spans="1:8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ToFeatureEffect(特性!G98)</f>
        <v/>
      </c>
      <c r="H98" t="str">
        <f>ToResult(特性!H98)</f>
        <v/>
      </c>
    </row>
    <row r="99" spans="1:8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ToFeatureEffect(特性!G99)</f>
        <v/>
      </c>
      <c r="H99" t="str">
        <f>ToResult(特性!H99)</f>
        <v/>
      </c>
    </row>
    <row r="100" spans="1:8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ToFeatureEffect(特性!G100)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E9" sqref="E9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9" t="str">
        <f>怪物!B1</f>
        <v>Mode</v>
      </c>
      <c r="C1" s="9" t="str">
        <f>怪物!C1</f>
        <v>HP</v>
      </c>
      <c r="D1" s="9" t="str">
        <f>怪物!D1</f>
        <v>MoveSpeed</v>
      </c>
      <c r="E1" s="9" t="str">
        <f>怪物!E1</f>
        <v>Threat</v>
      </c>
      <c r="F1" s="9" t="str">
        <f>怪物!F1</f>
        <v>StageID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6</v>
      </c>
      <c r="D2" t="str">
        <f>ToResult(怪物!D2)</f>
        <v>0.15</v>
      </c>
      <c r="E2" t="str">
        <f>ToResult(怪物!E2)</f>
        <v>1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10</v>
      </c>
      <c r="D3" t="str">
        <f>ToResult(怪物!D3)</f>
        <v>0.15</v>
      </c>
      <c r="E3" t="str">
        <f>ToResult(怪物!E3)</f>
        <v>2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18</v>
      </c>
      <c r="D4" t="str">
        <f>ToResult(怪物!D4)</f>
        <v>0.15</v>
      </c>
      <c r="E4" t="str">
        <f>ToResult(怪物!E4)</f>
        <v>3</v>
      </c>
      <c r="F4" t="str">
        <f>ToResult(怪物!F4)</f>
        <v>1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2015-04-06T07:23:16Z</dcterms:modified>
</cp:coreProperties>
</file>