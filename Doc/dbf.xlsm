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 activeTab="6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N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M25" i="2"/>
  <c r="N25" i="2"/>
  <c r="M26" i="2"/>
  <c r="N26" i="2"/>
  <c r="M27" i="2"/>
  <c r="N27" i="2"/>
  <c r="M28" i="2"/>
  <c r="N28" i="2"/>
  <c r="M29" i="2"/>
  <c r="N29" i="2"/>
  <c r="M30" i="2"/>
  <c r="N30" i="2"/>
  <c r="M31" i="2"/>
  <c r="N31" i="2"/>
  <c r="M32" i="2"/>
  <c r="N32" i="2"/>
  <c r="M33" i="2"/>
  <c r="N33" i="2"/>
  <c r="M34" i="2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M73" i="2"/>
  <c r="N73" i="2"/>
  <c r="M74" i="2"/>
  <c r="N74" i="2"/>
  <c r="M75" i="2"/>
  <c r="N75" i="2"/>
  <c r="M76" i="2"/>
  <c r="N76" i="2"/>
  <c r="M77" i="2"/>
  <c r="N77" i="2"/>
  <c r="M78" i="2"/>
  <c r="N78" i="2"/>
  <c r="M79" i="2"/>
  <c r="N79" i="2"/>
  <c r="M80" i="2"/>
  <c r="N80" i="2"/>
  <c r="M81" i="2"/>
  <c r="N81" i="2"/>
  <c r="M82" i="2"/>
  <c r="N82" i="2"/>
  <c r="M83" i="2"/>
  <c r="N83" i="2"/>
  <c r="M84" i="2"/>
  <c r="N84" i="2"/>
  <c r="M85" i="2"/>
  <c r="N85" i="2"/>
  <c r="M86" i="2"/>
  <c r="N86" i="2"/>
  <c r="M87" i="2"/>
  <c r="N87" i="2"/>
  <c r="M88" i="2"/>
  <c r="N88" i="2"/>
  <c r="M89" i="2"/>
  <c r="N89" i="2"/>
  <c r="M90" i="2"/>
  <c r="N90" i="2"/>
  <c r="M91" i="2"/>
  <c r="N91" i="2"/>
  <c r="M92" i="2"/>
  <c r="N92" i="2"/>
  <c r="M93" i="2"/>
  <c r="N93" i="2"/>
  <c r="M94" i="2"/>
  <c r="N94" i="2"/>
  <c r="M95" i="2"/>
  <c r="N95" i="2"/>
  <c r="M96" i="2"/>
  <c r="N96" i="2"/>
  <c r="M97" i="2"/>
  <c r="N97" i="2"/>
  <c r="M98" i="2"/>
  <c r="N98" i="2"/>
  <c r="M99" i="2"/>
  <c r="N99" i="2"/>
  <c r="M100" i="2"/>
  <c r="N100" i="2"/>
  <c r="N2" i="2"/>
  <c r="M2" i="2"/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J1" i="9"/>
  <c r="B1" i="8"/>
  <c r="C1" i="8"/>
  <c r="D1" i="8"/>
  <c r="E1" i="8"/>
  <c r="F1" i="8"/>
  <c r="G1" i="8"/>
  <c r="H1" i="8"/>
  <c r="I1" i="8"/>
  <c r="J1" i="8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B3" i="10"/>
  <c r="F3" i="10"/>
  <c r="D4" i="10"/>
  <c r="B5" i="10"/>
  <c r="F5" i="10"/>
  <c r="D6" i="10"/>
  <c r="B7" i="10"/>
  <c r="F7" i="10"/>
  <c r="D8" i="10"/>
  <c r="B9" i="10"/>
  <c r="F9" i="10"/>
  <c r="D10" i="10"/>
  <c r="B11" i="10"/>
  <c r="F11" i="10"/>
  <c r="D12" i="10"/>
  <c r="B13" i="10"/>
  <c r="F13" i="10"/>
  <c r="D14" i="10"/>
  <c r="B15" i="10"/>
  <c r="F15" i="10"/>
  <c r="D16" i="10"/>
  <c r="B17" i="10"/>
  <c r="F17" i="10"/>
  <c r="D18" i="10"/>
  <c r="B19" i="10"/>
  <c r="F19" i="10"/>
  <c r="D20" i="10"/>
  <c r="B21" i="10"/>
  <c r="F21" i="10"/>
  <c r="D22" i="10"/>
  <c r="B23" i="10"/>
  <c r="F23" i="10"/>
  <c r="D24" i="10"/>
  <c r="B25" i="10"/>
  <c r="F25" i="10"/>
  <c r="D26" i="10"/>
  <c r="B27" i="10"/>
  <c r="F27" i="10"/>
  <c r="D28" i="10"/>
  <c r="B29" i="10"/>
  <c r="F29" i="10"/>
  <c r="D30" i="10"/>
  <c r="B31" i="10"/>
  <c r="F31" i="10"/>
  <c r="D32" i="10"/>
  <c r="B33" i="10"/>
  <c r="F33" i="10"/>
  <c r="D34" i="10"/>
  <c r="B35" i="10"/>
  <c r="F35" i="10"/>
  <c r="D36" i="10"/>
  <c r="B37" i="10"/>
  <c r="F37" i="10"/>
  <c r="D38" i="10"/>
  <c r="B39" i="10"/>
  <c r="F39" i="10"/>
  <c r="D40" i="10"/>
  <c r="B41" i="10"/>
  <c r="F41" i="10"/>
  <c r="D42" i="10"/>
  <c r="B43" i="10"/>
  <c r="F43" i="10"/>
  <c r="D44" i="10"/>
  <c r="B45" i="10"/>
  <c r="F45" i="10"/>
  <c r="D46" i="10"/>
  <c r="B47" i="10"/>
  <c r="F47" i="10"/>
  <c r="D48" i="10"/>
  <c r="B49" i="10"/>
  <c r="F49" i="10"/>
  <c r="D50" i="10"/>
  <c r="B51" i="10"/>
  <c r="F51" i="10"/>
  <c r="D52" i="10"/>
  <c r="B53" i="10"/>
  <c r="F53" i="10"/>
  <c r="D54" i="10"/>
  <c r="B55" i="10"/>
  <c r="F55" i="10"/>
  <c r="D56" i="10"/>
  <c r="B57" i="10"/>
  <c r="F57" i="10"/>
  <c r="D58" i="10"/>
  <c r="B59" i="10"/>
  <c r="F59" i="10"/>
  <c r="D60" i="10"/>
  <c r="B61" i="10"/>
  <c r="F61" i="10"/>
  <c r="D62" i="10"/>
  <c r="B63" i="10"/>
  <c r="F63" i="10"/>
  <c r="D64" i="10"/>
  <c r="B65" i="10"/>
  <c r="F65" i="10"/>
  <c r="D66" i="10"/>
  <c r="B67" i="10"/>
  <c r="F67" i="10"/>
  <c r="D68" i="10"/>
  <c r="B69" i="10"/>
  <c r="F69" i="10"/>
  <c r="D70" i="10"/>
  <c r="B71" i="10"/>
  <c r="F71" i="10"/>
  <c r="D72" i="10"/>
  <c r="B73" i="10"/>
  <c r="C3" i="10"/>
  <c r="A4" i="10"/>
  <c r="E4" i="10"/>
  <c r="C5" i="10"/>
  <c r="A6" i="10"/>
  <c r="E6" i="10"/>
  <c r="C7" i="10"/>
  <c r="A8" i="10"/>
  <c r="E8" i="10"/>
  <c r="C9" i="10"/>
  <c r="A10" i="10"/>
  <c r="E10" i="10"/>
  <c r="C11" i="10"/>
  <c r="A12" i="10"/>
  <c r="E12" i="10"/>
  <c r="C13" i="10"/>
  <c r="A14" i="10"/>
  <c r="E14" i="10"/>
  <c r="C15" i="10"/>
  <c r="A16" i="10"/>
  <c r="E16" i="10"/>
  <c r="C17" i="10"/>
  <c r="A18" i="10"/>
  <c r="E18" i="10"/>
  <c r="C19" i="10"/>
  <c r="A20" i="10"/>
  <c r="E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D3" i="10"/>
  <c r="B6" i="10"/>
  <c r="F8" i="10"/>
  <c r="D11" i="10"/>
  <c r="B14" i="10"/>
  <c r="F16" i="10"/>
  <c r="D19" i="10"/>
  <c r="B22" i="10"/>
  <c r="F24" i="10"/>
  <c r="D27" i="10"/>
  <c r="B30" i="10"/>
  <c r="F32" i="10"/>
  <c r="D35" i="10"/>
  <c r="B38" i="10"/>
  <c r="F40" i="10"/>
  <c r="D43" i="10"/>
  <c r="B46" i="10"/>
  <c r="F48" i="10"/>
  <c r="D51" i="10"/>
  <c r="B54" i="10"/>
  <c r="F56" i="10"/>
  <c r="D59" i="10"/>
  <c r="B62" i="10"/>
  <c r="F64" i="10"/>
  <c r="D67" i="10"/>
  <c r="B70" i="10"/>
  <c r="A72" i="10"/>
  <c r="C73" i="10"/>
  <c r="B74" i="10"/>
  <c r="B75" i="10"/>
  <c r="A76" i="10"/>
  <c r="F76" i="10"/>
  <c r="F77" i="10"/>
  <c r="D79" i="10"/>
  <c r="D80" i="10"/>
  <c r="B82" i="10"/>
  <c r="A84" i="10"/>
  <c r="F85" i="10"/>
  <c r="B88" i="10"/>
  <c r="D89" i="10"/>
  <c r="F90" i="10"/>
  <c r="B92" i="10"/>
  <c r="D93" i="10"/>
  <c r="D95" i="10"/>
  <c r="F96" i="10"/>
  <c r="B98" i="10"/>
  <c r="D99" i="10"/>
  <c r="F100" i="10"/>
  <c r="D39" i="10"/>
  <c r="D63" i="10"/>
  <c r="E72" i="10"/>
  <c r="D75" i="10"/>
  <c r="B78" i="10"/>
  <c r="A80" i="10"/>
  <c r="E82" i="10"/>
  <c r="C85" i="10"/>
  <c r="F87" i="10"/>
  <c r="F89" i="10"/>
  <c r="F91" i="10"/>
  <c r="F93" i="10"/>
  <c r="D94" i="10"/>
  <c r="D96" i="10"/>
  <c r="D98" i="10"/>
  <c r="D100" i="10"/>
  <c r="B4" i="10"/>
  <c r="F6" i="10"/>
  <c r="D9" i="10"/>
  <c r="B12" i="10"/>
  <c r="F14" i="10"/>
  <c r="D17" i="10"/>
  <c r="B20" i="10"/>
  <c r="F22" i="10"/>
  <c r="D25" i="10"/>
  <c r="B28" i="10"/>
  <c r="F30" i="10"/>
  <c r="D33" i="10"/>
  <c r="B36" i="10"/>
  <c r="F38" i="10"/>
  <c r="D41" i="10"/>
  <c r="B44" i="10"/>
  <c r="F46" i="10"/>
  <c r="D49" i="10"/>
  <c r="B52" i="10"/>
  <c r="F54" i="10"/>
  <c r="D57" i="10"/>
  <c r="B60" i="10"/>
  <c r="F62" i="10"/>
  <c r="D65" i="10"/>
  <c r="B68" i="10"/>
  <c r="F70" i="10"/>
  <c r="B72" i="10"/>
  <c r="D73" i="10"/>
  <c r="D74" i="10"/>
  <c r="C75" i="10"/>
  <c r="B76" i="10"/>
  <c r="B77" i="10"/>
  <c r="A78" i="10"/>
  <c r="F78" i="10"/>
  <c r="F79" i="10"/>
  <c r="E80" i="10"/>
  <c r="D81" i="10"/>
  <c r="D82" i="10"/>
  <c r="C83" i="10"/>
  <c r="B84" i="10"/>
  <c r="B85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F4" i="10"/>
  <c r="D7" i="10"/>
  <c r="B10" i="10"/>
  <c r="F12" i="10"/>
  <c r="D15" i="10"/>
  <c r="B18" i="10"/>
  <c r="F20" i="10"/>
  <c r="D23" i="10"/>
  <c r="B26" i="10"/>
  <c r="F28" i="10"/>
  <c r="D31" i="10"/>
  <c r="F36" i="10"/>
  <c r="B42" i="10"/>
  <c r="F44" i="10"/>
  <c r="D47" i="10"/>
  <c r="B50" i="10"/>
  <c r="F52" i="10"/>
  <c r="D55" i="10"/>
  <c r="F60" i="10"/>
  <c r="B66" i="10"/>
  <c r="C71" i="10"/>
  <c r="F73" i="10"/>
  <c r="D76" i="10"/>
  <c r="B79" i="10"/>
  <c r="F81" i="10"/>
  <c r="D84" i="10"/>
  <c r="B87" i="10"/>
  <c r="B89" i="10"/>
  <c r="D90" i="10"/>
  <c r="B93" i="10"/>
  <c r="B95" i="10"/>
  <c r="F97" i="10"/>
  <c r="F99" i="10"/>
  <c r="D5" i="10"/>
  <c r="B8" i="10"/>
  <c r="F10" i="10"/>
  <c r="D13" i="10"/>
  <c r="B16" i="10"/>
  <c r="F18" i="10"/>
  <c r="D21" i="10"/>
  <c r="B24" i="10"/>
  <c r="F26" i="10"/>
  <c r="D29" i="10"/>
  <c r="B32" i="10"/>
  <c r="F34" i="10"/>
  <c r="D37" i="10"/>
  <c r="B40" i="10"/>
  <c r="F42" i="10"/>
  <c r="D45" i="10"/>
  <c r="B48" i="10"/>
  <c r="F50" i="10"/>
  <c r="D53" i="10"/>
  <c r="B56" i="10"/>
  <c r="F58" i="10"/>
  <c r="D61" i="10"/>
  <c r="B64" i="10"/>
  <c r="F66" i="10"/>
  <c r="D69" i="10"/>
  <c r="D71" i="10"/>
  <c r="F72" i="10"/>
  <c r="A74" i="10"/>
  <c r="F74" i="10"/>
  <c r="F75" i="10"/>
  <c r="E76" i="10"/>
  <c r="D77" i="10"/>
  <c r="D78" i="10"/>
  <c r="C79" i="10"/>
  <c r="B80" i="10"/>
  <c r="B81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B83" i="10"/>
  <c r="F84" i="10"/>
  <c r="E86" i="10"/>
  <c r="D87" i="10"/>
  <c r="F88" i="10"/>
  <c r="B90" i="10"/>
  <c r="D91" i="10"/>
  <c r="F92" i="10"/>
  <c r="B94" i="10"/>
  <c r="F94" i="10"/>
  <c r="B96" i="10"/>
  <c r="D97" i="10"/>
  <c r="F98" i="10"/>
  <c r="B100" i="10"/>
  <c r="B34" i="10"/>
  <c r="B58" i="10"/>
  <c r="F68" i="10"/>
  <c r="E74" i="10"/>
  <c r="C77" i="10"/>
  <c r="F80" i="10"/>
  <c r="D83" i="10"/>
  <c r="B86" i="10"/>
  <c r="D88" i="10"/>
  <c r="B91" i="10"/>
  <c r="D92" i="10"/>
  <c r="F95" i="10"/>
  <c r="B97" i="10"/>
  <c r="B99" i="10"/>
  <c r="D2" i="10"/>
  <c r="E2" i="10"/>
  <c r="F2" i="10"/>
  <c r="C2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B40" i="7"/>
  <c r="C41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A41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C30" i="9"/>
  <c r="I31" i="9"/>
  <c r="C34" i="9"/>
  <c r="I35" i="9"/>
  <c r="E37" i="9"/>
  <c r="A39" i="9"/>
  <c r="G40" i="9"/>
  <c r="J31" i="9"/>
  <c r="H34" i="9"/>
  <c r="D36" i="9"/>
  <c r="J37" i="9"/>
  <c r="F39" i="9"/>
  <c r="B41" i="9"/>
  <c r="J30" i="9"/>
  <c r="H33" i="9"/>
  <c r="H35" i="9"/>
  <c r="D37" i="9"/>
  <c r="J38" i="9"/>
  <c r="F40" i="9"/>
  <c r="B42" i="9"/>
  <c r="H43" i="9"/>
  <c r="D45" i="9"/>
  <c r="J46" i="9"/>
  <c r="F48" i="9"/>
  <c r="B50" i="9"/>
  <c r="H51" i="9"/>
  <c r="D53" i="9"/>
  <c r="E30" i="9"/>
  <c r="E38" i="9"/>
  <c r="G42" i="9"/>
  <c r="H44" i="9"/>
  <c r="I46" i="9"/>
  <c r="A49" i="9"/>
  <c r="B51" i="9"/>
  <c r="C53" i="9"/>
  <c r="A55" i="9"/>
  <c r="G56" i="9"/>
  <c r="C58" i="9"/>
  <c r="A34" i="9"/>
  <c r="E40" i="9"/>
  <c r="C43" i="9"/>
  <c r="E45" i="9"/>
  <c r="F47" i="9"/>
  <c r="G49" i="9"/>
  <c r="I51" i="9"/>
  <c r="J53" i="9"/>
  <c r="F55" i="9"/>
  <c r="B57" i="9"/>
  <c r="H58" i="9"/>
  <c r="D60" i="9"/>
  <c r="J61" i="9"/>
  <c r="F63" i="9"/>
  <c r="B65" i="9"/>
  <c r="H66" i="9"/>
  <c r="D68" i="9"/>
  <c r="J69" i="9"/>
  <c r="F71" i="9"/>
  <c r="B73" i="9"/>
  <c r="H74" i="9"/>
  <c r="D76" i="9"/>
  <c r="J77" i="9"/>
  <c r="F79" i="9"/>
  <c r="B81" i="9"/>
  <c r="H82" i="9"/>
  <c r="D84" i="9"/>
  <c r="I34" i="9"/>
  <c r="C41" i="9"/>
  <c r="F43" i="9"/>
  <c r="G45" i="9"/>
  <c r="I47" i="9"/>
  <c r="J49" i="9"/>
  <c r="A52" i="9"/>
  <c r="B54" i="9"/>
  <c r="H55" i="9"/>
  <c r="D57" i="9"/>
  <c r="J58" i="9"/>
  <c r="F60" i="9"/>
  <c r="B62" i="9"/>
  <c r="H63" i="9"/>
  <c r="D65" i="9"/>
  <c r="A31" i="9"/>
  <c r="E33" i="9"/>
  <c r="A35" i="9"/>
  <c r="G36" i="9"/>
  <c r="C38" i="9"/>
  <c r="I39" i="9"/>
  <c r="E41" i="9"/>
  <c r="H30" i="9"/>
  <c r="J33" i="9"/>
  <c r="F35" i="9"/>
  <c r="B37" i="9"/>
  <c r="H38" i="9"/>
  <c r="D40" i="9"/>
  <c r="H31" i="9"/>
  <c r="J34" i="9"/>
  <c r="F36" i="9"/>
  <c r="B38" i="9"/>
  <c r="H39" i="9"/>
  <c r="D41" i="9"/>
  <c r="J42" i="9"/>
  <c r="F44" i="9"/>
  <c r="B46" i="9"/>
  <c r="H47" i="9"/>
  <c r="D49" i="9"/>
  <c r="J50" i="9"/>
  <c r="F52" i="9"/>
  <c r="C35" i="9"/>
  <c r="F41" i="9"/>
  <c r="G43" i="9"/>
  <c r="I45" i="9"/>
  <c r="J47" i="9"/>
  <c r="A50" i="9"/>
  <c r="C52" i="9"/>
  <c r="C54" i="9"/>
  <c r="I55" i="9"/>
  <c r="E57" i="9"/>
  <c r="C37" i="9"/>
  <c r="C42" i="9"/>
  <c r="D44" i="9"/>
  <c r="E46" i="9"/>
  <c r="G48" i="9"/>
  <c r="H50" i="9"/>
  <c r="I52" i="9"/>
  <c r="H54" i="9"/>
  <c r="D56" i="9"/>
  <c r="J57" i="9"/>
  <c r="F59" i="9"/>
  <c r="B61" i="9"/>
  <c r="H62" i="9"/>
  <c r="D64" i="9"/>
  <c r="J65" i="9"/>
  <c r="F67" i="9"/>
  <c r="B69" i="9"/>
  <c r="H70" i="9"/>
  <c r="D72" i="9"/>
  <c r="J73" i="9"/>
  <c r="F75" i="9"/>
  <c r="B77" i="9"/>
  <c r="H78" i="9"/>
  <c r="D80" i="9"/>
  <c r="J81" i="9"/>
  <c r="F83" i="9"/>
  <c r="B85" i="9"/>
  <c r="G31" i="9"/>
  <c r="A38" i="9"/>
  <c r="E42" i="9"/>
  <c r="G44" i="9"/>
  <c r="H46" i="9"/>
  <c r="I48" i="9"/>
  <c r="A51" i="9"/>
  <c r="B53" i="9"/>
  <c r="J54" i="9"/>
  <c r="F56" i="9"/>
  <c r="B58" i="9"/>
  <c r="H59" i="9"/>
  <c r="D61" i="9"/>
  <c r="J62" i="9"/>
  <c r="F64" i="9"/>
  <c r="B66" i="9"/>
  <c r="E31" i="9"/>
  <c r="I33" i="9"/>
  <c r="E35" i="9"/>
  <c r="A37" i="9"/>
  <c r="G38" i="9"/>
  <c r="C40" i="9"/>
  <c r="F31" i="9"/>
  <c r="D34" i="9"/>
  <c r="J35" i="9"/>
  <c r="F37" i="9"/>
  <c r="B39" i="9"/>
  <c r="H40" i="9"/>
  <c r="F30" i="9"/>
  <c r="D33" i="9"/>
  <c r="D35" i="9"/>
  <c r="J36" i="9"/>
  <c r="F38" i="9"/>
  <c r="B40" i="9"/>
  <c r="H41" i="9"/>
  <c r="D43" i="9"/>
  <c r="J44" i="9"/>
  <c r="F46" i="9"/>
  <c r="B48" i="9"/>
  <c r="H49" i="9"/>
  <c r="D51" i="9"/>
  <c r="J52" i="9"/>
  <c r="I36" i="9"/>
  <c r="A42" i="9"/>
  <c r="C44" i="9"/>
  <c r="D46" i="9"/>
  <c r="E48" i="9"/>
  <c r="G50" i="9"/>
  <c r="H52" i="9"/>
  <c r="G54" i="9"/>
  <c r="C56" i="9"/>
  <c r="I57" i="9"/>
  <c r="I30" i="9"/>
  <c r="I38" i="9"/>
  <c r="H42" i="9"/>
  <c r="I44" i="9"/>
  <c r="A47" i="9"/>
  <c r="B49" i="9"/>
  <c r="C51" i="9"/>
  <c r="E53" i="9"/>
  <c r="B55" i="9"/>
  <c r="H56" i="9"/>
  <c r="D58" i="9"/>
  <c r="J59" i="9"/>
  <c r="F61" i="9"/>
  <c r="B63" i="9"/>
  <c r="H64" i="9"/>
  <c r="D66" i="9"/>
  <c r="J67" i="9"/>
  <c r="F69" i="9"/>
  <c r="B71" i="9"/>
  <c r="H72" i="9"/>
  <c r="D74" i="9"/>
  <c r="J75" i="9"/>
  <c r="F77" i="9"/>
  <c r="B79" i="9"/>
  <c r="H80" i="9"/>
  <c r="D82" i="9"/>
  <c r="J83" i="9"/>
  <c r="F85" i="9"/>
  <c r="C33" i="9"/>
  <c r="G39" i="9"/>
  <c r="A43" i="9"/>
  <c r="B45" i="9"/>
  <c r="C47" i="9"/>
  <c r="E49" i="9"/>
  <c r="F51" i="9"/>
  <c r="G53" i="9"/>
  <c r="D55" i="9"/>
  <c r="J56" i="9"/>
  <c r="F58" i="9"/>
  <c r="B60" i="9"/>
  <c r="H61" i="9"/>
  <c r="D63" i="9"/>
  <c r="J64" i="9"/>
  <c r="G34" i="9"/>
  <c r="A41" i="9"/>
  <c r="D30" i="9"/>
  <c r="D38" i="9"/>
  <c r="B36" i="9"/>
  <c r="F42" i="9"/>
  <c r="J48" i="9"/>
  <c r="A40" i="9"/>
  <c r="F49" i="9"/>
  <c r="A57" i="9"/>
  <c r="J45" i="9"/>
  <c r="D54" i="9"/>
  <c r="H60" i="9"/>
  <c r="B67" i="9"/>
  <c r="F73" i="9"/>
  <c r="J79" i="9"/>
  <c r="E36" i="9"/>
  <c r="D48" i="9"/>
  <c r="B56" i="9"/>
  <c r="F62" i="9"/>
  <c r="J66" i="9"/>
  <c r="F68" i="9"/>
  <c r="B70" i="9"/>
  <c r="H71" i="9"/>
  <c r="D73" i="9"/>
  <c r="J74" i="9"/>
  <c r="F76" i="9"/>
  <c r="B78" i="9"/>
  <c r="H79" i="9"/>
  <c r="D81" i="9"/>
  <c r="J82" i="9"/>
  <c r="F84" i="9"/>
  <c r="B86" i="9"/>
  <c r="H87" i="9"/>
  <c r="D89" i="9"/>
  <c r="J90" i="9"/>
  <c r="F92" i="9"/>
  <c r="B94" i="9"/>
  <c r="H95" i="9"/>
  <c r="D97" i="9"/>
  <c r="J98" i="9"/>
  <c r="A46" i="9"/>
  <c r="E54" i="9"/>
  <c r="I59" i="9"/>
  <c r="A63" i="9"/>
  <c r="C66" i="9"/>
  <c r="E69" i="9"/>
  <c r="G72" i="9"/>
  <c r="I75" i="9"/>
  <c r="A79" i="9"/>
  <c r="A83" i="9"/>
  <c r="B87" i="9"/>
  <c r="E91" i="9"/>
  <c r="C96" i="9"/>
  <c r="C100" i="9"/>
  <c r="F53" i="9"/>
  <c r="G66" i="9"/>
  <c r="C76" i="9"/>
  <c r="I85" i="9"/>
  <c r="B91" i="9"/>
  <c r="F97" i="9"/>
  <c r="G37" i="9"/>
  <c r="H48" i="9"/>
  <c r="E56" i="9"/>
  <c r="I60" i="9"/>
  <c r="A64" i="9"/>
  <c r="C67" i="9"/>
  <c r="E70" i="9"/>
  <c r="G73" i="9"/>
  <c r="I76" i="9"/>
  <c r="A80" i="9"/>
  <c r="C83" i="9"/>
  <c r="C86" i="9"/>
  <c r="D88" i="9"/>
  <c r="E90" i="9"/>
  <c r="G92" i="9"/>
  <c r="H94" i="9"/>
  <c r="I96" i="9"/>
  <c r="A99" i="9"/>
  <c r="H100" i="9"/>
  <c r="I56" i="9"/>
  <c r="E67" i="9"/>
  <c r="A77" i="9"/>
  <c r="D86" i="9"/>
  <c r="I93" i="9"/>
  <c r="A100" i="9"/>
  <c r="E34" i="9"/>
  <c r="G47" i="9"/>
  <c r="G55" i="9"/>
  <c r="E60" i="9"/>
  <c r="G63" i="9"/>
  <c r="I66" i="9"/>
  <c r="A70" i="9"/>
  <c r="C73" i="9"/>
  <c r="E76" i="9"/>
  <c r="G79" i="9"/>
  <c r="I82" i="9"/>
  <c r="J85" i="9"/>
  <c r="A88" i="9"/>
  <c r="C90" i="9"/>
  <c r="D92" i="9"/>
  <c r="E94" i="9"/>
  <c r="G96" i="9"/>
  <c r="H98" i="9"/>
  <c r="F100" i="9"/>
  <c r="G86" i="9"/>
  <c r="I90" i="9"/>
  <c r="B95" i="9"/>
  <c r="I98" i="9"/>
  <c r="I42" i="9"/>
  <c r="A61" i="9"/>
  <c r="G70" i="9"/>
  <c r="C80" i="9"/>
  <c r="C36" i="9"/>
  <c r="F33" i="9"/>
  <c r="J39" i="9"/>
  <c r="H37" i="9"/>
  <c r="B44" i="9"/>
  <c r="F50" i="9"/>
  <c r="B43" i="9"/>
  <c r="G51" i="9"/>
  <c r="G58" i="9"/>
  <c r="G35" i="9"/>
  <c r="A48" i="9"/>
  <c r="J55" i="9"/>
  <c r="D62" i="9"/>
  <c r="H68" i="9"/>
  <c r="B75" i="9"/>
  <c r="F81" i="9"/>
  <c r="J41" i="9"/>
  <c r="E50" i="9"/>
  <c r="H57" i="9"/>
  <c r="B64" i="9"/>
  <c r="D67" i="9"/>
  <c r="J68" i="9"/>
  <c r="F70" i="9"/>
  <c r="B72" i="9"/>
  <c r="H73" i="9"/>
  <c r="D75" i="9"/>
  <c r="J76" i="9"/>
  <c r="F78" i="9"/>
  <c r="B80" i="9"/>
  <c r="H81" i="9"/>
  <c r="D83" i="9"/>
  <c r="J84" i="9"/>
  <c r="F86" i="9"/>
  <c r="B88" i="9"/>
  <c r="H89" i="9"/>
  <c r="D91" i="9"/>
  <c r="J92" i="9"/>
  <c r="F94" i="9"/>
  <c r="B96" i="9"/>
  <c r="H97" i="9"/>
  <c r="D99" i="9"/>
  <c r="A36" i="9"/>
  <c r="C48" i="9"/>
  <c r="A56" i="9"/>
  <c r="G60" i="9"/>
  <c r="I63" i="9"/>
  <c r="A67" i="9"/>
  <c r="C70" i="9"/>
  <c r="E73" i="9"/>
  <c r="G76" i="9"/>
  <c r="I79" i="9"/>
  <c r="I83" i="9"/>
  <c r="C88" i="9"/>
  <c r="E92" i="9"/>
  <c r="C97" i="9"/>
  <c r="E58" i="9"/>
  <c r="A69" i="9"/>
  <c r="G78" i="9"/>
  <c r="I86" i="9"/>
  <c r="H92" i="9"/>
  <c r="B99" i="9"/>
  <c r="D42" i="9"/>
  <c r="I50" i="9"/>
  <c r="A58" i="9"/>
  <c r="G61" i="9"/>
  <c r="I64" i="9"/>
  <c r="A68" i="9"/>
  <c r="C71" i="9"/>
  <c r="E74" i="9"/>
  <c r="G77" i="9"/>
  <c r="I80" i="9"/>
  <c r="A84" i="9"/>
  <c r="H86" i="9"/>
  <c r="I88" i="9"/>
  <c r="A91" i="9"/>
  <c r="B93" i="9"/>
  <c r="C95" i="9"/>
  <c r="E97" i="9"/>
  <c r="F99" i="9"/>
  <c r="C60" i="9"/>
  <c r="I69" i="9"/>
  <c r="E79" i="9"/>
  <c r="A33" i="9"/>
  <c r="J40" i="9"/>
  <c r="H53" i="9"/>
  <c r="E47" i="9"/>
  <c r="D52" i="9"/>
  <c r="F65" i="9"/>
  <c r="D78" i="9"/>
  <c r="A30" i="9"/>
  <c r="F54" i="9"/>
  <c r="F66" i="9"/>
  <c r="H69" i="9"/>
  <c r="J72" i="9"/>
  <c r="B76" i="9"/>
  <c r="D79" i="9"/>
  <c r="F82" i="9"/>
  <c r="H85" i="9"/>
  <c r="J88" i="9"/>
  <c r="B92" i="9"/>
  <c r="D95" i="9"/>
  <c r="F98" i="9"/>
  <c r="J43" i="9"/>
  <c r="A59" i="9"/>
  <c r="E65" i="9"/>
  <c r="I71" i="9"/>
  <c r="C78" i="9"/>
  <c r="A86" i="9"/>
  <c r="G94" i="9"/>
  <c r="B47" i="9"/>
  <c r="I73" i="9"/>
  <c r="F89" i="9"/>
  <c r="G46" i="9"/>
  <c r="A60" i="9"/>
  <c r="E66" i="9"/>
  <c r="I72" i="9"/>
  <c r="C79" i="9"/>
  <c r="G85" i="9"/>
  <c r="J89" i="9"/>
  <c r="C94" i="9"/>
  <c r="E98" i="9"/>
  <c r="E51" i="9"/>
  <c r="G74" i="9"/>
  <c r="A90" i="9"/>
  <c r="G98" i="9"/>
  <c r="I40" i="9"/>
  <c r="J51" i="9"/>
  <c r="G59" i="9"/>
  <c r="E64" i="9"/>
  <c r="E68" i="9"/>
  <c r="E72" i="9"/>
  <c r="C77" i="9"/>
  <c r="C81" i="9"/>
  <c r="C85" i="9"/>
  <c r="G88" i="9"/>
  <c r="C91" i="9"/>
  <c r="J93" i="9"/>
  <c r="B97" i="9"/>
  <c r="H99" i="9"/>
  <c r="G84" i="9"/>
  <c r="J91" i="9"/>
  <c r="H96" i="9"/>
  <c r="E63" i="9"/>
  <c r="E75" i="9"/>
  <c r="E87" i="9"/>
  <c r="C93" i="9"/>
  <c r="G99" i="9"/>
  <c r="D31" i="9"/>
  <c r="I53" i="9"/>
  <c r="B83" i="9"/>
  <c r="J70" i="9"/>
  <c r="F80" i="9"/>
  <c r="B90" i="9"/>
  <c r="I67" i="9"/>
  <c r="C89" i="9"/>
  <c r="A81" i="9"/>
  <c r="A53" i="9"/>
  <c r="C75" i="9"/>
  <c r="F91" i="9"/>
  <c r="G62" i="9"/>
  <c r="C65" i="9"/>
  <c r="A78" i="9"/>
  <c r="B89" i="9"/>
  <c r="G97" i="9"/>
  <c r="I97" i="9"/>
  <c r="I77" i="9"/>
  <c r="I100" i="9"/>
  <c r="E39" i="9"/>
  <c r="H36" i="9"/>
  <c r="F34" i="9"/>
  <c r="D47" i="9"/>
  <c r="G33" i="9"/>
  <c r="E55" i="9"/>
  <c r="I43" i="9"/>
  <c r="B59" i="9"/>
  <c r="J71" i="9"/>
  <c r="H84" i="9"/>
  <c r="C46" i="9"/>
  <c r="J60" i="9"/>
  <c r="B68" i="9"/>
  <c r="D71" i="9"/>
  <c r="F74" i="9"/>
  <c r="H77" i="9"/>
  <c r="J80" i="9"/>
  <c r="B84" i="9"/>
  <c r="D87" i="9"/>
  <c r="F90" i="9"/>
  <c r="H93" i="9"/>
  <c r="J96" i="9"/>
  <c r="E52" i="9"/>
  <c r="C62" i="9"/>
  <c r="G68" i="9"/>
  <c r="A75" i="9"/>
  <c r="C82" i="9"/>
  <c r="D90" i="9"/>
  <c r="E99" i="9"/>
  <c r="C64" i="9"/>
  <c r="E83" i="9"/>
  <c r="J95" i="9"/>
  <c r="C31" i="9"/>
  <c r="I54" i="9"/>
  <c r="C63" i="9"/>
  <c r="G69" i="9"/>
  <c r="A76" i="9"/>
  <c r="E82" i="9"/>
  <c r="I87" i="9"/>
  <c r="A92" i="9"/>
  <c r="D96" i="9"/>
  <c r="D100" i="9"/>
  <c r="A65" i="9"/>
  <c r="C84" i="9"/>
  <c r="E95" i="9"/>
  <c r="F45" i="9"/>
  <c r="C57" i="9"/>
  <c r="A62" i="9"/>
  <c r="A66" i="9"/>
  <c r="I70" i="9"/>
  <c r="I74" i="9"/>
  <c r="I78" i="9"/>
  <c r="G83" i="9"/>
  <c r="A87" i="9"/>
  <c r="G89" i="9"/>
  <c r="I92" i="9"/>
  <c r="F95" i="9"/>
  <c r="C98" i="9"/>
  <c r="J100" i="9"/>
  <c r="H88" i="9"/>
  <c r="A94" i="9"/>
  <c r="I99" i="9"/>
  <c r="C55" i="9"/>
  <c r="C68" i="9"/>
  <c r="G82" i="9"/>
  <c r="G90" i="9"/>
  <c r="E96" i="9"/>
  <c r="B33" i="9"/>
  <c r="B30" i="9"/>
  <c r="B31" i="9"/>
  <c r="B35" i="9"/>
  <c r="H45" i="9"/>
  <c r="G41" i="9"/>
  <c r="D70" i="9"/>
  <c r="D59" i="9"/>
  <c r="B74" i="9"/>
  <c r="H83" i="9"/>
  <c r="D93" i="9"/>
  <c r="E61" i="9"/>
  <c r="E81" i="9"/>
  <c r="I61" i="9"/>
  <c r="I68" i="9"/>
  <c r="C87" i="9"/>
  <c r="J99" i="9"/>
  <c r="G91" i="9"/>
  <c r="E43" i="9"/>
  <c r="C61" i="9"/>
  <c r="A74" i="9"/>
  <c r="E86" i="9"/>
  <c r="A95" i="9"/>
  <c r="B100" i="9"/>
  <c r="A93" i="9"/>
  <c r="I65" i="9"/>
  <c r="I94" i="9"/>
  <c r="G30" i="9"/>
  <c r="D39" i="9"/>
  <c r="B52" i="9"/>
  <c r="C45" i="9"/>
  <c r="C50" i="9"/>
  <c r="J63" i="9"/>
  <c r="H76" i="9"/>
  <c r="G52" i="9"/>
  <c r="H65" i="9"/>
  <c r="D69" i="9"/>
  <c r="F72" i="9"/>
  <c r="H75" i="9"/>
  <c r="J78" i="9"/>
  <c r="B82" i="9"/>
  <c r="D85" i="9"/>
  <c r="F88" i="9"/>
  <c r="H91" i="9"/>
  <c r="J94" i="9"/>
  <c r="B98" i="9"/>
  <c r="I41" i="9"/>
  <c r="G57" i="9"/>
  <c r="G64" i="9"/>
  <c r="A71" i="9"/>
  <c r="E77" i="9"/>
  <c r="E85" i="9"/>
  <c r="F93" i="9"/>
  <c r="C39" i="9"/>
  <c r="E71" i="9"/>
  <c r="E88" i="9"/>
  <c r="E100" i="9"/>
  <c r="E44" i="9"/>
  <c r="C59" i="9"/>
  <c r="G65" i="9"/>
  <c r="A72" i="9"/>
  <c r="E78" i="9"/>
  <c r="I84" i="9"/>
  <c r="E89" i="9"/>
  <c r="G93" i="9"/>
  <c r="J97" i="9"/>
  <c r="A45" i="9"/>
  <c r="C72" i="9"/>
  <c r="J87" i="9"/>
  <c r="A97" i="9"/>
  <c r="I49" i="9"/>
  <c r="I58" i="9"/>
  <c r="I62" i="9"/>
  <c r="G67" i="9"/>
  <c r="G71" i="9"/>
  <c r="G75" i="9"/>
  <c r="E80" i="9"/>
  <c r="E84" i="9"/>
  <c r="F87" i="9"/>
  <c r="H90" i="9"/>
  <c r="E93" i="9"/>
  <c r="A96" i="9"/>
  <c r="C99" i="9"/>
  <c r="G80" i="9"/>
  <c r="I89" i="9"/>
  <c r="G95" i="9"/>
  <c r="G100" i="9"/>
  <c r="E59" i="9"/>
  <c r="A73" i="9"/>
  <c r="A85" i="9"/>
  <c r="C92" i="9"/>
  <c r="A98" i="9"/>
  <c r="B34" i="9"/>
  <c r="I37" i="9"/>
  <c r="F57" i="9"/>
  <c r="A44" i="9"/>
  <c r="H67" i="9"/>
  <c r="D77" i="9"/>
  <c r="J86" i="9"/>
  <c r="F96" i="9"/>
  <c r="D50" i="9"/>
  <c r="C74" i="9"/>
  <c r="D98" i="9"/>
  <c r="D94" i="9"/>
  <c r="E62" i="9"/>
  <c r="G81" i="9"/>
  <c r="I95" i="9"/>
  <c r="I81" i="9"/>
  <c r="A54" i="9"/>
  <c r="C69" i="9"/>
  <c r="A82" i="9"/>
  <c r="I91" i="9"/>
  <c r="G87" i="9"/>
  <c r="C49" i="9"/>
  <c r="A89" i="9"/>
  <c r="G32" i="9"/>
  <c r="D32" i="9"/>
  <c r="F32" i="9"/>
  <c r="A32" i="9"/>
  <c r="E32" i="9"/>
  <c r="B32" i="9"/>
  <c r="C32" i="9"/>
  <c r="I32" i="9"/>
  <c r="H32" i="9"/>
  <c r="J32" i="9"/>
  <c r="C29" i="7"/>
  <c r="A35" i="7"/>
  <c r="C28" i="7"/>
  <c r="B30" i="7"/>
  <c r="C35" i="7"/>
  <c r="A38" i="7"/>
  <c r="C30" i="7"/>
  <c r="A36" i="7"/>
  <c r="B39" i="7"/>
  <c r="B36" i="7"/>
  <c r="A37" i="7"/>
  <c r="A32" i="7"/>
  <c r="B27" i="7"/>
  <c r="A27" i="7"/>
  <c r="C37" i="7"/>
  <c r="C27" i="7"/>
  <c r="B38" i="7"/>
  <c r="A30" i="7"/>
  <c r="B33" i="7"/>
  <c r="B31" i="7"/>
  <c r="B28" i="7"/>
  <c r="C33" i="7"/>
  <c r="A39" i="7"/>
  <c r="A29" i="7"/>
  <c r="B34" i="7"/>
  <c r="C39" i="7"/>
  <c r="B35" i="7"/>
  <c r="B29" i="7"/>
  <c r="C34" i="7"/>
  <c r="A34" i="7"/>
  <c r="A31" i="7"/>
  <c r="C32" i="7"/>
  <c r="C31" i="7"/>
  <c r="B37" i="7"/>
  <c r="B32" i="7"/>
  <c r="C36" i="7"/>
  <c r="A33" i="7"/>
  <c r="A28" i="7"/>
  <c r="C38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A17" i="9"/>
  <c r="E25" i="9"/>
  <c r="J25" i="9"/>
  <c r="H17" i="9"/>
  <c r="H27" i="9"/>
  <c r="C25" i="9"/>
  <c r="I17" i="9"/>
  <c r="A27" i="9"/>
  <c r="H24" i="9"/>
  <c r="J18" i="9"/>
  <c r="H29" i="9"/>
  <c r="C18" i="9"/>
  <c r="E27" i="9"/>
  <c r="D18" i="9"/>
  <c r="F29" i="9"/>
  <c r="F20" i="9"/>
  <c r="I25" i="9"/>
  <c r="F18" i="9"/>
  <c r="F27" i="9"/>
  <c r="B25" i="9"/>
  <c r="D21" i="9"/>
  <c r="G21" i="9"/>
  <c r="A24" i="9"/>
  <c r="C21" i="9"/>
  <c r="I28" i="9"/>
  <c r="C28" i="9"/>
  <c r="C26" i="9"/>
  <c r="F26" i="9"/>
  <c r="I26" i="9"/>
  <c r="J19" i="9"/>
  <c r="E19" i="9"/>
  <c r="G18" i="9"/>
  <c r="I27" i="9"/>
  <c r="H18" i="9"/>
  <c r="J29" i="9"/>
  <c r="J20" i="9"/>
  <c r="A21" i="9"/>
  <c r="E29" i="9"/>
  <c r="J17" i="9"/>
  <c r="J27" i="9"/>
  <c r="H21" i="9"/>
  <c r="E21" i="9"/>
  <c r="I29" i="9"/>
  <c r="F21" i="9"/>
  <c r="F22" i="9"/>
  <c r="G27" i="9"/>
  <c r="G29" i="9"/>
  <c r="D22" i="9"/>
  <c r="D29" i="9"/>
  <c r="E18" i="9"/>
  <c r="D23" i="9"/>
  <c r="C24" i="9"/>
  <c r="B23" i="9"/>
  <c r="B24" i="9"/>
  <c r="C22" i="9"/>
  <c r="A28" i="9"/>
  <c r="F28" i="9"/>
  <c r="A26" i="9"/>
  <c r="E26" i="9"/>
  <c r="B26" i="9"/>
  <c r="G19" i="9"/>
  <c r="D19" i="9"/>
  <c r="H28" i="9"/>
  <c r="J28" i="9"/>
  <c r="J26" i="9"/>
  <c r="A19" i="9"/>
  <c r="B19" i="9"/>
  <c r="I21" i="9"/>
  <c r="J21" i="9"/>
  <c r="J22" i="9"/>
  <c r="A23" i="9"/>
  <c r="H20" i="9"/>
  <c r="H23" i="9"/>
  <c r="G17" i="9"/>
  <c r="A18" i="9"/>
  <c r="E23" i="9"/>
  <c r="F23" i="9"/>
  <c r="F24" i="9"/>
  <c r="I20" i="9"/>
  <c r="I22" i="9"/>
  <c r="D25" i="9"/>
  <c r="G20" i="9"/>
  <c r="A20" i="9"/>
  <c r="B29" i="9"/>
  <c r="B27" i="9"/>
  <c r="B20" i="9"/>
  <c r="B17" i="9"/>
  <c r="B22" i="9"/>
  <c r="C23" i="9"/>
  <c r="D28" i="9"/>
  <c r="B28" i="9"/>
  <c r="G28" i="9"/>
  <c r="G26" i="9"/>
  <c r="H26" i="9"/>
  <c r="F19" i="9"/>
  <c r="I19" i="9"/>
  <c r="C19" i="9"/>
  <c r="I23" i="9"/>
  <c r="J23" i="9"/>
  <c r="J24" i="9"/>
  <c r="E22" i="9"/>
  <c r="E24" i="9"/>
  <c r="I18" i="9"/>
  <c r="G24" i="9"/>
  <c r="H22" i="9"/>
  <c r="H25" i="9"/>
  <c r="G25" i="9"/>
  <c r="C29" i="9"/>
  <c r="A22" i="9"/>
  <c r="A25" i="9"/>
  <c r="F25" i="9"/>
  <c r="D17" i="9"/>
  <c r="D27" i="9"/>
  <c r="C27" i="9"/>
  <c r="G23" i="9"/>
  <c r="E17" i="9"/>
  <c r="D20" i="9"/>
  <c r="A29" i="9"/>
  <c r="G22" i="9"/>
  <c r="F17" i="9"/>
  <c r="B18" i="9"/>
  <c r="I24" i="9"/>
  <c r="D24" i="9"/>
  <c r="E20" i="9"/>
  <c r="B21" i="9"/>
  <c r="C20" i="9"/>
  <c r="C17" i="9"/>
  <c r="E28" i="9"/>
  <c r="D26" i="9"/>
  <c r="H19" i="9"/>
  <c r="I15" i="9"/>
  <c r="E16" i="9"/>
  <c r="G15" i="9"/>
  <c r="C15" i="9"/>
  <c r="J15" i="9"/>
  <c r="E15" i="9"/>
  <c r="D16" i="9"/>
  <c r="J16" i="9"/>
  <c r="B16" i="9"/>
  <c r="D15" i="9"/>
  <c r="H16" i="9"/>
  <c r="H15" i="9"/>
  <c r="A15" i="9"/>
  <c r="C16" i="9"/>
  <c r="F16" i="9"/>
  <c r="A16" i="9"/>
  <c r="G16" i="9"/>
  <c r="F15" i="9"/>
  <c r="B15" i="9"/>
  <c r="I16" i="9"/>
  <c r="G6" i="9"/>
  <c r="A13" i="9"/>
  <c r="J5" i="9"/>
  <c r="J13" i="9"/>
  <c r="J10" i="9"/>
  <c r="I6" i="9"/>
  <c r="A9" i="9"/>
  <c r="H8" i="9"/>
  <c r="H5" i="9"/>
  <c r="H13" i="9"/>
  <c r="C3" i="9"/>
  <c r="A3" i="9"/>
  <c r="E9" i="9"/>
  <c r="F9" i="9"/>
  <c r="F6" i="9"/>
  <c r="F14" i="9"/>
  <c r="I4" i="9"/>
  <c r="C10" i="9"/>
  <c r="D12" i="9"/>
  <c r="D9" i="9"/>
  <c r="I14" i="9"/>
  <c r="F2" i="9"/>
  <c r="D14" i="9"/>
  <c r="B11" i="9"/>
  <c r="E8" i="9"/>
  <c r="H2" i="9"/>
  <c r="B9" i="9"/>
  <c r="C8" i="9"/>
  <c r="G14" i="9"/>
  <c r="J7" i="9"/>
  <c r="J4" i="9"/>
  <c r="J12" i="9"/>
  <c r="C13" i="9"/>
  <c r="C4" i="9"/>
  <c r="G10" i="9"/>
  <c r="H10" i="9"/>
  <c r="H7" i="9"/>
  <c r="G9" i="9"/>
  <c r="G7" i="9"/>
  <c r="G4" i="9"/>
  <c r="A11" i="9"/>
  <c r="F3" i="9"/>
  <c r="F11" i="9"/>
  <c r="F8" i="9"/>
  <c r="C11" i="9"/>
  <c r="C9" i="9"/>
  <c r="D10" i="9"/>
  <c r="D7" i="9"/>
  <c r="A12" i="9"/>
  <c r="E12" i="9"/>
  <c r="D8" i="9"/>
  <c r="G8" i="9"/>
  <c r="B13" i="9"/>
  <c r="D6" i="9"/>
  <c r="B8" i="9"/>
  <c r="B6" i="9"/>
  <c r="E2" i="9"/>
  <c r="B12" i="9"/>
  <c r="D3" i="9"/>
  <c r="E3" i="9"/>
  <c r="I9" i="9"/>
  <c r="J9" i="9"/>
  <c r="J6" i="9"/>
  <c r="J14" i="9"/>
  <c r="E6" i="9"/>
  <c r="E4" i="9"/>
  <c r="I5" i="9"/>
  <c r="C12" i="9"/>
  <c r="H4" i="9"/>
  <c r="H12" i="9"/>
  <c r="H9" i="9"/>
  <c r="G3" i="9"/>
  <c r="A14" i="9"/>
  <c r="C6" i="9"/>
  <c r="G12" i="9"/>
  <c r="F5" i="9"/>
  <c r="F13" i="9"/>
  <c r="F10" i="9"/>
  <c r="C5" i="9"/>
  <c r="A6" i="9"/>
  <c r="E5" i="9"/>
  <c r="E14" i="9"/>
  <c r="G13" i="9"/>
  <c r="B14" i="9"/>
  <c r="D13" i="9"/>
  <c r="G2" i="9"/>
  <c r="A7" i="9"/>
  <c r="B4" i="9"/>
  <c r="B7" i="9"/>
  <c r="D11" i="9"/>
  <c r="B10" i="9"/>
  <c r="A5" i="9"/>
  <c r="E11" i="9"/>
  <c r="J3" i="9"/>
  <c r="J11" i="9"/>
  <c r="J8" i="9"/>
  <c r="I12" i="9"/>
  <c r="I10" i="9"/>
  <c r="E7" i="9"/>
  <c r="I13" i="9"/>
  <c r="H6" i="9"/>
  <c r="H14" i="9"/>
  <c r="H3" i="9"/>
  <c r="H11" i="9"/>
  <c r="A10" i="9"/>
  <c r="I7" i="9"/>
  <c r="C14" i="9"/>
  <c r="F7" i="9"/>
  <c r="F4" i="9"/>
  <c r="F12" i="9"/>
  <c r="G11" i="9"/>
  <c r="I3" i="9"/>
  <c r="A8" i="9"/>
  <c r="I11" i="9"/>
  <c r="D4" i="9"/>
  <c r="C7" i="9"/>
  <c r="D5" i="9"/>
  <c r="G5" i="9"/>
  <c r="A4" i="9"/>
  <c r="I8" i="9"/>
  <c r="B5" i="9"/>
  <c r="E10" i="9"/>
  <c r="D2" i="9"/>
  <c r="B3" i="9"/>
  <c r="E13" i="9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10" l="1"/>
  <c r="A2" i="10"/>
  <c r="B2" i="7"/>
  <c r="A2" i="7"/>
  <c r="C2" i="7"/>
  <c r="C2" i="9"/>
  <c r="A2" i="9"/>
  <c r="I2" i="9"/>
  <c r="J2" i="9"/>
  <c r="B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<sst xmlns="http://schemas.openxmlformats.org/spreadsheetml/2006/main" count="231" uniqueCount="150">
  <si>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</si>
  <si>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</si>
  <si>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</si>
  <si>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</si>
  <si>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</si>
  <si>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</si>
  <si>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</si>
  <si>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</si>
  <si>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</si>
  <si>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</si>
  <si>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</si>
  <si>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</si>
  <si>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</si>
  <si>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</si>
  <si>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</si>
  <si>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</si>
  <si>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</si>
  <si>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</si>
  <si>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</si>
  <si>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</si>
  <si>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</si>
  <si>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</si>
  <si>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</si>
  <si>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</si>
  <si>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</si>
  <si>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</si>
  <si>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</si>
  <si>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</si>
  <si>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</si>
  <si>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</si>
  <si>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</si>
  <si>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</si>
  <si>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</si>
  <si>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</si>
  <si>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</si>
  <si>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</si>
  <si>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</si>
  <si>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</si>
  <si>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</si>
  <si>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</si>
  <si>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</si>
  <si>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被動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</si>
  <si>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</si>
  <si>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</si>
  <si>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</si>
  <si>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</si>
  <si>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</si>
  <si>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</si>
  <si>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</si>
  <si>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</si>
  <si>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</si>
  <si>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</si>
  <si>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</si>
  <si>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</si>
  <si>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</si>
  <si>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</si>
  <si>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</si>
  <si>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</si>
  <si>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</si>
  <si>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</si>
  <si>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</si>
  <si>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</si>
  <si>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</si>
  <si>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</si>
  <si>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</si>
  <si>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</si>
  <si>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</si>
  <si>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</si>
  <si>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</si>
  <si>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</si>
  <si>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</si>
  <si>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</si>
  <si>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</si>
  <si>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</si>
  <si>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</si>
  <si>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</si>
  <si>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</si>
  <si>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</si>
  <si>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</si>
  <si>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</si>
  <si>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</si>
  <si>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</si>
  <si>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</si>
  <si>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</si>
  <si>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</si>
  <si>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</si>
  <si>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</si>
  <si>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</si>
  <si>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</si>
  <si>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</si>
  <si>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</si>
  <si>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</si>
  <si>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</si>
  <si>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</si>
  <si>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</si>
  <si>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</si>
  <si>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</si>
  <si>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</si>
  <si>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</si>
  <si>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</si>
  <si>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</si>
  <si>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</si>
  <si>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</si>
  <si>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耐力上限</t>
  </si>
  <si>
    <t>耐力回復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</si>
  <si>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</si>
  <si>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</si>
  <si>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</si>
  <si>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</si>
  <si>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</si>
  <si>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</si>
  <si>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</si>
  <si>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</si>
  <si>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</si>
  <si>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</si>
  <si>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</si>
  <si>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</si>
  <si>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</si>
  <si>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致命</t>
  </si>
  <si>
    <t>狂戰士</t>
  </si>
  <si>
    <t>增傷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</si>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</sst>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0"/>
    <tableColumn id="10" name="Gain" dataDxfId="29"/>
    <tableColumn id="4" name="Damage" dataDxfId="28"/>
    <tableColumn id="8" name="CriticalStrike" dataDxfId="27"/>
    <tableColumn id="5" name="FireRate" dataDxfId="26"/>
    <tableColumn id="6" name="Range" dataDxfId="25"/>
    <tableColumn id="7" name="Resour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3">
  <autoFilter ref="A1:J100"/>
  <tableColumns count="10">
    <tableColumn id="1" name="GUID" dataDxfId="22"/>
    <tableColumn id="2" name="StrID" dataDxfId="21"/>
    <tableColumn id="3" name="Mode" dataDxfId="20"/>
    <tableColumn id="10" name="StageID" dataDxfId="19"/>
    <tableColumn id="9" name="Gain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61</v>
      </c>
      <c r="B1" s="3" t="s">
        <v>131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18" sqref="B18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83</v>
      </c>
      <c r="C3" s="3" t="s">
        <v>28</v>
      </c>
    </row>
    <row r="4" spans="1:3" x14ac:dyDescent="0.25">
      <c r="A4" s="3">
        <v>1003</v>
      </c>
      <c r="B4" s="3" t="s">
        <v>84</v>
      </c>
      <c r="C4" s="3" t="s">
        <v>85</v>
      </c>
    </row>
    <row r="5" spans="1:3" x14ac:dyDescent="0.25">
      <c r="A5" s="3">
        <v>1004</v>
      </c>
      <c r="B5" s="3" t="s">
        <v>86</v>
      </c>
      <c r="C5" s="3" t="s">
        <v>87</v>
      </c>
    </row>
    <row r="6" spans="1:3" x14ac:dyDescent="0.25">
      <c r="A6" s="3">
        <v>1005</v>
      </c>
      <c r="B6" s="3" t="s">
        <v>88</v>
      </c>
      <c r="C6" s="18" t="s">
        <v>29</v>
      </c>
    </row>
    <row r="7" spans="1:3" x14ac:dyDescent="0.25">
      <c r="A7" s="3">
        <v>1006</v>
      </c>
      <c r="B7" s="3" t="s">
        <v>89</v>
      </c>
      <c r="C7" s="18" t="s">
        <v>90</v>
      </c>
    </row>
    <row r="8" spans="1:3" x14ac:dyDescent="0.25">
      <c r="A8" s="3">
        <v>1007</v>
      </c>
      <c r="B8" s="3" t="s">
        <v>91</v>
      </c>
      <c r="C8" s="18" t="s">
        <v>92</v>
      </c>
    </row>
    <row r="9" spans="1:3" x14ac:dyDescent="0.25">
      <c r="A9" s="3">
        <v>1008</v>
      </c>
      <c r="B9" s="3" t="s">
        <v>93</v>
      </c>
      <c r="C9" s="18" t="s">
        <v>94</v>
      </c>
    </row>
    <row r="10" spans="1:3" x14ac:dyDescent="0.25">
      <c r="A10" s="3">
        <v>1009</v>
      </c>
      <c r="B10" s="3" t="s">
        <v>98</v>
      </c>
      <c r="C10" s="18" t="s">
        <v>95</v>
      </c>
    </row>
    <row r="11" spans="1:3" x14ac:dyDescent="0.25">
      <c r="A11" s="3">
        <v>1010</v>
      </c>
      <c r="B11" s="3" t="s">
        <v>96</v>
      </c>
      <c r="C11" s="18" t="s">
        <v>97</v>
      </c>
    </row>
    <row r="12" spans="1:3" x14ac:dyDescent="0.25">
      <c r="A12" s="3">
        <v>2001</v>
      </c>
      <c r="B12" s="3" t="s">
        <v>121</v>
      </c>
      <c r="C12" s="24" t="s">
        <v>105</v>
      </c>
    </row>
    <row r="13" spans="1:3" x14ac:dyDescent="0.25">
      <c r="A13" s="3">
        <v>2002</v>
      </c>
      <c r="B13" s="3" t="s">
        <v>122</v>
      </c>
      <c r="C13" s="24" t="s">
        <v>106</v>
      </c>
    </row>
    <row r="14" spans="1:3" x14ac:dyDescent="0.25">
      <c r="A14" s="3">
        <v>2003</v>
      </c>
      <c r="B14" s="3" t="s">
        <v>123</v>
      </c>
      <c r="C14" s="24" t="s">
        <v>107</v>
      </c>
    </row>
    <row r="15" spans="1:3" x14ac:dyDescent="0.25">
      <c r="A15" s="3">
        <v>2004</v>
      </c>
      <c r="B15" s="3" t="s">
        <v>124</v>
      </c>
      <c r="C15" s="24" t="s">
        <v>108</v>
      </c>
    </row>
    <row r="16" spans="1:3" x14ac:dyDescent="0.25">
      <c r="A16" s="3">
        <v>2005</v>
      </c>
      <c r="B16" s="3" t="s">
        <v>139</v>
      </c>
      <c r="C16" s="24" t="s">
        <v>109</v>
      </c>
    </row>
    <row r="17" spans="1:3" x14ac:dyDescent="0.25">
      <c r="A17" s="3">
        <v>2006</v>
      </c>
      <c r="B17" s="3" t="s">
        <v>125</v>
      </c>
      <c r="C17" s="24" t="s">
        <v>110</v>
      </c>
    </row>
    <row r="18" spans="1:3" x14ac:dyDescent="0.25">
      <c r="A18" s="3">
        <v>2007</v>
      </c>
      <c r="B18" s="3" t="s">
        <v>126</v>
      </c>
      <c r="C18" s="24" t="s">
        <v>111</v>
      </c>
    </row>
    <row r="19" spans="1:3" x14ac:dyDescent="0.25">
      <c r="A19" s="3">
        <v>2008</v>
      </c>
      <c r="B19" s="3" t="s">
        <v>127</v>
      </c>
      <c r="C19" s="24" t="s">
        <v>112</v>
      </c>
    </row>
    <row r="20" spans="1:3" x14ac:dyDescent="0.25">
      <c r="A20" s="3">
        <v>2009</v>
      </c>
      <c r="B20" s="3" t="s">
        <v>137</v>
      </c>
      <c r="C20" s="24" t="s">
        <v>135</v>
      </c>
    </row>
    <row r="21" spans="1:3" x14ac:dyDescent="0.25">
      <c r="A21" s="3">
        <v>2010</v>
      </c>
      <c r="B21" s="3" t="s">
        <v>138</v>
      </c>
      <c r="C21" s="24" t="s">
        <v>136</v>
      </c>
    </row>
    <row r="22" spans="1:3" x14ac:dyDescent="0.25">
      <c r="A22" s="3">
        <v>2011</v>
      </c>
      <c r="B22" s="3" t="s">
        <v>128</v>
      </c>
      <c r="C22" s="24" t="s">
        <v>114</v>
      </c>
    </row>
    <row r="23" spans="1:3" x14ac:dyDescent="0.25">
      <c r="A23" s="3">
        <v>2012</v>
      </c>
      <c r="B23" s="3" t="s">
        <v>129</v>
      </c>
      <c r="C23" s="24" t="s">
        <v>115</v>
      </c>
    </row>
    <row r="24" spans="1:3" x14ac:dyDescent="0.25">
      <c r="A24" s="3">
        <v>2013</v>
      </c>
      <c r="B24" s="3" t="s">
        <v>140</v>
      </c>
      <c r="C24" s="24" t="s">
        <v>116</v>
      </c>
    </row>
    <row r="25" spans="1:3" x14ac:dyDescent="0.25">
      <c r="A25" s="3">
        <v>2014</v>
      </c>
      <c r="B25" s="3" t="s">
        <v>141</v>
      </c>
      <c r="C25" s="24" t="s">
        <v>117</v>
      </c>
    </row>
    <row r="26" spans="1:3" x14ac:dyDescent="0.25">
      <c r="A26" s="3">
        <v>2015</v>
      </c>
      <c r="B26" s="3" t="s">
        <v>130</v>
      </c>
      <c r="C26" s="24" t="s">
        <v>119</v>
      </c>
    </row>
    <row r="27" spans="1:3" x14ac:dyDescent="0.25">
      <c r="C27" s="24"/>
    </row>
    <row r="28" spans="1:3" x14ac:dyDescent="0.25">
      <c r="C28" s="24"/>
    </row>
    <row r="29" spans="1:3" x14ac:dyDescent="0.25">
      <c r="C29" s="24"/>
    </row>
    <row r="30" spans="1:3" x14ac:dyDescent="0.25">
      <c r="C30" s="24"/>
    </row>
    <row r="31" spans="1:3" x14ac:dyDescent="0.25">
      <c r="C31" s="24"/>
    </row>
    <row r="32" spans="1:3" x14ac:dyDescent="0.25">
      <c r="C32" s="24"/>
    </row>
    <row r="33" spans="1:3" x14ac:dyDescent="0.25">
      <c r="C33" s="24"/>
    </row>
    <row r="34" spans="1:3" x14ac:dyDescent="0.25">
      <c r="C34" s="24"/>
    </row>
    <row r="35" spans="1:3" x14ac:dyDescent="0.25">
      <c r="C35" s="24"/>
    </row>
    <row r="36" spans="1:3" x14ac:dyDescent="0.25">
      <c r="C36" s="24"/>
    </row>
    <row r="37" spans="1:3" x14ac:dyDescent="0.25">
      <c r="C37" s="24"/>
    </row>
    <row r="38" spans="1:3" x14ac:dyDescent="0.25">
      <c r="C38" s="24"/>
    </row>
    <row r="39" spans="1:3" x14ac:dyDescent="0.25">
      <c r="C39" s="24"/>
    </row>
    <row r="40" spans="1:3" x14ac:dyDescent="0.25">
      <c r="C40" s="24"/>
    </row>
    <row r="41" spans="1:3" x14ac:dyDescent="0.25">
      <c r="C41" s="37"/>
    </row>
    <row r="42" spans="1:3" x14ac:dyDescent="0.25">
      <c r="C42" s="37"/>
    </row>
    <row r="43" spans="1:3" x14ac:dyDescent="0.25">
      <c r="C43" s="37"/>
    </row>
    <row r="44" spans="1:3" x14ac:dyDescent="0.25">
      <c r="C44" s="37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19" sqref="L19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132</v>
      </c>
      <c r="E1" s="2" t="s">
        <v>133</v>
      </c>
      <c r="F1" s="2" t="s">
        <v>5</v>
      </c>
      <c r="G1" s="2" t="s">
        <v>62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134</v>
      </c>
      <c r="N1" s="16" t="s">
        <v>100</v>
      </c>
      <c r="O1" s="16" t="s">
        <v>80</v>
      </c>
      <c r="P1" s="15" t="s">
        <v>82</v>
      </c>
      <c r="Q1" s="16" t="s">
        <v>81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99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85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87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90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92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94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95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97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5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5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5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5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5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5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5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5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5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5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5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5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5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5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5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5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5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5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5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5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5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5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5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5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5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5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5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5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5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5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5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5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5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5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5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5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5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5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5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5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5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5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5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5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5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5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5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5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5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5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5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5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5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5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5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5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5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5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5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5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5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5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5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5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5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5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5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5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5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workbookViewId="0">
      <pane ySplit="1" topLeftCell="A2" activePane="bottomLeft" state="frozen"/>
      <selection pane="bottomLeft" activeCell="I16" sqref="I1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4" customWidth="1"/>
    <col min="13" max="13" width="9" style="36" customWidth="1"/>
    <col min="14" max="14" width="9" style="17"/>
    <col min="15" max="16384" width="9" style="3"/>
  </cols>
  <sheetData>
    <row r="1" spans="1:14" s="2" customFormat="1" x14ac:dyDescent="0.25">
      <c r="A1" s="2" t="s">
        <v>32</v>
      </c>
      <c r="B1" s="2" t="s">
        <v>33</v>
      </c>
      <c r="C1" s="2" t="s">
        <v>34</v>
      </c>
      <c r="D1" s="2" t="s">
        <v>132</v>
      </c>
      <c r="E1" s="2" t="s">
        <v>133</v>
      </c>
      <c r="F1" s="2" t="s">
        <v>48</v>
      </c>
      <c r="G1" s="2" t="s">
        <v>38</v>
      </c>
      <c r="H1" s="2" t="s">
        <v>35</v>
      </c>
      <c r="I1" s="2" t="s">
        <v>39</v>
      </c>
      <c r="J1" s="2" t="s">
        <v>36</v>
      </c>
      <c r="L1" s="22" t="s">
        <v>37</v>
      </c>
      <c r="M1" s="16" t="s">
        <v>134</v>
      </c>
      <c r="N1" s="16" t="s">
        <v>113</v>
      </c>
    </row>
    <row r="2" spans="1:14" x14ac:dyDescent="0.25">
      <c r="A2" s="3">
        <v>1</v>
      </c>
      <c r="B2" s="3">
        <v>2001</v>
      </c>
      <c r="C2" s="3" t="s">
        <v>41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 t="s">
        <v>103</v>
      </c>
      <c r="J2" s="3">
        <v>10</v>
      </c>
      <c r="L2" s="24" t="s">
        <v>105</v>
      </c>
      <c r="M2" s="35">
        <f t="shared" ref="M2:M16" si="0">E2/(SUM(E:E) * 2)*100</f>
        <v>5.1724137931034484</v>
      </c>
      <c r="N2" s="17">
        <f>IF(特性!H2&gt;0,(特性!J2 * 特性!G2) / 特性!H2,0)</f>
        <v>0</v>
      </c>
    </row>
    <row r="3" spans="1:14" x14ac:dyDescent="0.25">
      <c r="A3" s="3">
        <v>2</v>
      </c>
      <c r="B3" s="3">
        <v>2002</v>
      </c>
      <c r="C3" s="3" t="s">
        <v>41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 t="s">
        <v>103</v>
      </c>
      <c r="J3" s="3">
        <v>20</v>
      </c>
      <c r="L3" s="24" t="s">
        <v>106</v>
      </c>
      <c r="M3" s="35">
        <f t="shared" ref="M3:M66" si="1">E3/(SUM(E:E) * 2)*100</f>
        <v>1.7241379310344827</v>
      </c>
      <c r="N3" s="17">
        <f>IF(特性!H3&gt;0,(特性!J3 * 特性!G3) / 特性!H3,0)</f>
        <v>0</v>
      </c>
    </row>
    <row r="4" spans="1:14" x14ac:dyDescent="0.25">
      <c r="A4" s="3">
        <v>3</v>
      </c>
      <c r="B4" s="3">
        <v>2003</v>
      </c>
      <c r="C4" s="3" t="s">
        <v>41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 t="s">
        <v>103</v>
      </c>
      <c r="J4" s="3">
        <v>-15</v>
      </c>
      <c r="L4" s="24" t="s">
        <v>107</v>
      </c>
      <c r="M4" s="35">
        <f t="shared" si="1"/>
        <v>6.8965517241379306</v>
      </c>
      <c r="N4" s="17">
        <f>IF(特性!H4&gt;0,(特性!J4 * 特性!G4) / 特性!H4,0)</f>
        <v>0</v>
      </c>
    </row>
    <row r="5" spans="1:14" x14ac:dyDescent="0.25">
      <c r="A5" s="3">
        <v>4</v>
      </c>
      <c r="B5" s="3">
        <v>2004</v>
      </c>
      <c r="C5" s="3" t="s">
        <v>41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 t="s">
        <v>103</v>
      </c>
      <c r="J5" s="3">
        <v>-25</v>
      </c>
      <c r="L5" s="24" t="s">
        <v>108</v>
      </c>
      <c r="M5" s="35">
        <f t="shared" si="1"/>
        <v>3.4482758620689653</v>
      </c>
      <c r="N5" s="17">
        <f>IF(特性!H5&gt;0,(特性!J5 * 特性!G5) / 特性!H5,0)</f>
        <v>0</v>
      </c>
    </row>
    <row r="6" spans="1:14" x14ac:dyDescent="0.25">
      <c r="A6" s="3">
        <v>5</v>
      </c>
      <c r="B6" s="3">
        <v>2005</v>
      </c>
      <c r="C6" s="3" t="s">
        <v>41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 t="s">
        <v>104</v>
      </c>
      <c r="J6" s="3">
        <v>1</v>
      </c>
      <c r="L6" s="24" t="s">
        <v>109</v>
      </c>
      <c r="M6" s="35">
        <f t="shared" si="1"/>
        <v>1.7241379310344827</v>
      </c>
      <c r="N6" s="17">
        <f>IF(特性!H6&gt;0,(特性!J6 * 特性!G6) / 特性!H6,0)</f>
        <v>0</v>
      </c>
    </row>
    <row r="7" spans="1:14" x14ac:dyDescent="0.25">
      <c r="A7" s="3">
        <v>6</v>
      </c>
      <c r="B7" s="3">
        <v>2006</v>
      </c>
      <c r="C7" s="3" t="s">
        <v>41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 t="s">
        <v>104</v>
      </c>
      <c r="J7" s="3">
        <v>2</v>
      </c>
      <c r="L7" s="24" t="s">
        <v>110</v>
      </c>
      <c r="M7" s="35">
        <f t="shared" si="1"/>
        <v>1.7241379310344827</v>
      </c>
      <c r="N7" s="17">
        <f>IF(特性!H7&gt;0,(特性!J7 * 特性!G7) / 特性!H7,0)</f>
        <v>0</v>
      </c>
    </row>
    <row r="8" spans="1:14" x14ac:dyDescent="0.25">
      <c r="A8" s="3">
        <v>7</v>
      </c>
      <c r="B8" s="3">
        <v>2007</v>
      </c>
      <c r="C8" s="3" t="s">
        <v>41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 t="s">
        <v>104</v>
      </c>
      <c r="J8" s="3">
        <v>-1</v>
      </c>
      <c r="L8" s="24" t="s">
        <v>111</v>
      </c>
      <c r="M8" s="35">
        <f t="shared" si="1"/>
        <v>6.8965517241379306</v>
      </c>
      <c r="N8" s="17">
        <f>IF(特性!H8&gt;0,(特性!J8 * 特性!G8) / 特性!H8,0)</f>
        <v>0</v>
      </c>
    </row>
    <row r="9" spans="1:14" x14ac:dyDescent="0.25">
      <c r="A9" s="3">
        <v>8</v>
      </c>
      <c r="B9" s="3">
        <v>2008</v>
      </c>
      <c r="C9" s="3" t="s">
        <v>41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 t="s">
        <v>104</v>
      </c>
      <c r="J9" s="3">
        <v>-2</v>
      </c>
      <c r="L9" s="24" t="s">
        <v>112</v>
      </c>
      <c r="M9" s="35">
        <f t="shared" si="1"/>
        <v>5.1724137931034484</v>
      </c>
      <c r="N9" s="17">
        <f>IF(特性!H9&gt;0,(特性!J9 * 特性!G9) / 特性!H9,0)</f>
        <v>0</v>
      </c>
    </row>
    <row r="10" spans="1:14" x14ac:dyDescent="0.25">
      <c r="A10" s="3">
        <v>9</v>
      </c>
      <c r="B10" s="3">
        <v>2009</v>
      </c>
      <c r="C10" s="3" t="s">
        <v>40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 t="s">
        <v>47</v>
      </c>
      <c r="J10" s="3">
        <v>20</v>
      </c>
      <c r="L10" s="24" t="s">
        <v>135</v>
      </c>
      <c r="M10" s="35">
        <f t="shared" si="1"/>
        <v>1.7241379310344827</v>
      </c>
      <c r="N10" s="17">
        <f>IF(特性!H10&gt;0,(特性!J10 * 特性!G10) / 特性!H10,0)</f>
        <v>0.8</v>
      </c>
    </row>
    <row r="11" spans="1:14" x14ac:dyDescent="0.25">
      <c r="A11" s="3">
        <v>10</v>
      </c>
      <c r="B11" s="3">
        <v>2010</v>
      </c>
      <c r="C11" s="3" t="s">
        <v>40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 t="s">
        <v>47</v>
      </c>
      <c r="J11" s="3">
        <v>40</v>
      </c>
      <c r="L11" s="24" t="s">
        <v>136</v>
      </c>
      <c r="M11" s="35">
        <f t="shared" si="1"/>
        <v>1.7241379310344827</v>
      </c>
      <c r="N11" s="17">
        <f>IF(特性!H11&gt;0,(特性!J11 * 特性!G11) / 特性!H11,0)</f>
        <v>1.6</v>
      </c>
    </row>
    <row r="12" spans="1:14" x14ac:dyDescent="0.25">
      <c r="A12" s="3">
        <v>11</v>
      </c>
      <c r="B12" s="3">
        <v>2011</v>
      </c>
      <c r="C12" s="3" t="s">
        <v>41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3" t="s">
        <v>118</v>
      </c>
      <c r="J12" s="18">
        <v>-0.2</v>
      </c>
      <c r="L12" s="24" t="s">
        <v>114</v>
      </c>
      <c r="M12" s="35">
        <f t="shared" si="1"/>
        <v>5.1724137931034484</v>
      </c>
      <c r="N12" s="17">
        <f>IF(特性!H12&gt;0,(特性!J12 * 特性!G12) / 特性!H12,0)</f>
        <v>0</v>
      </c>
    </row>
    <row r="13" spans="1:14" x14ac:dyDescent="0.25">
      <c r="A13" s="3">
        <v>12</v>
      </c>
      <c r="B13" s="3">
        <v>2012</v>
      </c>
      <c r="C13" s="3" t="s">
        <v>41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3" t="s">
        <v>118</v>
      </c>
      <c r="J13" s="18">
        <v>-0.1</v>
      </c>
      <c r="L13" s="24" t="s">
        <v>115</v>
      </c>
      <c r="M13" s="35">
        <f t="shared" si="1"/>
        <v>3.4482758620689653</v>
      </c>
      <c r="N13" s="17">
        <f>IF(特性!H13&gt;0,(特性!J13 * 特性!G13) / 特性!H13,0)</f>
        <v>0</v>
      </c>
    </row>
    <row r="14" spans="1:14" x14ac:dyDescent="0.25">
      <c r="A14" s="3">
        <v>13</v>
      </c>
      <c r="B14" s="3">
        <v>2013</v>
      </c>
      <c r="C14" s="3" t="s">
        <v>41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3" t="s">
        <v>118</v>
      </c>
      <c r="J14" s="18">
        <v>0.1</v>
      </c>
      <c r="L14" s="24" t="s">
        <v>116</v>
      </c>
      <c r="M14" s="35">
        <f t="shared" si="1"/>
        <v>1.7241379310344827</v>
      </c>
      <c r="N14" s="17">
        <f>IF(特性!H14&gt;0,(特性!J14 * 特性!G14) / 特性!H14,0)</f>
        <v>0</v>
      </c>
    </row>
    <row r="15" spans="1:14" x14ac:dyDescent="0.25">
      <c r="A15" s="3">
        <v>14</v>
      </c>
      <c r="B15" s="3">
        <v>2014</v>
      </c>
      <c r="C15" s="3" t="s">
        <v>41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3" t="s">
        <v>118</v>
      </c>
      <c r="J15" s="18">
        <v>0.2</v>
      </c>
      <c r="L15" s="24" t="s">
        <v>117</v>
      </c>
      <c r="M15" s="35">
        <f t="shared" si="1"/>
        <v>1.7241379310344827</v>
      </c>
      <c r="N15" s="17">
        <f>IF(特性!H15&gt;0,(特性!J15 * 特性!G15) / 特性!H15,0)</f>
        <v>0</v>
      </c>
    </row>
    <row r="16" spans="1:14" x14ac:dyDescent="0.25">
      <c r="A16" s="3">
        <v>15</v>
      </c>
      <c r="B16" s="3">
        <v>2015</v>
      </c>
      <c r="C16" s="3" t="s">
        <v>41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3" t="s">
        <v>120</v>
      </c>
      <c r="J16" s="18">
        <v>1</v>
      </c>
      <c r="L16" s="24" t="s">
        <v>119</v>
      </c>
      <c r="M16" s="35">
        <f t="shared" si="1"/>
        <v>1.7241379310344827</v>
      </c>
      <c r="N16" s="17">
        <f>IF(特性!H16&gt;0,(特性!J16 * 特性!G16) / 特性!H16,0)</f>
        <v>0</v>
      </c>
    </row>
    <row r="17" spans="10:14" x14ac:dyDescent="0.25">
      <c r="M17" s="35">
        <f t="shared" si="1"/>
        <v>0</v>
      </c>
      <c r="N17" s="17">
        <f>IF(特性!H17&gt;0,(特性!J17 * 特性!G17) / 特性!H17,0)</f>
        <v>0</v>
      </c>
    </row>
    <row r="18" spans="10:14" x14ac:dyDescent="0.25">
      <c r="M18" s="35">
        <f t="shared" si="1"/>
        <v>0</v>
      </c>
      <c r="N18" s="17">
        <f>IF(特性!H18&gt;0,(特性!J18 * 特性!G18) / 特性!H18,0)</f>
        <v>0</v>
      </c>
    </row>
    <row r="19" spans="10:14" x14ac:dyDescent="0.25">
      <c r="M19" s="35">
        <f t="shared" si="1"/>
        <v>0</v>
      </c>
      <c r="N19" s="17">
        <f>IF(特性!H19&gt;0,(特性!J19 * 特性!G19) / 特性!H19,0)</f>
        <v>0</v>
      </c>
    </row>
    <row r="20" spans="10:14" x14ac:dyDescent="0.25">
      <c r="M20" s="35">
        <f t="shared" si="1"/>
        <v>0</v>
      </c>
      <c r="N20" s="17">
        <f>IF(特性!H20&gt;0,(特性!J20 * 特性!G20) / 特性!H20,0)</f>
        <v>0</v>
      </c>
    </row>
    <row r="21" spans="10:14" x14ac:dyDescent="0.25">
      <c r="M21" s="35">
        <f t="shared" si="1"/>
        <v>0</v>
      </c>
      <c r="N21" s="17">
        <f>IF(特性!H21&gt;0,(特性!J21 * 特性!G21) / 特性!H21,0)</f>
        <v>0</v>
      </c>
    </row>
    <row r="22" spans="10:14" x14ac:dyDescent="0.25">
      <c r="M22" s="35">
        <f t="shared" si="1"/>
        <v>0</v>
      </c>
      <c r="N22" s="17">
        <f>IF(特性!H22&gt;0,(特性!J22 * 特性!G22) / 特性!H22,0)</f>
        <v>0</v>
      </c>
    </row>
    <row r="23" spans="10:14" x14ac:dyDescent="0.25">
      <c r="M23" s="35">
        <f t="shared" si="1"/>
        <v>0</v>
      </c>
      <c r="N23" s="17">
        <f>IF(特性!H23&gt;0,(特性!J23 * 特性!G23) / 特性!H23,0)</f>
        <v>0</v>
      </c>
    </row>
    <row r="24" spans="10:14" x14ac:dyDescent="0.25">
      <c r="M24" s="35">
        <f t="shared" si="1"/>
        <v>0</v>
      </c>
      <c r="N24" s="17">
        <f>IF(特性!H24&gt;0,(特性!J24 * 特性!G24) / 特性!H24,0)</f>
        <v>0</v>
      </c>
    </row>
    <row r="25" spans="10:14" x14ac:dyDescent="0.25">
      <c r="J25" s="18"/>
      <c r="M25" s="35">
        <f t="shared" si="1"/>
        <v>0</v>
      </c>
      <c r="N25" s="17">
        <f>IF(特性!H25&gt;0,(特性!J25 * 特性!G25) / 特性!H25,0)</f>
        <v>0</v>
      </c>
    </row>
    <row r="26" spans="10:14" x14ac:dyDescent="0.25">
      <c r="J26" s="18"/>
      <c r="M26" s="35">
        <f t="shared" si="1"/>
        <v>0</v>
      </c>
      <c r="N26" s="17">
        <f>IF(特性!H26&gt;0,(特性!J26 * 特性!G26) / 特性!H26,0)</f>
        <v>0</v>
      </c>
    </row>
    <row r="27" spans="10:14" x14ac:dyDescent="0.25">
      <c r="J27" s="18"/>
      <c r="M27" s="35">
        <f t="shared" si="1"/>
        <v>0</v>
      </c>
      <c r="N27" s="17">
        <f>IF(特性!H27&gt;0,(特性!J27 * 特性!G27) / 特性!H27,0)</f>
        <v>0</v>
      </c>
    </row>
    <row r="28" spans="10:14" x14ac:dyDescent="0.25">
      <c r="J28" s="18"/>
      <c r="M28" s="35">
        <f t="shared" si="1"/>
        <v>0</v>
      </c>
      <c r="N28" s="17">
        <f>IF(特性!H28&gt;0,(特性!J28 * 特性!G28) / 特性!H28,0)</f>
        <v>0</v>
      </c>
    </row>
    <row r="29" spans="10:14" x14ac:dyDescent="0.25">
      <c r="J29" s="18"/>
      <c r="M29" s="35">
        <f t="shared" si="1"/>
        <v>0</v>
      </c>
      <c r="N29" s="17">
        <f>IF(特性!H29&gt;0,(特性!J29 * 特性!G29) / 特性!H29,0)</f>
        <v>0</v>
      </c>
    </row>
    <row r="30" spans="10:14" x14ac:dyDescent="0.25">
      <c r="J30" s="18"/>
      <c r="M30" s="35">
        <f t="shared" si="1"/>
        <v>0</v>
      </c>
      <c r="N30" s="17">
        <f>IF(特性!H30&gt;0,(特性!J30 * 特性!G30) / 特性!H30,0)</f>
        <v>0</v>
      </c>
    </row>
    <row r="31" spans="10:14" x14ac:dyDescent="0.25">
      <c r="J31" s="18"/>
      <c r="M31" s="35">
        <f t="shared" si="1"/>
        <v>0</v>
      </c>
      <c r="N31" s="17">
        <f>IF(特性!H31&gt;0,(特性!J31 * 特性!G31) / 特性!H31,0)</f>
        <v>0</v>
      </c>
    </row>
    <row r="32" spans="10:14" x14ac:dyDescent="0.25">
      <c r="J32" s="18"/>
      <c r="M32" s="35">
        <f t="shared" si="1"/>
        <v>0</v>
      </c>
      <c r="N32" s="17">
        <f>IF(特性!H32&gt;0,(特性!J32 * 特性!G32) / 特性!H32,0)</f>
        <v>0</v>
      </c>
    </row>
    <row r="33" spans="1:14" x14ac:dyDescent="0.25">
      <c r="J33" s="18"/>
      <c r="M33" s="35">
        <f t="shared" si="1"/>
        <v>0</v>
      </c>
      <c r="N33" s="17">
        <f>IF(特性!H33&gt;0,(特性!J33 * 特性!G33) / 特性!H33,0)</f>
        <v>0</v>
      </c>
    </row>
    <row r="34" spans="1:14" x14ac:dyDescent="0.25">
      <c r="J34" s="18"/>
      <c r="M34" s="35">
        <f t="shared" si="1"/>
        <v>0</v>
      </c>
      <c r="N34" s="17">
        <f>IF(特性!H34&gt;0,(特性!J34 * 特性!G34) / 特性!H34,0)</f>
        <v>0</v>
      </c>
    </row>
    <row r="35" spans="1:14" x14ac:dyDescent="0.25">
      <c r="A35" s="25"/>
      <c r="J35" s="18"/>
      <c r="M35" s="35">
        <f t="shared" si="1"/>
        <v>0</v>
      </c>
      <c r="N35" s="17">
        <f>IF(特性!H35&gt;0,(特性!J35 * 特性!G35) / 特性!H35,0)</f>
        <v>0</v>
      </c>
    </row>
    <row r="36" spans="1:14" x14ac:dyDescent="0.25">
      <c r="A36" s="25"/>
      <c r="J36" s="18"/>
      <c r="M36" s="35">
        <f t="shared" si="1"/>
        <v>0</v>
      </c>
      <c r="N36" s="17">
        <f>IF(特性!H36&gt;0,(特性!J36 * 特性!G36) / 特性!H36,0)</f>
        <v>0</v>
      </c>
    </row>
    <row r="37" spans="1:14" x14ac:dyDescent="0.25">
      <c r="A37" s="25"/>
      <c r="J37" s="18"/>
      <c r="M37" s="35">
        <f t="shared" si="1"/>
        <v>0</v>
      </c>
      <c r="N37" s="17">
        <f>IF(特性!H37&gt;0,(特性!J37 * 特性!G37) / 特性!H37,0)</f>
        <v>0</v>
      </c>
    </row>
    <row r="38" spans="1:14" x14ac:dyDescent="0.25">
      <c r="A38" s="25"/>
      <c r="J38" s="18"/>
      <c r="M38" s="35">
        <f t="shared" si="1"/>
        <v>0</v>
      </c>
      <c r="N38" s="17">
        <f>IF(特性!H38&gt;0,(特性!J38 * 特性!G38) / 特性!H38,0)</f>
        <v>0</v>
      </c>
    </row>
    <row r="39" spans="1:14" x14ac:dyDescent="0.25">
      <c r="A39" s="25"/>
      <c r="J39" s="18"/>
      <c r="M39" s="35">
        <f t="shared" si="1"/>
        <v>0</v>
      </c>
      <c r="N39" s="17">
        <f>IF(特性!H39&gt;0,(特性!J39 * 特性!G39) / 特性!H39,0)</f>
        <v>0</v>
      </c>
    </row>
    <row r="40" spans="1:14" x14ac:dyDescent="0.25">
      <c r="A40" s="25"/>
      <c r="J40" s="18"/>
      <c r="M40" s="35">
        <f t="shared" si="1"/>
        <v>0</v>
      </c>
      <c r="N40" s="17">
        <f>IF(特性!H40&gt;0,(特性!J40 * 特性!G40) / 特性!H40,0)</f>
        <v>0</v>
      </c>
    </row>
    <row r="41" spans="1:14" x14ac:dyDescent="0.25">
      <c r="A41" s="25"/>
      <c r="J41" s="18"/>
      <c r="M41" s="35">
        <f t="shared" si="1"/>
        <v>0</v>
      </c>
      <c r="N41" s="17">
        <f>IF(特性!H41&gt;0,(特性!J41 * 特性!G41) / 特性!H41,0)</f>
        <v>0</v>
      </c>
    </row>
    <row r="42" spans="1:14" x14ac:dyDescent="0.25">
      <c r="A42" s="25"/>
      <c r="J42" s="18"/>
      <c r="M42" s="35">
        <f t="shared" si="1"/>
        <v>0</v>
      </c>
      <c r="N42" s="17">
        <f>IF(特性!H42&gt;0,(特性!J42 * 特性!G42) / 特性!H42,0)</f>
        <v>0</v>
      </c>
    </row>
    <row r="43" spans="1:14" x14ac:dyDescent="0.25">
      <c r="A43" s="25"/>
      <c r="J43" s="18"/>
      <c r="M43" s="35">
        <f t="shared" si="1"/>
        <v>0</v>
      </c>
      <c r="N43" s="17">
        <f>IF(特性!H43&gt;0,(特性!J43 * 特性!G43) / 特性!H43,0)</f>
        <v>0</v>
      </c>
    </row>
    <row r="44" spans="1:14" x14ac:dyDescent="0.25">
      <c r="A44" s="25"/>
      <c r="J44" s="18"/>
      <c r="M44" s="35">
        <f t="shared" si="1"/>
        <v>0</v>
      </c>
      <c r="N44" s="17">
        <f>IF(特性!H44&gt;0,(特性!J44 * 特性!G44) / 特性!H44,0)</f>
        <v>0</v>
      </c>
    </row>
    <row r="45" spans="1:14" x14ac:dyDescent="0.25">
      <c r="A45" s="25"/>
      <c r="J45" s="18"/>
      <c r="M45" s="35">
        <f t="shared" si="1"/>
        <v>0</v>
      </c>
      <c r="N45" s="17">
        <f>IF(特性!H45&gt;0,(特性!J45 * 特性!G45) / 特性!H45,0)</f>
        <v>0</v>
      </c>
    </row>
    <row r="46" spans="1:14" x14ac:dyDescent="0.25">
      <c r="A46" s="25"/>
      <c r="J46" s="18"/>
      <c r="M46" s="35">
        <f t="shared" si="1"/>
        <v>0</v>
      </c>
      <c r="N46" s="17">
        <f>IF(特性!H46&gt;0,(特性!J46 * 特性!G46) / 特性!H46,0)</f>
        <v>0</v>
      </c>
    </row>
    <row r="47" spans="1:14" x14ac:dyDescent="0.25">
      <c r="A47" s="25"/>
      <c r="J47" s="18"/>
      <c r="M47" s="35">
        <f t="shared" si="1"/>
        <v>0</v>
      </c>
      <c r="N47" s="17">
        <f>IF(特性!H47&gt;0,(特性!J47 * 特性!G47) / 特性!H47,0)</f>
        <v>0</v>
      </c>
    </row>
    <row r="48" spans="1:14" x14ac:dyDescent="0.25">
      <c r="A48" s="25"/>
      <c r="J48" s="18"/>
      <c r="M48" s="35">
        <f t="shared" si="1"/>
        <v>0</v>
      </c>
      <c r="N48" s="17">
        <f>IF(特性!H48&gt;0,(特性!J48 * 特性!G48) / 特性!H48,0)</f>
        <v>0</v>
      </c>
    </row>
    <row r="49" spans="1:14" x14ac:dyDescent="0.25">
      <c r="A49" s="25"/>
      <c r="J49" s="18"/>
      <c r="M49" s="35">
        <f t="shared" si="1"/>
        <v>0</v>
      </c>
      <c r="N49" s="17">
        <f>IF(特性!H49&gt;0,(特性!J49 * 特性!G49) / 特性!H49,0)</f>
        <v>0</v>
      </c>
    </row>
    <row r="50" spans="1:14" x14ac:dyDescent="0.25">
      <c r="A50" s="25"/>
      <c r="J50" s="18"/>
      <c r="M50" s="35">
        <f t="shared" si="1"/>
        <v>0</v>
      </c>
      <c r="N50" s="17">
        <f>IF(特性!H50&gt;0,(特性!J50 * 特性!G50) / 特性!H50,0)</f>
        <v>0</v>
      </c>
    </row>
    <row r="51" spans="1:14" x14ac:dyDescent="0.25">
      <c r="A51" s="25"/>
      <c r="J51" s="18"/>
      <c r="M51" s="35">
        <f t="shared" si="1"/>
        <v>0</v>
      </c>
      <c r="N51" s="17">
        <f>IF(特性!H51&gt;0,(特性!J51 * 特性!G51) / 特性!H51,0)</f>
        <v>0</v>
      </c>
    </row>
    <row r="52" spans="1:14" x14ac:dyDescent="0.25">
      <c r="A52" s="25"/>
      <c r="J52" s="18"/>
      <c r="M52" s="35">
        <f t="shared" si="1"/>
        <v>0</v>
      </c>
      <c r="N52" s="17">
        <f>IF(特性!H52&gt;0,(特性!J52 * 特性!G52) / 特性!H52,0)</f>
        <v>0</v>
      </c>
    </row>
    <row r="53" spans="1:14" x14ac:dyDescent="0.25">
      <c r="A53" s="25"/>
      <c r="J53" s="18"/>
      <c r="M53" s="35">
        <f t="shared" si="1"/>
        <v>0</v>
      </c>
      <c r="N53" s="17">
        <f>IF(特性!H53&gt;0,(特性!J53 * 特性!G53) / 特性!H53,0)</f>
        <v>0</v>
      </c>
    </row>
    <row r="54" spans="1:14" x14ac:dyDescent="0.25">
      <c r="A54" s="25"/>
      <c r="J54" s="18"/>
      <c r="M54" s="35">
        <f t="shared" si="1"/>
        <v>0</v>
      </c>
      <c r="N54" s="17">
        <f>IF(特性!H54&gt;0,(特性!J54 * 特性!G54) / 特性!H54,0)</f>
        <v>0</v>
      </c>
    </row>
    <row r="55" spans="1:14" x14ac:dyDescent="0.25">
      <c r="A55" s="25"/>
      <c r="J55" s="18"/>
      <c r="M55" s="35">
        <f t="shared" si="1"/>
        <v>0</v>
      </c>
      <c r="N55" s="17">
        <f>IF(特性!H55&gt;0,(特性!J55 * 特性!G55) / 特性!H55,0)</f>
        <v>0</v>
      </c>
    </row>
    <row r="56" spans="1:14" x14ac:dyDescent="0.25">
      <c r="A56" s="25"/>
      <c r="J56" s="18"/>
      <c r="M56" s="35">
        <f t="shared" si="1"/>
        <v>0</v>
      </c>
      <c r="N56" s="17">
        <f>IF(特性!H56&gt;0,(特性!J56 * 特性!G56) / 特性!H56,0)</f>
        <v>0</v>
      </c>
    </row>
    <row r="57" spans="1:14" x14ac:dyDescent="0.25">
      <c r="A57" s="25"/>
      <c r="J57" s="18"/>
      <c r="M57" s="35">
        <f t="shared" si="1"/>
        <v>0</v>
      </c>
      <c r="N57" s="17">
        <f>IF(特性!H57&gt;0,(特性!J57 * 特性!G57) / 特性!H57,0)</f>
        <v>0</v>
      </c>
    </row>
    <row r="58" spans="1:14" x14ac:dyDescent="0.25">
      <c r="A58" s="25"/>
      <c r="J58" s="18"/>
      <c r="M58" s="35">
        <f t="shared" si="1"/>
        <v>0</v>
      </c>
      <c r="N58" s="17">
        <f>IF(特性!H58&gt;0,(特性!J58 * 特性!G58) / 特性!H58,0)</f>
        <v>0</v>
      </c>
    </row>
    <row r="59" spans="1:14" x14ac:dyDescent="0.25">
      <c r="A59" s="25"/>
      <c r="J59" s="18"/>
      <c r="M59" s="35">
        <f t="shared" si="1"/>
        <v>0</v>
      </c>
      <c r="N59" s="17">
        <f>IF(特性!H59&gt;0,(特性!J59 * 特性!G59) / 特性!H59,0)</f>
        <v>0</v>
      </c>
    </row>
    <row r="60" spans="1:14" x14ac:dyDescent="0.25">
      <c r="A60" s="25"/>
      <c r="J60" s="18"/>
      <c r="M60" s="35">
        <f t="shared" si="1"/>
        <v>0</v>
      </c>
      <c r="N60" s="17">
        <f>IF(特性!H60&gt;0,(特性!J60 * 特性!G60) / 特性!H60,0)</f>
        <v>0</v>
      </c>
    </row>
    <row r="61" spans="1:14" x14ac:dyDescent="0.25">
      <c r="A61" s="25"/>
      <c r="J61" s="18"/>
      <c r="M61" s="35">
        <f t="shared" si="1"/>
        <v>0</v>
      </c>
      <c r="N61" s="17">
        <f>IF(特性!H61&gt;0,(特性!J61 * 特性!G61) / 特性!H61,0)</f>
        <v>0</v>
      </c>
    </row>
    <row r="62" spans="1:14" x14ac:dyDescent="0.25">
      <c r="A62" s="25"/>
      <c r="J62" s="18"/>
      <c r="M62" s="35">
        <f t="shared" si="1"/>
        <v>0</v>
      </c>
      <c r="N62" s="17">
        <f>IF(特性!H62&gt;0,(特性!J62 * 特性!G62) / 特性!H62,0)</f>
        <v>0</v>
      </c>
    </row>
    <row r="63" spans="1:14" x14ac:dyDescent="0.25">
      <c r="A63" s="25"/>
      <c r="J63" s="18"/>
      <c r="M63" s="35">
        <f t="shared" si="1"/>
        <v>0</v>
      </c>
      <c r="N63" s="17">
        <f>IF(特性!H63&gt;0,(特性!J63 * 特性!G63) / 特性!H63,0)</f>
        <v>0</v>
      </c>
    </row>
    <row r="64" spans="1:14" x14ac:dyDescent="0.25">
      <c r="A64" s="25"/>
      <c r="J64" s="18"/>
      <c r="M64" s="35">
        <f t="shared" si="1"/>
        <v>0</v>
      </c>
      <c r="N64" s="17">
        <f>IF(特性!H64&gt;0,(特性!J64 * 特性!G64) / 特性!H64,0)</f>
        <v>0</v>
      </c>
    </row>
    <row r="65" spans="1:14" x14ac:dyDescent="0.25">
      <c r="A65" s="25"/>
      <c r="J65" s="18"/>
      <c r="M65" s="35">
        <f t="shared" si="1"/>
        <v>0</v>
      </c>
      <c r="N65" s="17">
        <f>IF(特性!H65&gt;0,(特性!J65 * 特性!G65) / 特性!H65,0)</f>
        <v>0</v>
      </c>
    </row>
    <row r="66" spans="1:14" x14ac:dyDescent="0.25">
      <c r="A66" s="25"/>
      <c r="J66" s="18"/>
      <c r="M66" s="35">
        <f t="shared" si="1"/>
        <v>0</v>
      </c>
      <c r="N66" s="17">
        <f>IF(特性!H66&gt;0,(特性!J66 * 特性!G66) / 特性!H66,0)</f>
        <v>0</v>
      </c>
    </row>
    <row r="67" spans="1:14" x14ac:dyDescent="0.25">
      <c r="A67" s="25"/>
      <c r="J67" s="18"/>
      <c r="M67" s="35">
        <f t="shared" ref="M67:M100" si="2">E67/(SUM(E:E) * 2)*100</f>
        <v>0</v>
      </c>
      <c r="N67" s="17">
        <f>IF(特性!H67&gt;0,(特性!J67 * 特性!G67) / 特性!H67,0)</f>
        <v>0</v>
      </c>
    </row>
    <row r="68" spans="1:14" x14ac:dyDescent="0.25">
      <c r="A68" s="25"/>
      <c r="J68" s="18"/>
      <c r="M68" s="35">
        <f t="shared" si="2"/>
        <v>0</v>
      </c>
      <c r="N68" s="17">
        <f>IF(特性!H68&gt;0,(特性!J68 * 特性!G68) / 特性!H68,0)</f>
        <v>0</v>
      </c>
    </row>
    <row r="69" spans="1:14" x14ac:dyDescent="0.25">
      <c r="A69" s="25"/>
      <c r="J69" s="18"/>
      <c r="M69" s="35">
        <f t="shared" si="2"/>
        <v>0</v>
      </c>
      <c r="N69" s="17">
        <f>IF(特性!H69&gt;0,(特性!J69 * 特性!G69) / 特性!H69,0)</f>
        <v>0</v>
      </c>
    </row>
    <row r="70" spans="1:14" x14ac:dyDescent="0.25">
      <c r="A70" s="25"/>
      <c r="J70" s="18"/>
      <c r="M70" s="35">
        <f t="shared" si="2"/>
        <v>0</v>
      </c>
      <c r="N70" s="17">
        <f>IF(特性!H70&gt;0,(特性!J70 * 特性!G70) / 特性!H70,0)</f>
        <v>0</v>
      </c>
    </row>
    <row r="71" spans="1:14" x14ac:dyDescent="0.25">
      <c r="A71" s="25"/>
      <c r="J71" s="18"/>
      <c r="M71" s="35">
        <f t="shared" si="2"/>
        <v>0</v>
      </c>
      <c r="N71" s="17">
        <f>IF(特性!H71&gt;0,(特性!J71 * 特性!G71) / 特性!H71,0)</f>
        <v>0</v>
      </c>
    </row>
    <row r="72" spans="1:14" x14ac:dyDescent="0.25">
      <c r="A72" s="25"/>
      <c r="J72" s="18"/>
      <c r="M72" s="35">
        <f t="shared" si="2"/>
        <v>0</v>
      </c>
      <c r="N72" s="17">
        <f>IF(特性!H72&gt;0,(特性!J72 * 特性!G72) / 特性!H72,0)</f>
        <v>0</v>
      </c>
    </row>
    <row r="73" spans="1:14" x14ac:dyDescent="0.25">
      <c r="A73" s="25"/>
      <c r="J73" s="18"/>
      <c r="M73" s="35">
        <f t="shared" si="2"/>
        <v>0</v>
      </c>
      <c r="N73" s="17">
        <f>IF(特性!H73&gt;0,(特性!J73 * 特性!G73) / 特性!H73,0)</f>
        <v>0</v>
      </c>
    </row>
    <row r="74" spans="1:14" x14ac:dyDescent="0.25">
      <c r="A74" s="25"/>
      <c r="J74" s="18"/>
      <c r="M74" s="35">
        <f t="shared" si="2"/>
        <v>0</v>
      </c>
      <c r="N74" s="17">
        <f>IF(特性!H74&gt;0,(特性!J74 * 特性!G74) / 特性!H74,0)</f>
        <v>0</v>
      </c>
    </row>
    <row r="75" spans="1:14" x14ac:dyDescent="0.25">
      <c r="A75" s="25"/>
      <c r="J75" s="18"/>
      <c r="M75" s="35">
        <f t="shared" si="2"/>
        <v>0</v>
      </c>
      <c r="N75" s="17">
        <f>IF(特性!H75&gt;0,(特性!J75 * 特性!G75) / 特性!H75,0)</f>
        <v>0</v>
      </c>
    </row>
    <row r="76" spans="1:14" x14ac:dyDescent="0.25">
      <c r="A76" s="25"/>
      <c r="J76" s="18"/>
      <c r="M76" s="35">
        <f t="shared" si="2"/>
        <v>0</v>
      </c>
      <c r="N76" s="17">
        <f>IF(特性!H76&gt;0,(特性!J76 * 特性!G76) / 特性!H76,0)</f>
        <v>0</v>
      </c>
    </row>
    <row r="77" spans="1:14" x14ac:dyDescent="0.25">
      <c r="A77" s="25"/>
      <c r="J77" s="18"/>
      <c r="M77" s="35">
        <f t="shared" si="2"/>
        <v>0</v>
      </c>
      <c r="N77" s="17">
        <f>IF(特性!H77&gt;0,(特性!J77 * 特性!G77) / 特性!H77,0)</f>
        <v>0</v>
      </c>
    </row>
    <row r="78" spans="1:14" x14ac:dyDescent="0.25">
      <c r="A78" s="25"/>
      <c r="J78" s="18"/>
      <c r="M78" s="35">
        <f t="shared" si="2"/>
        <v>0</v>
      </c>
      <c r="N78" s="17">
        <f>IF(特性!H78&gt;0,(特性!J78 * 特性!G78) / 特性!H78,0)</f>
        <v>0</v>
      </c>
    </row>
    <row r="79" spans="1:14" x14ac:dyDescent="0.25">
      <c r="A79" s="25"/>
      <c r="J79" s="18"/>
      <c r="M79" s="35">
        <f t="shared" si="2"/>
        <v>0</v>
      </c>
      <c r="N79" s="17">
        <f>IF(特性!H79&gt;0,(特性!J79 * 特性!G79) / 特性!H79,0)</f>
        <v>0</v>
      </c>
    </row>
    <row r="80" spans="1:14" x14ac:dyDescent="0.25">
      <c r="A80" s="25"/>
      <c r="J80" s="18"/>
      <c r="M80" s="35">
        <f t="shared" si="2"/>
        <v>0</v>
      </c>
      <c r="N80" s="17">
        <f>IF(特性!H80&gt;0,(特性!J80 * 特性!G80) / 特性!H80,0)</f>
        <v>0</v>
      </c>
    </row>
    <row r="81" spans="1:14" x14ac:dyDescent="0.25">
      <c r="A81" s="25"/>
      <c r="J81" s="18"/>
      <c r="M81" s="35">
        <f t="shared" si="2"/>
        <v>0</v>
      </c>
      <c r="N81" s="17">
        <f>IF(特性!H81&gt;0,(特性!J81 * 特性!G81) / 特性!H81,0)</f>
        <v>0</v>
      </c>
    </row>
    <row r="82" spans="1:14" x14ac:dyDescent="0.25">
      <c r="A82" s="25"/>
      <c r="J82" s="18"/>
      <c r="M82" s="35">
        <f t="shared" si="2"/>
        <v>0</v>
      </c>
      <c r="N82" s="17">
        <f>IF(特性!H82&gt;0,(特性!J82 * 特性!G82) / 特性!H82,0)</f>
        <v>0</v>
      </c>
    </row>
    <row r="83" spans="1:14" x14ac:dyDescent="0.25">
      <c r="A83" s="25"/>
      <c r="J83" s="18"/>
      <c r="M83" s="35">
        <f t="shared" si="2"/>
        <v>0</v>
      </c>
      <c r="N83" s="17">
        <f>IF(特性!H83&gt;0,(特性!J83 * 特性!G83) / 特性!H83,0)</f>
        <v>0</v>
      </c>
    </row>
    <row r="84" spans="1:14" x14ac:dyDescent="0.25">
      <c r="A84" s="25"/>
      <c r="J84" s="18"/>
      <c r="M84" s="35">
        <f t="shared" si="2"/>
        <v>0</v>
      </c>
      <c r="N84" s="17">
        <f>IF(特性!H84&gt;0,(特性!J84 * 特性!G84) / 特性!H84,0)</f>
        <v>0</v>
      </c>
    </row>
    <row r="85" spans="1:14" x14ac:dyDescent="0.25">
      <c r="A85" s="25"/>
      <c r="J85" s="18"/>
      <c r="M85" s="35">
        <f t="shared" si="2"/>
        <v>0</v>
      </c>
      <c r="N85" s="17">
        <f>IF(特性!H85&gt;0,(特性!J85 * 特性!G85) / 特性!H85,0)</f>
        <v>0</v>
      </c>
    </row>
    <row r="86" spans="1:14" x14ac:dyDescent="0.25">
      <c r="A86" s="25"/>
      <c r="J86" s="18"/>
      <c r="M86" s="35">
        <f t="shared" si="2"/>
        <v>0</v>
      </c>
      <c r="N86" s="17">
        <f>IF(特性!H86&gt;0,(特性!J86 * 特性!G86) / 特性!H86,0)</f>
        <v>0</v>
      </c>
    </row>
    <row r="87" spans="1:14" x14ac:dyDescent="0.25">
      <c r="A87" s="25"/>
      <c r="J87" s="18"/>
      <c r="M87" s="35">
        <f t="shared" si="2"/>
        <v>0</v>
      </c>
      <c r="N87" s="17">
        <f>IF(特性!H87&gt;0,(特性!J87 * 特性!G87) / 特性!H87,0)</f>
        <v>0</v>
      </c>
    </row>
    <row r="88" spans="1:14" x14ac:dyDescent="0.25">
      <c r="A88" s="25"/>
      <c r="J88" s="18"/>
      <c r="M88" s="35">
        <f t="shared" si="2"/>
        <v>0</v>
      </c>
      <c r="N88" s="17">
        <f>IF(特性!H88&gt;0,(特性!J88 * 特性!G88) / 特性!H88,0)</f>
        <v>0</v>
      </c>
    </row>
    <row r="89" spans="1:14" x14ac:dyDescent="0.25">
      <c r="A89" s="25"/>
      <c r="J89" s="18"/>
      <c r="M89" s="35">
        <f t="shared" si="2"/>
        <v>0</v>
      </c>
      <c r="N89" s="17">
        <f>IF(特性!H89&gt;0,(特性!J89 * 特性!G89) / 特性!H89,0)</f>
        <v>0</v>
      </c>
    </row>
    <row r="90" spans="1:14" x14ac:dyDescent="0.25">
      <c r="A90" s="25"/>
      <c r="J90" s="18"/>
      <c r="M90" s="35">
        <f t="shared" si="2"/>
        <v>0</v>
      </c>
      <c r="N90" s="17">
        <f>IF(特性!H90&gt;0,(特性!J90 * 特性!G90) / 特性!H90,0)</f>
        <v>0</v>
      </c>
    </row>
    <row r="91" spans="1:14" x14ac:dyDescent="0.25">
      <c r="A91" s="25"/>
      <c r="J91" s="18"/>
      <c r="M91" s="35">
        <f t="shared" si="2"/>
        <v>0</v>
      </c>
      <c r="N91" s="17">
        <f>IF(特性!H91&gt;0,(特性!J91 * 特性!G91) / 特性!H91,0)</f>
        <v>0</v>
      </c>
    </row>
    <row r="92" spans="1:14" x14ac:dyDescent="0.25">
      <c r="A92" s="25"/>
      <c r="J92" s="18"/>
      <c r="M92" s="35">
        <f t="shared" si="2"/>
        <v>0</v>
      </c>
      <c r="N92" s="17">
        <f>IF(特性!H92&gt;0,(特性!J92 * 特性!G92) / 特性!H92,0)</f>
        <v>0</v>
      </c>
    </row>
    <row r="93" spans="1:14" x14ac:dyDescent="0.25">
      <c r="A93" s="25"/>
      <c r="J93" s="18"/>
      <c r="M93" s="35">
        <f t="shared" si="2"/>
        <v>0</v>
      </c>
      <c r="N93" s="17">
        <f>IF(特性!H93&gt;0,(特性!J93 * 特性!G93) / 特性!H93,0)</f>
        <v>0</v>
      </c>
    </row>
    <row r="94" spans="1:14" x14ac:dyDescent="0.25">
      <c r="A94" s="25"/>
      <c r="J94" s="18"/>
      <c r="M94" s="35">
        <f t="shared" si="2"/>
        <v>0</v>
      </c>
      <c r="N94" s="17">
        <f>IF(特性!H94&gt;0,(特性!J94 * 特性!G94) / 特性!H94,0)</f>
        <v>0</v>
      </c>
    </row>
    <row r="95" spans="1:14" x14ac:dyDescent="0.25">
      <c r="A95" s="25"/>
      <c r="J95" s="18"/>
      <c r="M95" s="35">
        <f t="shared" si="2"/>
        <v>0</v>
      </c>
      <c r="N95" s="17">
        <f>IF(特性!H95&gt;0,(特性!J95 * 特性!G95) / 特性!H95,0)</f>
        <v>0</v>
      </c>
    </row>
    <row r="96" spans="1:14" x14ac:dyDescent="0.25">
      <c r="A96" s="25"/>
      <c r="J96" s="18"/>
      <c r="M96" s="35">
        <f t="shared" si="2"/>
        <v>0</v>
      </c>
      <c r="N96" s="17">
        <f>IF(特性!H96&gt;0,(特性!J96 * 特性!G96) / 特性!H96,0)</f>
        <v>0</v>
      </c>
    </row>
    <row r="97" spans="1:14" x14ac:dyDescent="0.25">
      <c r="A97" s="21"/>
      <c r="B97" s="26"/>
      <c r="C97" s="26"/>
      <c r="D97" s="26"/>
      <c r="E97" s="26"/>
      <c r="F97" s="26"/>
      <c r="G97" s="26"/>
      <c r="H97" s="26"/>
      <c r="I97" s="26"/>
      <c r="J97" s="20"/>
      <c r="M97" s="35">
        <f t="shared" si="2"/>
        <v>0</v>
      </c>
      <c r="N97" s="17">
        <f>IF(特性!H97&gt;0,(特性!J97 * 特性!G97) / 特性!H97,0)</f>
        <v>0</v>
      </c>
    </row>
    <row r="98" spans="1:14" x14ac:dyDescent="0.25">
      <c r="A98" s="25"/>
      <c r="J98" s="18"/>
      <c r="M98" s="35">
        <f t="shared" si="2"/>
        <v>0</v>
      </c>
      <c r="N98" s="17">
        <f>IF(特性!H98&gt;0,(特性!J98 * 特性!G98) / 特性!H98,0)</f>
        <v>0</v>
      </c>
    </row>
    <row r="99" spans="1:14" x14ac:dyDescent="0.25">
      <c r="A99" s="25"/>
      <c r="J99" s="18"/>
      <c r="M99" s="35">
        <f t="shared" si="2"/>
        <v>0</v>
      </c>
      <c r="N99" s="17">
        <f>IF(特性!H99&gt;0,(特性!J99 * 特性!G99) / 特性!H99,0)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35">
        <f t="shared" si="2"/>
        <v>0</v>
      </c>
      <c r="N100" s="17">
        <f>IF(特性!H100&gt;0,(特性!J100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選項清單!$I$2:$I$10</xm:f>
          </x14:formula1>
          <xm:sqref>I1:I1048576 I1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E9" sqref="E9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49</v>
      </c>
      <c r="B1" s="2" t="s">
        <v>50</v>
      </c>
      <c r="C1" s="2" t="s">
        <v>53</v>
      </c>
      <c r="D1" s="2" t="s">
        <v>51</v>
      </c>
      <c r="E1" s="2" t="s">
        <v>102</v>
      </c>
      <c r="F1" s="2" t="s">
        <v>52</v>
      </c>
      <c r="H1" s="22" t="s">
        <v>54</v>
      </c>
    </row>
    <row r="2" spans="1:8" x14ac:dyDescent="0.25">
      <c r="A2" s="11">
        <v>1</v>
      </c>
      <c r="B2" s="10" t="s">
        <v>57</v>
      </c>
      <c r="C2" s="13">
        <v>1</v>
      </c>
      <c r="D2" s="13">
        <v>6</v>
      </c>
      <c r="E2" s="13">
        <v>0.25</v>
      </c>
      <c r="F2" s="13">
        <v>1</v>
      </c>
      <c r="H2" s="23" t="s">
        <v>59</v>
      </c>
    </row>
    <row r="3" spans="1:8" x14ac:dyDescent="0.25">
      <c r="A3" s="11">
        <v>2</v>
      </c>
      <c r="B3" s="10" t="s">
        <v>57</v>
      </c>
      <c r="C3" s="13">
        <v>99999</v>
      </c>
      <c r="D3" s="13">
        <v>10</v>
      </c>
      <c r="E3" s="13">
        <v>0.25</v>
      </c>
      <c r="F3" s="13">
        <v>2</v>
      </c>
      <c r="H3" s="23" t="s">
        <v>101</v>
      </c>
    </row>
    <row r="4" spans="1:8" x14ac:dyDescent="0.25">
      <c r="A4" s="11">
        <v>3</v>
      </c>
      <c r="B4" s="10" t="s">
        <v>57</v>
      </c>
      <c r="C4" s="13">
        <v>99999</v>
      </c>
      <c r="D4" s="13">
        <v>18</v>
      </c>
      <c r="E4" s="13">
        <v>0.25</v>
      </c>
      <c r="F4" s="13">
        <v>3</v>
      </c>
      <c r="H4" s="23" t="s">
        <v>60</v>
      </c>
    </row>
    <row r="5" spans="1:8" x14ac:dyDescent="0.25">
      <c r="G5" s="33"/>
      <c r="H5" s="10"/>
    </row>
    <row r="6" spans="1:8" x14ac:dyDescent="0.25">
      <c r="G6" s="33"/>
      <c r="H6" s="10"/>
    </row>
    <row r="7" spans="1:8" x14ac:dyDescent="0.25">
      <c r="G7" s="33"/>
      <c r="H7" s="10"/>
    </row>
    <row r="8" spans="1:8" x14ac:dyDescent="0.25">
      <c r="G8" s="33"/>
      <c r="H8" s="10"/>
    </row>
    <row r="9" spans="1:8" x14ac:dyDescent="0.25">
      <c r="G9" s="33"/>
      <c r="H9" s="10"/>
    </row>
    <row r="10" spans="1:8" x14ac:dyDescent="0.25">
      <c r="G10" s="33"/>
      <c r="H10" s="10"/>
    </row>
    <row r="11" spans="1:8" x14ac:dyDescent="0.25">
      <c r="G11" s="33"/>
      <c r="H11" s="10"/>
    </row>
    <row r="12" spans="1:8" x14ac:dyDescent="0.25">
      <c r="G12" s="33"/>
      <c r="H12" s="10"/>
    </row>
    <row r="13" spans="1:8" x14ac:dyDescent="0.25">
      <c r="G13" s="33"/>
      <c r="H13" s="10"/>
    </row>
    <row r="14" spans="1:8" x14ac:dyDescent="0.25">
      <c r="G14" s="33"/>
      <c r="H14" s="10"/>
    </row>
    <row r="15" spans="1:8" x14ac:dyDescent="0.25">
      <c r="G15" s="33"/>
      <c r="H15" s="10"/>
    </row>
    <row r="16" spans="1:8" x14ac:dyDescent="0.25">
      <c r="G16" s="33"/>
      <c r="H16" s="10"/>
    </row>
    <row r="17" spans="1:8" x14ac:dyDescent="0.25">
      <c r="G17" s="33"/>
      <c r="H17" s="10"/>
    </row>
    <row r="18" spans="1:8" x14ac:dyDescent="0.25">
      <c r="G18" s="33"/>
      <c r="H18" s="10"/>
    </row>
    <row r="19" spans="1:8" x14ac:dyDescent="0.25">
      <c r="G19" s="33"/>
      <c r="H19" s="10"/>
    </row>
    <row r="20" spans="1:8" x14ac:dyDescent="0.25">
      <c r="G20" s="33"/>
      <c r="H20" s="10"/>
    </row>
    <row r="21" spans="1:8" x14ac:dyDescent="0.25">
      <c r="G21" s="33"/>
      <c r="H21" s="10"/>
    </row>
    <row r="22" spans="1:8" x14ac:dyDescent="0.25">
      <c r="G22" s="33"/>
      <c r="H22" s="10"/>
    </row>
    <row r="23" spans="1:8" x14ac:dyDescent="0.25">
      <c r="G23" s="33"/>
      <c r="H23" s="10"/>
    </row>
    <row r="24" spans="1:8" x14ac:dyDescent="0.25">
      <c r="G24" s="33"/>
      <c r="H24" s="10"/>
    </row>
    <row r="25" spans="1:8" x14ac:dyDescent="0.25">
      <c r="G25" s="33"/>
      <c r="H25" s="10"/>
    </row>
    <row r="26" spans="1:8" x14ac:dyDescent="0.25">
      <c r="G26" s="33"/>
      <c r="H26" s="10"/>
    </row>
    <row r="27" spans="1:8" x14ac:dyDescent="0.25">
      <c r="G27" s="33"/>
      <c r="H27" s="10"/>
    </row>
    <row r="28" spans="1:8" x14ac:dyDescent="0.25">
      <c r="G28" s="33"/>
      <c r="H28" s="10"/>
    </row>
    <row r="29" spans="1:8" x14ac:dyDescent="0.25">
      <c r="G29" s="33"/>
      <c r="H29" s="10"/>
    </row>
    <row r="30" spans="1:8" x14ac:dyDescent="0.25">
      <c r="G30" s="33"/>
      <c r="H30" s="10"/>
    </row>
    <row r="31" spans="1:8" x14ac:dyDescent="0.25">
      <c r="G31" s="33"/>
      <c r="H31" s="10"/>
    </row>
    <row r="32" spans="1:8" x14ac:dyDescent="0.25">
      <c r="A32" s="27"/>
      <c r="C32" s="28"/>
      <c r="G32" s="33"/>
      <c r="H32" s="10"/>
    </row>
    <row r="33" spans="1:8" x14ac:dyDescent="0.25">
      <c r="A33" s="27"/>
      <c r="C33" s="28"/>
      <c r="G33" s="33"/>
      <c r="H33" s="10"/>
    </row>
    <row r="34" spans="1:8" x14ac:dyDescent="0.25">
      <c r="A34" s="27"/>
      <c r="C34" s="28"/>
      <c r="G34" s="33"/>
      <c r="H34" s="10"/>
    </row>
    <row r="35" spans="1:8" x14ac:dyDescent="0.25">
      <c r="A35" s="27"/>
      <c r="C35" s="28"/>
      <c r="G35" s="33"/>
      <c r="H35" s="10"/>
    </row>
    <row r="36" spans="1:8" x14ac:dyDescent="0.25">
      <c r="A36" s="27"/>
      <c r="C36" s="28"/>
      <c r="G36" s="33"/>
      <c r="H36" s="10"/>
    </row>
    <row r="37" spans="1:8" x14ac:dyDescent="0.25">
      <c r="A37" s="27"/>
      <c r="C37" s="28"/>
      <c r="G37" s="33"/>
      <c r="H37" s="10"/>
    </row>
    <row r="38" spans="1:8" x14ac:dyDescent="0.25">
      <c r="A38" s="27"/>
      <c r="C38" s="28"/>
      <c r="G38" s="33"/>
      <c r="H38" s="10"/>
    </row>
    <row r="39" spans="1:8" x14ac:dyDescent="0.25">
      <c r="A39" s="27"/>
      <c r="C39" s="28"/>
      <c r="G39" s="33"/>
      <c r="H39" s="10"/>
    </row>
    <row r="40" spans="1:8" x14ac:dyDescent="0.25">
      <c r="A40" s="27"/>
      <c r="C40" s="28"/>
      <c r="G40" s="33"/>
      <c r="H40" s="10"/>
    </row>
    <row r="41" spans="1:8" x14ac:dyDescent="0.25">
      <c r="A41" s="27"/>
      <c r="C41" s="28"/>
      <c r="G41" s="33"/>
      <c r="H41" s="10"/>
    </row>
    <row r="42" spans="1:8" x14ac:dyDescent="0.25">
      <c r="A42" s="27"/>
      <c r="C42" s="28"/>
      <c r="G42" s="33"/>
      <c r="H42" s="10"/>
    </row>
    <row r="43" spans="1:8" x14ac:dyDescent="0.25">
      <c r="A43" s="27"/>
      <c r="C43" s="28"/>
      <c r="G43" s="33"/>
      <c r="H43" s="10"/>
    </row>
    <row r="44" spans="1:8" x14ac:dyDescent="0.25">
      <c r="A44" s="27"/>
      <c r="C44" s="28"/>
      <c r="G44" s="33"/>
      <c r="H44" s="10"/>
    </row>
    <row r="45" spans="1:8" x14ac:dyDescent="0.25">
      <c r="A45" s="27"/>
      <c r="C45" s="28"/>
      <c r="G45" s="33"/>
      <c r="H45" s="10"/>
    </row>
    <row r="46" spans="1:8" x14ac:dyDescent="0.25">
      <c r="A46" s="27"/>
      <c r="C46" s="28"/>
      <c r="G46" s="33"/>
      <c r="H46" s="10"/>
    </row>
    <row r="47" spans="1:8" x14ac:dyDescent="0.25">
      <c r="A47" s="27"/>
      <c r="C47" s="28"/>
      <c r="G47" s="33"/>
      <c r="H47" s="10"/>
    </row>
    <row r="48" spans="1:8" x14ac:dyDescent="0.25">
      <c r="A48" s="27"/>
      <c r="C48" s="28"/>
      <c r="G48" s="33"/>
      <c r="H48" s="10"/>
    </row>
    <row r="49" spans="1:8" x14ac:dyDescent="0.25">
      <c r="A49" s="27"/>
      <c r="C49" s="28"/>
      <c r="G49" s="33"/>
      <c r="H49" s="10"/>
    </row>
    <row r="50" spans="1:8" x14ac:dyDescent="0.25">
      <c r="A50" s="27"/>
      <c r="C50" s="28"/>
      <c r="G50" s="33"/>
      <c r="H50" s="10"/>
    </row>
    <row r="51" spans="1:8" x14ac:dyDescent="0.25">
      <c r="A51" s="27"/>
      <c r="C51" s="28"/>
      <c r="G51" s="33"/>
      <c r="H51" s="10"/>
    </row>
    <row r="52" spans="1:8" x14ac:dyDescent="0.25">
      <c r="A52" s="27"/>
      <c r="C52" s="28"/>
      <c r="G52" s="33"/>
      <c r="H52" s="10"/>
    </row>
    <row r="53" spans="1:8" x14ac:dyDescent="0.25">
      <c r="A53" s="27"/>
      <c r="C53" s="28"/>
      <c r="G53" s="33"/>
      <c r="H53" s="10"/>
    </row>
    <row r="54" spans="1:8" x14ac:dyDescent="0.25">
      <c r="A54" s="27"/>
      <c r="C54" s="28"/>
      <c r="G54" s="33"/>
      <c r="H54" s="10"/>
    </row>
    <row r="55" spans="1:8" x14ac:dyDescent="0.25">
      <c r="A55" s="27"/>
      <c r="C55" s="28"/>
      <c r="G55" s="33"/>
      <c r="H55" s="10"/>
    </row>
    <row r="56" spans="1:8" x14ac:dyDescent="0.25">
      <c r="A56" s="27"/>
      <c r="C56" s="28"/>
      <c r="G56" s="33"/>
      <c r="H56" s="10"/>
    </row>
    <row r="57" spans="1:8" x14ac:dyDescent="0.25">
      <c r="A57" s="27"/>
      <c r="C57" s="28"/>
      <c r="G57" s="33"/>
      <c r="H57" s="10"/>
    </row>
    <row r="58" spans="1:8" x14ac:dyDescent="0.25">
      <c r="A58" s="27"/>
      <c r="C58" s="28"/>
      <c r="G58" s="33"/>
      <c r="H58" s="10"/>
    </row>
    <row r="59" spans="1:8" x14ac:dyDescent="0.25">
      <c r="A59" s="27"/>
      <c r="C59" s="28"/>
      <c r="G59" s="33"/>
      <c r="H59" s="10"/>
    </row>
    <row r="60" spans="1:8" x14ac:dyDescent="0.25">
      <c r="A60" s="27"/>
      <c r="C60" s="28"/>
      <c r="G60" s="33"/>
      <c r="H60" s="10"/>
    </row>
    <row r="61" spans="1:8" x14ac:dyDescent="0.25">
      <c r="A61" s="27"/>
      <c r="C61" s="28"/>
      <c r="G61" s="33"/>
      <c r="H61" s="10"/>
    </row>
    <row r="62" spans="1:8" x14ac:dyDescent="0.25">
      <c r="A62" s="27"/>
      <c r="C62" s="28"/>
      <c r="G62" s="33"/>
      <c r="H62" s="10"/>
    </row>
    <row r="63" spans="1:8" x14ac:dyDescent="0.25">
      <c r="A63" s="27"/>
      <c r="C63" s="28"/>
      <c r="G63" s="33"/>
      <c r="H63" s="10"/>
    </row>
    <row r="64" spans="1:8" x14ac:dyDescent="0.25">
      <c r="A64" s="27"/>
      <c r="C64" s="28"/>
      <c r="G64" s="33"/>
      <c r="H64" s="10"/>
    </row>
    <row r="65" spans="1:8" x14ac:dyDescent="0.25">
      <c r="A65" s="27"/>
      <c r="C65" s="28"/>
      <c r="G65" s="33"/>
      <c r="H65" s="10"/>
    </row>
    <row r="66" spans="1:8" x14ac:dyDescent="0.25">
      <c r="A66" s="27"/>
      <c r="C66" s="28"/>
      <c r="G66" s="33"/>
      <c r="H66" s="10"/>
    </row>
    <row r="67" spans="1:8" x14ac:dyDescent="0.25">
      <c r="A67" s="27"/>
      <c r="C67" s="28"/>
      <c r="G67" s="33"/>
      <c r="H67" s="10"/>
    </row>
    <row r="68" spans="1:8" x14ac:dyDescent="0.25">
      <c r="A68" s="27"/>
      <c r="C68" s="28"/>
      <c r="G68" s="33"/>
      <c r="H68" s="10"/>
    </row>
    <row r="69" spans="1:8" x14ac:dyDescent="0.25">
      <c r="A69" s="27"/>
      <c r="C69" s="28"/>
      <c r="G69" s="33"/>
      <c r="H69" s="10"/>
    </row>
    <row r="70" spans="1:8" x14ac:dyDescent="0.25">
      <c r="A70" s="27"/>
      <c r="C70" s="28"/>
      <c r="G70" s="33"/>
      <c r="H70" s="10"/>
    </row>
    <row r="71" spans="1:8" x14ac:dyDescent="0.25">
      <c r="A71" s="27"/>
      <c r="C71" s="28"/>
      <c r="G71" s="33"/>
      <c r="H71" s="10"/>
    </row>
    <row r="72" spans="1:8" x14ac:dyDescent="0.25">
      <c r="A72" s="27"/>
      <c r="C72" s="28"/>
      <c r="G72" s="33"/>
      <c r="H72" s="10"/>
    </row>
    <row r="73" spans="1:8" x14ac:dyDescent="0.25">
      <c r="A73" s="27"/>
      <c r="C73" s="28"/>
      <c r="G73" s="33"/>
      <c r="H73" s="10"/>
    </row>
    <row r="74" spans="1:8" x14ac:dyDescent="0.25">
      <c r="A74" s="27"/>
      <c r="C74" s="28"/>
      <c r="G74" s="33"/>
      <c r="H74" s="10"/>
    </row>
    <row r="75" spans="1:8" x14ac:dyDescent="0.25">
      <c r="A75" s="27"/>
      <c r="C75" s="28"/>
      <c r="G75" s="33"/>
      <c r="H75" s="10"/>
    </row>
    <row r="76" spans="1:8" x14ac:dyDescent="0.25">
      <c r="A76" s="27"/>
      <c r="C76" s="28"/>
      <c r="G76" s="33"/>
      <c r="H76" s="10"/>
    </row>
    <row r="77" spans="1:8" x14ac:dyDescent="0.25">
      <c r="A77" s="27"/>
      <c r="C77" s="28"/>
      <c r="G77" s="33"/>
      <c r="H77" s="10"/>
    </row>
    <row r="78" spans="1:8" x14ac:dyDescent="0.25">
      <c r="A78" s="27"/>
      <c r="C78" s="28"/>
      <c r="G78" s="33"/>
      <c r="H78" s="10"/>
    </row>
    <row r="79" spans="1:8" x14ac:dyDescent="0.25">
      <c r="A79" s="27"/>
      <c r="C79" s="28"/>
      <c r="G79" s="33"/>
      <c r="H79" s="10"/>
    </row>
    <row r="80" spans="1:8" x14ac:dyDescent="0.25">
      <c r="A80" s="27"/>
      <c r="C80" s="28"/>
      <c r="G80" s="33"/>
      <c r="H80" s="10"/>
    </row>
    <row r="81" spans="1:8" x14ac:dyDescent="0.25">
      <c r="A81" s="27"/>
      <c r="C81" s="28"/>
      <c r="G81" s="33"/>
      <c r="H81" s="10"/>
    </row>
    <row r="82" spans="1:8" x14ac:dyDescent="0.25">
      <c r="A82" s="27"/>
      <c r="C82" s="28"/>
      <c r="G82" s="33"/>
      <c r="H82" s="10"/>
    </row>
    <row r="83" spans="1:8" x14ac:dyDescent="0.25">
      <c r="A83" s="27"/>
      <c r="C83" s="28"/>
      <c r="G83" s="33"/>
      <c r="H83" s="10"/>
    </row>
    <row r="84" spans="1:8" x14ac:dyDescent="0.25">
      <c r="A84" s="27"/>
      <c r="C84" s="28"/>
      <c r="G84" s="33"/>
      <c r="H84" s="10"/>
    </row>
    <row r="85" spans="1:8" x14ac:dyDescent="0.25">
      <c r="A85" s="27"/>
      <c r="C85" s="28"/>
      <c r="G85" s="33"/>
      <c r="H85" s="10"/>
    </row>
    <row r="86" spans="1:8" x14ac:dyDescent="0.25">
      <c r="A86" s="27"/>
      <c r="C86" s="28"/>
      <c r="G86" s="33"/>
      <c r="H86" s="10"/>
    </row>
    <row r="87" spans="1:8" x14ac:dyDescent="0.25">
      <c r="A87" s="27"/>
      <c r="C87" s="28"/>
      <c r="G87" s="33"/>
      <c r="H87" s="10"/>
    </row>
    <row r="88" spans="1:8" x14ac:dyDescent="0.25">
      <c r="A88" s="27"/>
      <c r="C88" s="28"/>
      <c r="G88" s="33"/>
      <c r="H88" s="10"/>
    </row>
    <row r="89" spans="1:8" x14ac:dyDescent="0.25">
      <c r="A89" s="27"/>
      <c r="C89" s="28"/>
      <c r="G89" s="33"/>
      <c r="H89" s="10"/>
    </row>
    <row r="90" spans="1:8" x14ac:dyDescent="0.25">
      <c r="A90" s="27"/>
      <c r="C90" s="28"/>
      <c r="G90" s="33"/>
      <c r="H90" s="10"/>
    </row>
    <row r="91" spans="1:8" x14ac:dyDescent="0.25">
      <c r="A91" s="27"/>
      <c r="C91" s="28"/>
      <c r="G91" s="33"/>
      <c r="H91" s="10"/>
    </row>
    <row r="92" spans="1:8" x14ac:dyDescent="0.25">
      <c r="A92" s="27"/>
      <c r="C92" s="28"/>
      <c r="G92" s="33"/>
      <c r="H92" s="10"/>
    </row>
    <row r="93" spans="1:8" x14ac:dyDescent="0.25">
      <c r="A93" s="27"/>
      <c r="C93" s="28"/>
      <c r="G93" s="33"/>
      <c r="H93" s="10"/>
    </row>
    <row r="94" spans="1:8" x14ac:dyDescent="0.25">
      <c r="A94" s="27"/>
      <c r="C94" s="28"/>
      <c r="G94" s="33"/>
      <c r="H94" s="10"/>
    </row>
    <row r="95" spans="1:8" x14ac:dyDescent="0.25">
      <c r="A95" s="27"/>
      <c r="C95" s="28"/>
      <c r="G95" s="33"/>
      <c r="H95" s="10"/>
    </row>
    <row r="96" spans="1:8" x14ac:dyDescent="0.25">
      <c r="A96" s="27"/>
      <c r="C96" s="28"/>
      <c r="G96" s="33"/>
      <c r="H96" s="10"/>
    </row>
    <row r="97" spans="1:8" x14ac:dyDescent="0.25">
      <c r="A97" s="27"/>
      <c r="C97" s="28"/>
      <c r="G97" s="33"/>
      <c r="H97" s="10"/>
    </row>
    <row r="98" spans="1:8" x14ac:dyDescent="0.25">
      <c r="A98" s="27"/>
      <c r="C98" s="28"/>
      <c r="G98" s="33"/>
      <c r="H98" s="10"/>
    </row>
    <row r="99" spans="1:8" x14ac:dyDescent="0.25">
      <c r="A99" s="27"/>
      <c r="C99" s="28"/>
      <c r="G99" s="33"/>
      <c r="H99" s="10"/>
    </row>
    <row r="100" spans="1:8" x14ac:dyDescent="0.25">
      <c r="A100" s="29"/>
      <c r="B100" s="30"/>
      <c r="C100" s="32"/>
      <c r="D100" s="31"/>
      <c r="E100" s="31"/>
      <c r="F100" s="31"/>
      <c r="G100" s="33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63</v>
      </c>
      <c r="B1" s="2" t="s">
        <v>72</v>
      </c>
      <c r="C1" s="2" t="s">
        <v>65</v>
      </c>
      <c r="D1" s="2" t="s">
        <v>66</v>
      </c>
    </row>
    <row r="2" spans="1:4" x14ac:dyDescent="0.25">
      <c r="A2" s="3" t="s">
        <v>77</v>
      </c>
      <c r="B2" s="3" t="s">
        <v>67</v>
      </c>
      <c r="C2" s="3" t="s">
        <v>68</v>
      </c>
      <c r="D2" s="3" t="s">
        <v>78</v>
      </c>
    </row>
    <row r="3" spans="1:4" x14ac:dyDescent="0.25">
      <c r="A3" s="3" t="s">
        <v>64</v>
      </c>
      <c r="B3" s="3" t="s">
        <v>67</v>
      </c>
      <c r="C3" s="3" t="s">
        <v>68</v>
      </c>
      <c r="D3" s="3" t="s">
        <v>74</v>
      </c>
    </row>
    <row r="4" spans="1:4" x14ac:dyDescent="0.25">
      <c r="A4" s="3" t="s">
        <v>76</v>
      </c>
      <c r="B4" s="3" t="s">
        <v>71</v>
      </c>
      <c r="C4" s="3" t="s">
        <v>69</v>
      </c>
      <c r="D4" s="3" t="s">
        <v>78</v>
      </c>
    </row>
    <row r="5" spans="1:4" x14ac:dyDescent="0.25">
      <c r="A5" s="3" t="s">
        <v>75</v>
      </c>
      <c r="B5" s="3" t="s">
        <v>70</v>
      </c>
      <c r="C5" s="3" t="s">
        <v>79</v>
      </c>
      <c r="D5" s="3" t="s">
        <v>73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tabSelected="1" workbookViewId="0">
      <selection activeCell="I17" sqref="I17"/>
    </sheetView>
  </sheetViews>
  <sheetFormatPr defaultRowHeight="16.5" x14ac:dyDescent="0.25"/>
  <cols>
    <col min="1" max="1" width="9" style="4" customWidth="1"/>
    <col min="2" max="8" width="9" style="4"/>
    <col min="9" max="9" width="18.375" style="4" bestFit="1" customWidth="1"/>
    <col min="10" max="16384" width="9" style="4"/>
  </cols>
  <sheetData>
    <row r="1" spans="1:12" x14ac:dyDescent="0.25">
      <c r="A1" s="39" t="s">
        <v>10</v>
      </c>
      <c r="B1" s="39"/>
      <c r="C1" s="39" t="s">
        <v>17</v>
      </c>
      <c r="D1" s="39"/>
      <c r="E1" s="39" t="s">
        <v>45</v>
      </c>
      <c r="F1" s="40"/>
      <c r="G1" s="39" t="s">
        <v>42</v>
      </c>
      <c r="H1" s="40"/>
      <c r="I1" s="39" t="s">
        <v>46</v>
      </c>
      <c r="J1" s="40"/>
      <c r="K1" s="39" t="s">
        <v>55</v>
      </c>
      <c r="L1" s="40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56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43</v>
      </c>
      <c r="H3" s="4">
        <v>1</v>
      </c>
      <c r="I3" s="8" t="s">
        <v>142</v>
      </c>
      <c r="J3" s="4">
        <v>1</v>
      </c>
      <c r="K3" s="4" t="s">
        <v>58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44</v>
      </c>
      <c r="H4" s="4">
        <v>2</v>
      </c>
      <c r="I4" s="38" t="s">
        <v>143</v>
      </c>
      <c r="J4" s="4">
        <v>2</v>
      </c>
    </row>
    <row r="5" spans="1:12" x14ac:dyDescent="0.25">
      <c r="E5" s="7" t="s">
        <v>23</v>
      </c>
      <c r="F5" s="4">
        <v>3</v>
      </c>
      <c r="I5" s="38" t="s">
        <v>144</v>
      </c>
      <c r="J5" s="19">
        <v>3</v>
      </c>
    </row>
    <row r="6" spans="1:12" x14ac:dyDescent="0.25">
      <c r="I6" s="8" t="s">
        <v>145</v>
      </c>
      <c r="J6" s="19">
        <v>4</v>
      </c>
    </row>
    <row r="7" spans="1:12" x14ac:dyDescent="0.25">
      <c r="I7" s="8" t="s">
        <v>146</v>
      </c>
      <c r="J7" s="19">
        <v>5</v>
      </c>
    </row>
    <row r="8" spans="1:12" x14ac:dyDescent="0.25">
      <c r="I8" s="8" t="s">
        <v>147</v>
      </c>
      <c r="J8" s="19">
        <v>6</v>
      </c>
    </row>
    <row r="9" spans="1:12" x14ac:dyDescent="0.25">
      <c r="I9" s="38" t="s">
        <v>148</v>
      </c>
      <c r="J9" s="19">
        <v>7</v>
      </c>
    </row>
    <row r="10" spans="1:12" x14ac:dyDescent="0.25">
      <c r="I10" s="38" t="s">
        <v>149</v>
      </c>
      <c r="J10" s="19">
        <v>8</v>
      </c>
    </row>
    <row r="11" spans="1:12" x14ac:dyDescent="0.25">
      <c r="J11" s="19"/>
    </row>
    <row r="12" spans="1:12" x14ac:dyDescent="0.25">
      <c r="J12" s="19"/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  <row r="31" spans="1:3" x14ac:dyDescent="0.25">
      <c r="A31" t="str">
        <f>ToResult(語言列表!A31)</f>
        <v/>
      </c>
      <c r="B31" t="str">
        <f>ToResult(語言列表!B31)</f>
        <v/>
      </c>
      <c r="C31" t="str">
        <f>ToResult(語言列表!C31)</f>
        <v/>
      </c>
    </row>
    <row r="32" spans="1:3" x14ac:dyDescent="0.25">
      <c r="A32" t="str">
        <f>ToResult(語言列表!A32)</f>
        <v/>
      </c>
      <c r="B32" t="str">
        <f>ToResult(語言列表!B32)</f>
        <v/>
      </c>
      <c r="C32" t="str">
        <f>ToResult(語言列表!C32)</f>
        <v/>
      </c>
    </row>
    <row r="33" spans="1:3" x14ac:dyDescent="0.25">
      <c r="A33" t="str">
        <f>ToResult(語言列表!A33)</f>
        <v/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/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/>
      </c>
      <c r="B35" t="str">
        <f>ToResult(語言列表!B35)</f>
        <v/>
      </c>
      <c r="C35" t="str">
        <f>ToResult(語言列表!C35)</f>
        <v/>
      </c>
    </row>
    <row r="36" spans="1:3" x14ac:dyDescent="0.25">
      <c r="A36" t="str">
        <f>ToResult(語言列表!A36)</f>
        <v/>
      </c>
      <c r="B36" t="str">
        <f>ToResult(語言列表!B36)</f>
        <v/>
      </c>
      <c r="C36" t="str">
        <f>ToResult(語言列表!C36)</f>
        <v/>
      </c>
    </row>
    <row r="37" spans="1:3" x14ac:dyDescent="0.25">
      <c r="A37" t="str">
        <f>ToResult(語言列表!A37)</f>
        <v/>
      </c>
      <c r="B37" t="str">
        <f>ToResult(語言列表!B37)</f>
        <v/>
      </c>
      <c r="C37" t="str">
        <f>ToResult(語言列表!C37)</f>
        <v/>
      </c>
    </row>
    <row r="38" spans="1:3" x14ac:dyDescent="0.25">
      <c r="A38" t="str">
        <f>ToResult(語言列表!A38)</f>
        <v/>
      </c>
      <c r="B38" t="str">
        <f>ToResult(語言列表!B38)</f>
        <v/>
      </c>
      <c r="C38" t="str">
        <f>ToResult(語言列表!C38)</f>
        <v/>
      </c>
    </row>
    <row r="39" spans="1:3" x14ac:dyDescent="0.25">
      <c r="A39" t="str">
        <f>ToResult(語言列表!A39)</f>
        <v/>
      </c>
      <c r="B39" t="str">
        <f>ToResult(語言列表!B39)</f>
        <v/>
      </c>
      <c r="C39" t="str">
        <f>ToResult(語言列表!C39)</f>
        <v/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I2" sqref="I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34" t="str">
        <f>特性!B1</f>
        <v>StrID</v>
      </c>
      <c r="C1" s="34" t="str">
        <f>特性!C1</f>
        <v>Mode</v>
      </c>
      <c r="D1" s="34" t="str">
        <f>特性!D1</f>
        <v>StageID</v>
      </c>
      <c r="E1" s="34" t="str">
        <f>特性!E1</f>
        <v>Gain</v>
      </c>
      <c r="F1" s="34" t="str">
        <f>特性!F1</f>
        <v>Group</v>
      </c>
      <c r="G1" s="34" t="str">
        <f>特性!G1</f>
        <v>Chances</v>
      </c>
      <c r="H1" s="34" t="str">
        <f>特性!H1</f>
        <v>Cooldown</v>
      </c>
      <c r="I1" s="34" t="str">
        <f>特性!I1</f>
        <v>Effect</v>
      </c>
      <c r="J1" s="34" t="str">
        <f>特性!J1</f>
        <v>Value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ToFeatureEffect(特性!I2)</f>
        <v>4</v>
      </c>
      <c r="J2" t="str">
        <f>ToResult(特性!J2)</f>
        <v>10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ToFeatureEffect(特性!I3)</f>
        <v>4</v>
      </c>
      <c r="J3" t="str">
        <f>ToResult(特性!J3)</f>
        <v>20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ToFeatureEffect(特性!I4)</f>
        <v>4</v>
      </c>
      <c r="J4" t="str">
        <f>ToResult(特性!J4)</f>
        <v>-15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ToFeatureEffect(特性!I5)</f>
        <v>4</v>
      </c>
      <c r="J5" t="str">
        <f>ToResult(特性!J5)</f>
        <v>-25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ToFeatureEffect(特性!I6)</f>
        <v>5</v>
      </c>
      <c r="J6" t="str">
        <f>ToResult(特性!J6)</f>
        <v>1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ToFeatureEffect(特性!I7)</f>
        <v>5</v>
      </c>
      <c r="J7" t="str">
        <f>ToResult(特性!J7)</f>
        <v>2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ToFeatureEffect(特性!I8)</f>
        <v>5</v>
      </c>
      <c r="J8" t="str">
        <f>ToResult(特性!J8)</f>
        <v>-1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ToFeatureEffect(特性!I9)</f>
        <v>5</v>
      </c>
      <c r="J9" t="str">
        <f>ToResult(特性!J9)</f>
        <v>-2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ToFeatureEffect(特性!I10)</f>
        <v>1</v>
      </c>
      <c r="J10" t="str">
        <f>ToResult(特性!J10)</f>
        <v>20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ToFeatureEffect(特性!I11)</f>
        <v>1</v>
      </c>
      <c r="J11" t="str">
        <f>ToResult(特性!J11)</f>
        <v>40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ToFeatureEffect(特性!I12)</f>
        <v>9</v>
      </c>
      <c r="J12" t="str">
        <f>ToResult(特性!J12)</f>
        <v>-0.2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2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ToFeatureEffect(特性!I13)</f>
        <v>9</v>
      </c>
      <c r="J13" t="str">
        <f>ToResult(特性!J13)</f>
        <v>-0.1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2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ToFeatureEffect(特性!I14)</f>
        <v>9</v>
      </c>
      <c r="J14" t="str">
        <f>ToResult(特性!J14)</f>
        <v>0.1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ToFeatureEffect(特性!I15)</f>
        <v>9</v>
      </c>
      <c r="J15" t="str">
        <f>ToResult(特性!J15)</f>
        <v>0.2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ToFeatureEffect(特性!I16)</f>
        <v>10</v>
      </c>
      <c r="J16" t="str">
        <f>ToResult(特性!J16)</f>
        <v>1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ToFeatureEffect(特性!I17)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ToFeatureEffect(特性!I18)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ToFeatureEffect(特性!I19)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ToFeatureEffect(特性!I20)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ToFeatureEffect(特性!I21)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ToFeatureEffect(特性!I22)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ToFeatureEffect(特性!I23)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ToFeatureEffect(特性!I24)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ToFeatureEffect(特性!I25)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ToFeatureEffect(特性!I26)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ToFeatureEffect(特性!I27)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ToFeatureEffect(特性!I28)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ToFeatureEffect(特性!I29)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ToFeatureEffect(特性!I30)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ToFeatureEffect(特性!I31)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ToFeatureEffect(特性!I32)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ToFeatureEffect(特性!I33)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ToFeatureEffect(特性!I34)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ToFeatureEffect(特性!I35)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ToFeatureEffect(特性!I36)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ToFeatureEffect(特性!I37)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ToFeatureEffect(特性!I38)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ToFeatureEffect(特性!I39)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ToFeatureEffect(特性!I40)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ToFeatureEffect(特性!I41)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ToFeatureEffect(特性!I42)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ToFeatureEffect(特性!I43)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ToFeatureEffect(特性!I44)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ToFeatureEffect(特性!I45)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ToFeatureEffect(特性!I46)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ToFeatureEffect(特性!I47)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ToFeatureEffect(特性!I48)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ToFeatureEffect(特性!I49)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ToFeatureEffect(特性!I50)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ToFeatureEffect(特性!I51)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ToFeatureEffect(特性!I52)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ToFeatureEffect(特性!I53)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ToFeatureEffect(特性!I54)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ToFeatureEffect(特性!I55)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ToFeatureEffect(特性!I56)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ToFeatureEffect(特性!I57)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ToFeatureEffect(特性!I58)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ToFeatureEffect(特性!I59)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ToFeatureEffect(特性!I60)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ToFeatureEffect(特性!I61)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ToFeatureEffect(特性!I62)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ToFeatureEffect(特性!I63)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ToFeatureEffect(特性!I64)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ToFeatureEffect(特性!I65)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ToFeatureEffect(特性!I66)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ToFeatureEffect(特性!I67)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ToFeatureEffect(特性!I68)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ToFeatureEffect(特性!I69)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ToFeatureEffect(特性!I70)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ToFeatureEffect(特性!I71)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ToFeatureEffect(特性!I72)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ToFeatureEffect(特性!I73)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ToFeatureEffect(特性!I74)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ToFeatureEffect(特性!I75)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ToFeatureEffect(特性!I76)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ToFeatureEffect(特性!I77)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ToFeatureEffect(特性!I78)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ToFeatureEffect(特性!I79)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ToFeatureEffect(特性!I80)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ToFeatureEffect(特性!I81)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ToFeatureEffect(特性!I82)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ToFeatureEffect(特性!I83)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ToFeatureEffect(特性!I84)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ToFeatureEffect(特性!I85)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ToFeatureEffect(特性!I86)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ToFeatureEffect(特性!I87)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ToFeatureEffect(特性!I88)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ToFeatureEffect(特性!I89)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ToFeatureEffect(特性!I90)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ToFeatureEffect(特性!I91)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ToFeatureEffect(特性!I92)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ToFeatureEffect(特性!I93)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ToFeatureEffect(特性!I94)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ToFeatureEffect(特性!I95)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ToFeatureEffect(特性!I96)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ToFeatureEffect(特性!I97)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ToFeatureEffect(特性!I98)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ToFeatureEffect(特性!I99)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ToFeatureEffect(特性!I100)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4" sqref="F4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34" t="str">
        <f>怪物!B1</f>
        <v>Mode</v>
      </c>
      <c r="C1" s="34" t="str">
        <f>怪物!C1</f>
        <v>StageID</v>
      </c>
      <c r="D1" s="34" t="str">
        <f>怪物!D1</f>
        <v>HP</v>
      </c>
      <c r="E1" s="34" t="str">
        <f>怪物!E1</f>
        <v>MoveSpeed</v>
      </c>
      <c r="F1" s="34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0.25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10</v>
      </c>
      <c r="E3" t="str">
        <f>ToResult(怪物!E3)</f>
        <v>0.25</v>
      </c>
      <c r="F3" t="str">
        <f>ToResult(怪物!F3)</f>
        <v>2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18</v>
      </c>
      <c r="E4" t="str">
        <f>ToResult(怪物!E4)</f>
        <v>0.25</v>
      </c>
      <c r="F4" t="str">
        <f>ToResult(怪物!F4)</f>
        <v>3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2015-04-11T04:05:42Z</dcterms:modified>
</cp:coreProperties>
</file>