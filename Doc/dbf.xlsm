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D3" i="10"/>
  <c r="G12" i="10"/>
  <c r="G16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G9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D5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0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F2" i="10"/>
  <c r="C16" i="10"/>
  <c r="C6" i="10"/>
  <c r="C13" i="10"/>
  <c r="G3" i="10"/>
  <c r="G7" i="10"/>
  <c r="F12" i="10"/>
  <c r="F16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F5" i="10"/>
  <c r="F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6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F11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F7" i="10"/>
  <c r="F1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C7" i="10"/>
  <c r="C15" i="10"/>
  <c r="C9" i="10"/>
  <c r="C4" i="10"/>
  <c r="F4" i="10"/>
  <c r="F8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D4" i="10"/>
  <c r="G17" i="10"/>
  <c r="F30" i="10"/>
  <c r="E43" i="10"/>
  <c r="D56" i="10"/>
  <c r="C69" i="10"/>
  <c r="G81" i="10"/>
  <c r="D13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C12" i="10"/>
  <c r="F44" i="10"/>
  <c r="E57" i="10"/>
  <c r="D70" i="10"/>
  <c r="C83" i="10"/>
  <c r="G95" i="10"/>
  <c r="F13" i="10"/>
  <c r="D27" i="10"/>
  <c r="F33" i="10"/>
  <c r="E46" i="10"/>
  <c r="D59" i="10"/>
  <c r="C72" i="10"/>
  <c r="G84" i="10"/>
  <c r="F97" i="10"/>
  <c r="G33" i="10"/>
  <c r="E59" i="10"/>
  <c r="D72" i="10"/>
  <c r="F10" i="10"/>
  <c r="D36" i="10"/>
  <c r="F74" i="10"/>
  <c r="D100" i="10"/>
  <c r="D33" i="10"/>
  <c r="G58" i="10"/>
  <c r="E84" i="10"/>
  <c r="G97" i="10"/>
  <c r="G54" i="10"/>
  <c r="D69" i="10"/>
  <c r="C90" i="10"/>
  <c r="G2" i="10"/>
  <c r="C14" i="10"/>
  <c r="G11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D15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G13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G14" i="10"/>
  <c r="C66" i="10"/>
  <c r="C3" i="10"/>
  <c r="C5" i="10"/>
  <c r="G1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G8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F14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1" i="10"/>
  <c r="C8" i="10"/>
  <c r="D6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F3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E13" i="10"/>
  <c r="E16" i="10"/>
  <c r="E15" i="10"/>
  <c r="E14" i="10"/>
  <c r="E12" i="10"/>
  <c r="D8" i="10"/>
  <c r="D10" i="10"/>
  <c r="D9" i="10"/>
  <c r="D7" i="10"/>
  <c r="D11" i="10"/>
  <c r="E6" i="10"/>
  <c r="E5" i="10"/>
  <c r="E4" i="10"/>
  <c r="E3" i="10"/>
  <c r="E2" i="10"/>
  <c r="E11" i="10"/>
  <c r="E10" i="10"/>
  <c r="E9" i="10"/>
  <c r="E8" i="10"/>
  <c r="E7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D7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D5" i="8"/>
  <c r="G8" i="8"/>
  <c r="H11" i="8"/>
  <c r="G11" i="8"/>
  <c r="F6" i="8"/>
  <c r="A8" i="8"/>
  <c r="C5" i="8"/>
  <c r="D4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D8" i="8"/>
  <c r="C3" i="8"/>
  <c r="F3" i="8"/>
  <c r="A2" i="8"/>
  <c r="D74" i="8"/>
  <c r="E84" i="8"/>
  <c r="B95" i="8"/>
  <c r="E2" i="8"/>
  <c r="F10" i="8"/>
  <c r="G3" i="8"/>
  <c r="C7" i="8"/>
  <c r="B8" i="8"/>
  <c r="E9" i="8"/>
  <c r="D6" i="8"/>
  <c r="B6" i="8"/>
  <c r="I78" i="8"/>
  <c r="J97" i="8"/>
  <c r="B2" i="8"/>
  <c r="I70" i="8"/>
  <c r="H8" i="8"/>
  <c r="I11" i="8"/>
  <c r="H3" i="8"/>
  <c r="G7" i="8"/>
  <c r="E8" i="8"/>
  <c r="E7" i="8"/>
  <c r="E6" i="8"/>
  <c r="E5" i="8"/>
  <c r="E4" i="8"/>
  <c r="E3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<sst xmlns="http://schemas.openxmlformats.org/spreadsheetml/2006/main" count="259" uniqueCount="176">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</sst>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C18" sqref="C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1" sqref="E1:E104857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2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15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8</v>
      </c>
      <c r="P3" s="16">
        <f>IF(裝備!N3&gt;0,裝備!O3/裝備!N3,0)</f>
        <v>2.6666666666666665</v>
      </c>
    </row>
    <row r="4" spans="1:16" x14ac:dyDescent="0.25">
      <c r="A4" s="3">
        <v>6</v>
      </c>
      <c r="B4" s="3">
        <v>1006</v>
      </c>
      <c r="C4" s="3" t="s">
        <v>29</v>
      </c>
      <c r="D4" s="3">
        <v>3</v>
      </c>
      <c r="E4" s="3">
        <v>13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8</v>
      </c>
      <c r="P4" s="16">
        <f>IF(裝備!N4&gt;0,裝備!O4/裝備!N4,0)</f>
        <v>2.2222222222222223</v>
      </c>
    </row>
    <row r="5" spans="1:16" x14ac:dyDescent="0.25">
      <c r="A5" s="3">
        <v>7</v>
      </c>
      <c r="B5" s="3">
        <v>1007</v>
      </c>
      <c r="C5" s="3" t="s">
        <v>29</v>
      </c>
      <c r="D5" s="3">
        <v>5</v>
      </c>
      <c r="E5" s="3">
        <v>11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8</v>
      </c>
      <c r="P5" s="16">
        <f>IF(裝備!N5&gt;0,裝備!O5/裝備!N5,0)</f>
        <v>1.8518518518518516</v>
      </c>
    </row>
    <row r="6" spans="1:16" x14ac:dyDescent="0.25">
      <c r="A6" s="3">
        <v>8</v>
      </c>
      <c r="B6" s="3">
        <v>1008</v>
      </c>
      <c r="C6" s="3" t="s">
        <v>29</v>
      </c>
      <c r="D6" s="3">
        <v>7</v>
      </c>
      <c r="E6" s="3">
        <v>9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8</v>
      </c>
      <c r="P6" s="16">
        <f>IF(裝備!N6&gt;0,裝備!O6/裝備!N6,0)</f>
        <v>1.6</v>
      </c>
    </row>
    <row r="7" spans="1:16" x14ac:dyDescent="0.25">
      <c r="A7" s="3">
        <v>9</v>
      </c>
      <c r="B7" s="3">
        <v>1009</v>
      </c>
      <c r="C7" s="3" t="s">
        <v>29</v>
      </c>
      <c r="D7" s="3">
        <v>9</v>
      </c>
      <c r="E7" s="3">
        <v>7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8</v>
      </c>
      <c r="P7" s="16">
        <f>IF(裝備!N7&gt;0,裝備!O7/裝備!N7,0)</f>
        <v>1.3333333333333333</v>
      </c>
    </row>
    <row r="8" spans="1:16" x14ac:dyDescent="0.25">
      <c r="A8" s="3">
        <v>10</v>
      </c>
      <c r="B8" s="3">
        <v>1010</v>
      </c>
      <c r="C8" s="3" t="s">
        <v>29</v>
      </c>
      <c r="D8" s="3">
        <v>11</v>
      </c>
      <c r="E8" s="3">
        <v>5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8</v>
      </c>
      <c r="P8" s="16">
        <f>IF(裝備!N8&gt;0,裝備!O8/裝備!N8,0)</f>
        <v>1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8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8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8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8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8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8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8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8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8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8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8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8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8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8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8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8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8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8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8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8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8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8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8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8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8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8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8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8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8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8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8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8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8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8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8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8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8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8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8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8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8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8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8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8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8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8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8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8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8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8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8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8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8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8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8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8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8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8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8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8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8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8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8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8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8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8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8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8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8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8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8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8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8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8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8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8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8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8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8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8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8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8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8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8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8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8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8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8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8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8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8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8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I3" sqref="I3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4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3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3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3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3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3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3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3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3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3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3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3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3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3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3"/>
      <c r="N15" s="16">
        <f>IF(特性!H15&gt;0,(特性!I15 * 特性!G15) / 特性!H15,0)</f>
        <v>0</v>
      </c>
    </row>
    <row r="16" spans="1:14" x14ac:dyDescent="0.25">
      <c r="I16" s="17"/>
      <c r="J16" s="33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0" sqref="D20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28"/>
      <c r="K1" s="28"/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0.3</v>
      </c>
      <c r="G2" s="12">
        <v>1</v>
      </c>
      <c r="H2" s="24"/>
      <c r="I2" s="9" t="s">
        <v>124</v>
      </c>
      <c r="J2" s="29"/>
      <c r="K2" s="29"/>
      <c r="L2" s="29"/>
      <c r="M2" s="29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6</v>
      </c>
      <c r="F3" s="12">
        <v>0.3</v>
      </c>
      <c r="G3" s="12">
        <v>1</v>
      </c>
      <c r="H3" s="24"/>
      <c r="I3" s="9" t="s">
        <v>125</v>
      </c>
      <c r="J3" s="29"/>
      <c r="K3" s="29"/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8</v>
      </c>
      <c r="F4" s="12">
        <v>0.3</v>
      </c>
      <c r="G4" s="12">
        <v>1</v>
      </c>
      <c r="H4" s="24"/>
      <c r="I4" s="9" t="s">
        <v>126</v>
      </c>
      <c r="J4" s="29"/>
      <c r="K4" s="29"/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10</v>
      </c>
      <c r="F5" s="12">
        <v>0.3</v>
      </c>
      <c r="G5" s="12">
        <v>1</v>
      </c>
      <c r="H5" s="24"/>
      <c r="I5" s="9" t="s">
        <v>127</v>
      </c>
      <c r="J5" s="30"/>
      <c r="K5" s="31"/>
      <c r="L5" s="29"/>
      <c r="M5" s="29"/>
    </row>
    <row r="6" spans="1:13" x14ac:dyDescent="0.25">
      <c r="A6" s="10">
        <v>5</v>
      </c>
      <c r="B6" s="9" t="s">
        <v>48</v>
      </c>
      <c r="C6" s="12">
        <v>15</v>
      </c>
      <c r="D6" s="12">
        <v>5</v>
      </c>
      <c r="E6" s="12">
        <v>12</v>
      </c>
      <c r="F6" s="12">
        <v>0.3</v>
      </c>
      <c r="G6" s="12">
        <v>1</v>
      </c>
      <c r="H6" s="24"/>
      <c r="I6" s="9" t="s">
        <v>128</v>
      </c>
      <c r="J6" s="32"/>
      <c r="K6" s="31"/>
      <c r="L6" s="29"/>
      <c r="M6" s="29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6</v>
      </c>
      <c r="F7" s="12">
        <v>0.25</v>
      </c>
      <c r="G7" s="12">
        <v>2</v>
      </c>
      <c r="H7" s="24"/>
      <c r="I7" s="9" t="s">
        <v>129</v>
      </c>
      <c r="J7" s="30"/>
      <c r="K7" s="31"/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10</v>
      </c>
      <c r="F8" s="12">
        <v>0.25</v>
      </c>
      <c r="G8" s="12">
        <v>2</v>
      </c>
      <c r="H8" s="24"/>
      <c r="I8" s="9" t="s">
        <v>130</v>
      </c>
      <c r="J8" s="32"/>
      <c r="K8" s="31"/>
      <c r="L8" s="29"/>
      <c r="M8" s="29"/>
    </row>
    <row r="9" spans="1:13" x14ac:dyDescent="0.25">
      <c r="A9" s="10">
        <v>13</v>
      </c>
      <c r="B9" s="9" t="s">
        <v>48</v>
      </c>
      <c r="C9" s="12">
        <v>11</v>
      </c>
      <c r="D9" s="12">
        <v>4</v>
      </c>
      <c r="E9" s="12">
        <v>14</v>
      </c>
      <c r="F9" s="12">
        <v>0.25</v>
      </c>
      <c r="G9" s="12">
        <v>2</v>
      </c>
      <c r="H9" s="24"/>
      <c r="I9" s="9" t="s">
        <v>131</v>
      </c>
      <c r="J9" s="30"/>
      <c r="K9" s="31"/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18</v>
      </c>
      <c r="F10" s="12">
        <v>0.25</v>
      </c>
      <c r="G10" s="12">
        <v>2</v>
      </c>
      <c r="H10" s="24"/>
      <c r="I10" s="9" t="s">
        <v>132</v>
      </c>
      <c r="J10" s="32"/>
      <c r="K10" s="31"/>
      <c r="L10" s="29"/>
      <c r="M10" s="29"/>
    </row>
    <row r="11" spans="1:13" x14ac:dyDescent="0.25">
      <c r="A11" s="10">
        <v>15</v>
      </c>
      <c r="B11" s="9" t="s">
        <v>48</v>
      </c>
      <c r="C11" s="12">
        <v>21</v>
      </c>
      <c r="D11" s="12">
        <v>6</v>
      </c>
      <c r="E11" s="12">
        <v>22</v>
      </c>
      <c r="F11" s="12">
        <v>0.25</v>
      </c>
      <c r="G11" s="12">
        <v>2</v>
      </c>
      <c r="H11" s="24"/>
      <c r="I11" s="9" t="s">
        <v>133</v>
      </c>
      <c r="J11" s="29"/>
      <c r="K11" s="29"/>
      <c r="L11" s="29"/>
      <c r="M11" s="29"/>
    </row>
    <row r="12" spans="1:13" x14ac:dyDescent="0.25">
      <c r="A12" s="10">
        <v>21</v>
      </c>
      <c r="B12" s="9" t="s">
        <v>48</v>
      </c>
      <c r="C12" s="12">
        <v>4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134</v>
      </c>
      <c r="J12" s="29"/>
      <c r="K12" s="29"/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135</v>
      </c>
    </row>
    <row r="14" spans="1:13" x14ac:dyDescent="0.25">
      <c r="A14" s="10">
        <v>23</v>
      </c>
      <c r="B14" s="9" t="s">
        <v>48</v>
      </c>
      <c r="C14" s="12">
        <v>13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136</v>
      </c>
    </row>
    <row r="15" spans="1:13" x14ac:dyDescent="0.25">
      <c r="A15" s="10">
        <v>24</v>
      </c>
      <c r="B15" s="9" t="s">
        <v>48</v>
      </c>
      <c r="C15" s="12">
        <v>19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137</v>
      </c>
    </row>
    <row r="16" spans="1:13" x14ac:dyDescent="0.25">
      <c r="A16" s="10">
        <v>25</v>
      </c>
      <c r="B16" s="9" t="s">
        <v>48</v>
      </c>
      <c r="C16" s="12">
        <v>23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138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7" t="s">
        <v>10</v>
      </c>
      <c r="B1" s="37"/>
      <c r="C1" s="37" t="s">
        <v>16</v>
      </c>
      <c r="D1" s="37"/>
      <c r="E1" s="37" t="s">
        <v>38</v>
      </c>
      <c r="F1" s="38"/>
      <c r="G1" s="37" t="s">
        <v>37</v>
      </c>
      <c r="H1" s="38"/>
      <c r="I1" s="37" t="s">
        <v>46</v>
      </c>
      <c r="J1" s="38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2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15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3</v>
      </c>
      <c r="E4" t="str">
        <f>ToResult(裝備!E4)</f>
        <v>13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5</v>
      </c>
      <c r="E5" t="str">
        <f>ToResult(裝備!E5)</f>
        <v>11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7</v>
      </c>
      <c r="E6" t="str">
        <f>ToResult(裝備!E6)</f>
        <v>9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9</v>
      </c>
      <c r="E7" t="str">
        <f>ToResult(裝備!E7)</f>
        <v>7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11</v>
      </c>
      <c r="E8" t="str">
        <f>ToResult(裝備!E8)</f>
        <v>5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5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6" t="str">
        <f>怪物!B1</f>
        <v>Mode</v>
      </c>
      <c r="C1" s="36" t="str">
        <f>怪物!C1</f>
        <v>StageID</v>
      </c>
      <c r="D1" s="36" t="str">
        <f>怪物!D1</f>
        <v>Enegry</v>
      </c>
      <c r="E1" s="36" t="str">
        <f>怪物!E1</f>
        <v>HP</v>
      </c>
      <c r="F1" s="36" t="str">
        <f>怪物!F1</f>
        <v>MoveSpeed</v>
      </c>
      <c r="G1" s="36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6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8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10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15</v>
      </c>
      <c r="D6" t="str">
        <f>ToResult(怪物!D6)</f>
        <v>5</v>
      </c>
      <c r="E6" t="str">
        <f>ToResult(怪物!E6)</f>
        <v>12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10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11</v>
      </c>
      <c r="D9" t="str">
        <f>ToResult(怪物!D9)</f>
        <v>4</v>
      </c>
      <c r="E9" t="str">
        <f>ToResult(怪物!E9)</f>
        <v>14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18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21</v>
      </c>
      <c r="D11" t="str">
        <f>ToResult(怪物!D11)</f>
        <v>6</v>
      </c>
      <c r="E11" t="str">
        <f>ToResult(怪物!E11)</f>
        <v>22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13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19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23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2015-04-21T10:37:59Z</dcterms:modified>
</cp:coreProperties>
</file>