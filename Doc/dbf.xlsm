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project_acg\Doc\"/>
    </mc:Choice>
  </mc:AlternateContent>
  <bookViews>
    <workbookView xWindow="0" yWindow="0" windowWidth="9600" windowHeight="3390" tabRatio="638" firstSheet="1" activeTab="4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成就" sheetId="12" r:id="rId6"/>
    <sheet name="收集" sheetId="14" r:id="rId7"/>
    <sheet name="獎勵" sheetId="16" r:id="rId8"/>
    <sheet name="選項清單" sheetId="5" r:id="rId9"/>
    <sheet name="Language" sheetId="7" r:id="rId10"/>
    <sheet name="Equip" sheetId="8" r:id="rId11"/>
    <sheet name="Feature" sheetId="9" r:id="rId12"/>
    <sheet name="Monster" sheetId="10" r:id="rId13"/>
    <sheet name="Achievement" sheetId="13" r:id="rId14"/>
    <sheet name="Collection" sheetId="15" r:id="rId15"/>
    <sheet name="Reward" sheetId="17" r:id="rId16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13" l="1"/>
  <c r="C13" i="13"/>
  <c r="G13" i="13"/>
  <c r="K13" i="13"/>
  <c r="O13" i="13"/>
  <c r="D14" i="13"/>
  <c r="H14" i="13"/>
  <c r="L14" i="13"/>
  <c r="A15" i="13"/>
  <c r="E15" i="13"/>
  <c r="I15" i="13"/>
  <c r="M15" i="13"/>
  <c r="B16" i="13"/>
  <c r="F16" i="13"/>
  <c r="J16" i="13"/>
  <c r="N16" i="13"/>
  <c r="C17" i="13"/>
  <c r="G17" i="13"/>
  <c r="K17" i="13"/>
  <c r="O17" i="13"/>
  <c r="D18" i="13"/>
  <c r="H18" i="13"/>
  <c r="L18" i="13"/>
  <c r="A19" i="13"/>
  <c r="E19" i="13"/>
  <c r="I19" i="13"/>
  <c r="M19" i="13"/>
  <c r="B20" i="13"/>
  <c r="F20" i="13"/>
  <c r="J20" i="13"/>
  <c r="N20" i="13"/>
  <c r="C21" i="13"/>
  <c r="G21" i="13"/>
  <c r="K21" i="13"/>
  <c r="O21" i="13"/>
  <c r="D22" i="13"/>
  <c r="H22" i="13"/>
  <c r="L22" i="13"/>
  <c r="A23" i="13"/>
  <c r="E23" i="13"/>
  <c r="I23" i="13"/>
  <c r="M23" i="13"/>
  <c r="B24" i="13"/>
  <c r="F24" i="13"/>
  <c r="J24" i="13"/>
  <c r="N24" i="13"/>
  <c r="C25" i="13"/>
  <c r="G25" i="13"/>
  <c r="K25" i="13"/>
  <c r="O25" i="13"/>
  <c r="D26" i="13"/>
  <c r="H26" i="13"/>
  <c r="L26" i="13"/>
  <c r="A27" i="13"/>
  <c r="E27" i="13"/>
  <c r="I27" i="13"/>
  <c r="M27" i="13"/>
  <c r="B28" i="13"/>
  <c r="F28" i="13"/>
  <c r="J28" i="13"/>
  <c r="N28" i="13"/>
  <c r="C29" i="13"/>
  <c r="G29" i="13"/>
  <c r="K29" i="13"/>
  <c r="O29" i="13"/>
  <c r="D30" i="13"/>
  <c r="H30" i="13"/>
  <c r="L30" i="13"/>
  <c r="A31" i="13"/>
  <c r="E31" i="13"/>
  <c r="I31" i="13"/>
  <c r="D13" i="13"/>
  <c r="H13" i="13"/>
  <c r="L13" i="13"/>
  <c r="A14" i="13"/>
  <c r="E14" i="13"/>
  <c r="I14" i="13"/>
  <c r="M14" i="13"/>
  <c r="B15" i="13"/>
  <c r="F15" i="13"/>
  <c r="J15" i="13"/>
  <c r="N15" i="13"/>
  <c r="C16" i="13"/>
  <c r="G16" i="13"/>
  <c r="K16" i="13"/>
  <c r="O16" i="13"/>
  <c r="D17" i="13"/>
  <c r="H17" i="13"/>
  <c r="L17" i="13"/>
  <c r="A18" i="13"/>
  <c r="E18" i="13"/>
  <c r="I18" i="13"/>
  <c r="M18" i="13"/>
  <c r="B19" i="13"/>
  <c r="F19" i="13"/>
  <c r="J19" i="13"/>
  <c r="N19" i="13"/>
  <c r="C20" i="13"/>
  <c r="G20" i="13"/>
  <c r="K20" i="13"/>
  <c r="O20" i="13"/>
  <c r="D21" i="13"/>
  <c r="H21" i="13"/>
  <c r="L21" i="13"/>
  <c r="A22" i="13"/>
  <c r="E22" i="13"/>
  <c r="I22" i="13"/>
  <c r="M22" i="13"/>
  <c r="B23" i="13"/>
  <c r="F23" i="13"/>
  <c r="J23" i="13"/>
  <c r="N23" i="13"/>
  <c r="B13" i="13"/>
  <c r="F13" i="13"/>
  <c r="J13" i="13"/>
  <c r="N13" i="13"/>
  <c r="C14" i="13"/>
  <c r="G14" i="13"/>
  <c r="K14" i="13"/>
  <c r="O14" i="13"/>
  <c r="D15" i="13"/>
  <c r="H15" i="13"/>
  <c r="L15" i="13"/>
  <c r="A16" i="13"/>
  <c r="E16" i="13"/>
  <c r="I16" i="13"/>
  <c r="M16" i="13"/>
  <c r="B17" i="13"/>
  <c r="F17" i="13"/>
  <c r="J17" i="13"/>
  <c r="N17" i="13"/>
  <c r="C18" i="13"/>
  <c r="G18" i="13"/>
  <c r="K18" i="13"/>
  <c r="O18" i="13"/>
  <c r="D19" i="13"/>
  <c r="H19" i="13"/>
  <c r="L19" i="13"/>
  <c r="A20" i="13"/>
  <c r="E20" i="13"/>
  <c r="I20" i="13"/>
  <c r="M20" i="13"/>
  <c r="B21" i="13"/>
  <c r="F21" i="13"/>
  <c r="J21" i="13"/>
  <c r="N21" i="13"/>
  <c r="C22" i="13"/>
  <c r="G22" i="13"/>
  <c r="K22" i="13"/>
  <c r="O22" i="13"/>
  <c r="D23" i="13"/>
  <c r="H23" i="13"/>
  <c r="L23" i="13"/>
  <c r="A24" i="13"/>
  <c r="E24" i="13"/>
  <c r="I24" i="13"/>
  <c r="M24" i="13"/>
  <c r="B25" i="13"/>
  <c r="F25" i="13"/>
  <c r="J25" i="13"/>
  <c r="N25" i="13"/>
  <c r="C26" i="13"/>
  <c r="G26" i="13"/>
  <c r="K26" i="13"/>
  <c r="O26" i="13"/>
  <c r="D27" i="13"/>
  <c r="H27" i="13"/>
  <c r="L27" i="13"/>
  <c r="A28" i="13"/>
  <c r="E28" i="13"/>
  <c r="I28" i="13"/>
  <c r="M28" i="13"/>
  <c r="B29" i="13"/>
  <c r="F29" i="13"/>
  <c r="J29" i="13"/>
  <c r="N29" i="13"/>
  <c r="C30" i="13"/>
  <c r="G30" i="13"/>
  <c r="K30" i="13"/>
  <c r="O30" i="13"/>
  <c r="D31" i="13"/>
  <c r="H31" i="13"/>
  <c r="L31" i="13"/>
  <c r="A32" i="13"/>
  <c r="E32" i="13"/>
  <c r="I32" i="13"/>
  <c r="M32" i="13"/>
  <c r="B33" i="13"/>
  <c r="F33" i="13"/>
  <c r="J33" i="13"/>
  <c r="N33" i="13"/>
  <c r="C34" i="13"/>
  <c r="G34" i="13"/>
  <c r="K34" i="13"/>
  <c r="O34" i="13"/>
  <c r="D35" i="13"/>
  <c r="H35" i="13"/>
  <c r="L35" i="13"/>
  <c r="A36" i="13"/>
  <c r="E36" i="13"/>
  <c r="I36" i="13"/>
  <c r="M36" i="13"/>
  <c r="M13" i="13"/>
  <c r="N14" i="13"/>
  <c r="O15" i="13"/>
  <c r="A17" i="13"/>
  <c r="B18" i="13"/>
  <c r="C19" i="13"/>
  <c r="D20" i="13"/>
  <c r="E21" i="13"/>
  <c r="F22" i="13"/>
  <c r="G23" i="13"/>
  <c r="D24" i="13"/>
  <c r="L24" i="13"/>
  <c r="E25" i="13"/>
  <c r="M25" i="13"/>
  <c r="F26" i="13"/>
  <c r="N26" i="13"/>
  <c r="G27" i="13"/>
  <c r="O27" i="13"/>
  <c r="H28" i="13"/>
  <c r="A29" i="13"/>
  <c r="I29" i="13"/>
  <c r="B30" i="13"/>
  <c r="J30" i="13"/>
  <c r="C31" i="13"/>
  <c r="K31" i="13"/>
  <c r="B32" i="13"/>
  <c r="G32" i="13"/>
  <c r="L32" i="13"/>
  <c r="C33" i="13"/>
  <c r="H33" i="13"/>
  <c r="M33" i="13"/>
  <c r="D34" i="13"/>
  <c r="I34" i="13"/>
  <c r="N34" i="13"/>
  <c r="E35" i="13"/>
  <c r="J35" i="13"/>
  <c r="O35" i="13"/>
  <c r="F36" i="13"/>
  <c r="K36" i="13"/>
  <c r="A37" i="13"/>
  <c r="E37" i="13"/>
  <c r="I37" i="13"/>
  <c r="M37" i="13"/>
  <c r="B38" i="13"/>
  <c r="F38" i="13"/>
  <c r="J38" i="13"/>
  <c r="N38" i="13"/>
  <c r="C39" i="13"/>
  <c r="G39" i="13"/>
  <c r="K39" i="13"/>
  <c r="O39" i="13"/>
  <c r="D40" i="13"/>
  <c r="H40" i="13"/>
  <c r="L40" i="13"/>
  <c r="A41" i="13"/>
  <c r="E41" i="13"/>
  <c r="I41" i="13"/>
  <c r="M41" i="13"/>
  <c r="B42" i="13"/>
  <c r="F42" i="13"/>
  <c r="J42" i="13"/>
  <c r="N42" i="13"/>
  <c r="C43" i="13"/>
  <c r="G43" i="13"/>
  <c r="K43" i="13"/>
  <c r="O43" i="13"/>
  <c r="D44" i="13"/>
  <c r="H44" i="13"/>
  <c r="L44" i="13"/>
  <c r="A45" i="13"/>
  <c r="E45" i="13"/>
  <c r="I45" i="13"/>
  <c r="M45" i="13"/>
  <c r="B46" i="13"/>
  <c r="F46" i="13"/>
  <c r="J46" i="13"/>
  <c r="N46" i="13"/>
  <c r="C47" i="13"/>
  <c r="G47" i="13"/>
  <c r="K47" i="13"/>
  <c r="O47" i="13"/>
  <c r="D48" i="13"/>
  <c r="H48" i="13"/>
  <c r="L48" i="13"/>
  <c r="A49" i="13"/>
  <c r="E49" i="13"/>
  <c r="I49" i="13"/>
  <c r="M49" i="13"/>
  <c r="B50" i="13"/>
  <c r="F50" i="13"/>
  <c r="J50" i="13"/>
  <c r="N50" i="13"/>
  <c r="C51" i="13"/>
  <c r="G51" i="13"/>
  <c r="K51" i="13"/>
  <c r="O51" i="13"/>
  <c r="D52" i="13"/>
  <c r="H52" i="13"/>
  <c r="L52" i="13"/>
  <c r="A53" i="13"/>
  <c r="E53" i="13"/>
  <c r="I53" i="13"/>
  <c r="M53" i="13"/>
  <c r="B54" i="13"/>
  <c r="F54" i="13"/>
  <c r="J54" i="13"/>
  <c r="N54" i="13"/>
  <c r="C55" i="13"/>
  <c r="G55" i="13"/>
  <c r="K55" i="13"/>
  <c r="O55" i="13"/>
  <c r="D56" i="13"/>
  <c r="H56" i="13"/>
  <c r="L56" i="13"/>
  <c r="A57" i="13"/>
  <c r="E57" i="13"/>
  <c r="I57" i="13"/>
  <c r="A13" i="13"/>
  <c r="B14" i="13"/>
  <c r="C15" i="13"/>
  <c r="D16" i="13"/>
  <c r="E17" i="13"/>
  <c r="F18" i="13"/>
  <c r="G19" i="13"/>
  <c r="H20" i="13"/>
  <c r="I21" i="13"/>
  <c r="J22" i="13"/>
  <c r="K23" i="13"/>
  <c r="G24" i="13"/>
  <c r="O24" i="13"/>
  <c r="H25" i="13"/>
  <c r="A26" i="13"/>
  <c r="I26" i="13"/>
  <c r="B27" i="13"/>
  <c r="J27" i="13"/>
  <c r="C28" i="13"/>
  <c r="K28" i="13"/>
  <c r="D29" i="13"/>
  <c r="L29" i="13"/>
  <c r="E30" i="13"/>
  <c r="M30" i="13"/>
  <c r="F31" i="13"/>
  <c r="M31" i="13"/>
  <c r="C32" i="13"/>
  <c r="H32" i="13"/>
  <c r="N32" i="13"/>
  <c r="D33" i="13"/>
  <c r="I33" i="13"/>
  <c r="O33" i="13"/>
  <c r="E34" i="13"/>
  <c r="J34" i="13"/>
  <c r="A35" i="13"/>
  <c r="F35" i="13"/>
  <c r="K35" i="13"/>
  <c r="B36" i="13"/>
  <c r="G36" i="13"/>
  <c r="L36" i="13"/>
  <c r="B37" i="13"/>
  <c r="F37" i="13"/>
  <c r="J37" i="13"/>
  <c r="N37" i="13"/>
  <c r="C38" i="13"/>
  <c r="G38" i="13"/>
  <c r="K38" i="13"/>
  <c r="O38" i="13"/>
  <c r="D39" i="13"/>
  <c r="H39" i="13"/>
  <c r="L39" i="13"/>
  <c r="A40" i="13"/>
  <c r="E40" i="13"/>
  <c r="E13" i="13"/>
  <c r="F14" i="13"/>
  <c r="G15" i="13"/>
  <c r="H16" i="13"/>
  <c r="I17" i="13"/>
  <c r="J18" i="13"/>
  <c r="K19" i="13"/>
  <c r="L20" i="13"/>
  <c r="M21" i="13"/>
  <c r="N22" i="13"/>
  <c r="O23" i="13"/>
  <c r="H24" i="13"/>
  <c r="A25" i="13"/>
  <c r="I25" i="13"/>
  <c r="B26" i="13"/>
  <c r="J26" i="13"/>
  <c r="C27" i="13"/>
  <c r="K27" i="13"/>
  <c r="D28" i="13"/>
  <c r="L28" i="13"/>
  <c r="E29" i="13"/>
  <c r="M29" i="13"/>
  <c r="F30" i="13"/>
  <c r="N30" i="13"/>
  <c r="G31" i="13"/>
  <c r="N31" i="13"/>
  <c r="D32" i="13"/>
  <c r="J32" i="13"/>
  <c r="O32" i="13"/>
  <c r="E33" i="13"/>
  <c r="K33" i="13"/>
  <c r="A34" i="13"/>
  <c r="F34" i="13"/>
  <c r="L34" i="13"/>
  <c r="B35" i="13"/>
  <c r="G35" i="13"/>
  <c r="M35" i="13"/>
  <c r="C36" i="13"/>
  <c r="H36" i="13"/>
  <c r="N36" i="13"/>
  <c r="C37" i="13"/>
  <c r="G37" i="13"/>
  <c r="K37" i="13"/>
  <c r="O37" i="13"/>
  <c r="D38" i="13"/>
  <c r="H38" i="13"/>
  <c r="L38" i="13"/>
  <c r="A39" i="13"/>
  <c r="E39" i="13"/>
  <c r="I39" i="13"/>
  <c r="M39" i="13"/>
  <c r="B40" i="13"/>
  <c r="F40" i="13"/>
  <c r="J40" i="13"/>
  <c r="N40" i="13"/>
  <c r="C41" i="13"/>
  <c r="G41" i="13"/>
  <c r="K41" i="13"/>
  <c r="O41" i="13"/>
  <c r="D42" i="13"/>
  <c r="H42" i="13"/>
  <c r="L42" i="13"/>
  <c r="A43" i="13"/>
  <c r="E43" i="13"/>
  <c r="I43" i="13"/>
  <c r="M43" i="13"/>
  <c r="B44" i="13"/>
  <c r="F44" i="13"/>
  <c r="J44" i="13"/>
  <c r="N44" i="13"/>
  <c r="C45" i="13"/>
  <c r="G45" i="13"/>
  <c r="K45" i="13"/>
  <c r="O45" i="13"/>
  <c r="D46" i="13"/>
  <c r="H46" i="13"/>
  <c r="L46" i="13"/>
  <c r="A47" i="13"/>
  <c r="E47" i="13"/>
  <c r="I47" i="13"/>
  <c r="M47" i="13"/>
  <c r="B48" i="13"/>
  <c r="F48" i="13"/>
  <c r="J48" i="13"/>
  <c r="N48" i="13"/>
  <c r="C49" i="13"/>
  <c r="G49" i="13"/>
  <c r="K49" i="13"/>
  <c r="O49" i="13"/>
  <c r="D50" i="13"/>
  <c r="H50" i="13"/>
  <c r="L50" i="13"/>
  <c r="A51" i="13"/>
  <c r="E51" i="13"/>
  <c r="I51" i="13"/>
  <c r="M51" i="13"/>
  <c r="B52" i="13"/>
  <c r="F52" i="13"/>
  <c r="J52" i="13"/>
  <c r="N52" i="13"/>
  <c r="C53" i="13"/>
  <c r="G53" i="13"/>
  <c r="K53" i="13"/>
  <c r="O53" i="13"/>
  <c r="D54" i="13"/>
  <c r="L16" i="13"/>
  <c r="A21" i="13"/>
  <c r="K24" i="13"/>
  <c r="M26" i="13"/>
  <c r="O28" i="13"/>
  <c r="B31" i="13"/>
  <c r="K32" i="13"/>
  <c r="B34" i="13"/>
  <c r="I35" i="13"/>
  <c r="O36" i="13"/>
  <c r="A38" i="13"/>
  <c r="B39" i="13"/>
  <c r="C40" i="13"/>
  <c r="M40" i="13"/>
  <c r="F41" i="13"/>
  <c r="I13" i="13"/>
  <c r="M17" i="13"/>
  <c r="B22" i="13"/>
  <c r="D25" i="13"/>
  <c r="F27" i="13"/>
  <c r="H29" i="13"/>
  <c r="J31" i="13"/>
  <c r="A33" i="13"/>
  <c r="H34" i="13"/>
  <c r="N35" i="13"/>
  <c r="D37" i="13"/>
  <c r="E38" i="13"/>
  <c r="F39" i="13"/>
  <c r="G40" i="13"/>
  <c r="O40" i="13"/>
  <c r="H41" i="13"/>
  <c r="A42" i="13"/>
  <c r="I42" i="13"/>
  <c r="B43" i="13"/>
  <c r="J43" i="13"/>
  <c r="C44" i="13"/>
  <c r="K44" i="13"/>
  <c r="D45" i="13"/>
  <c r="L45" i="13"/>
  <c r="E46" i="13"/>
  <c r="M46" i="13"/>
  <c r="F47" i="13"/>
  <c r="N47" i="13"/>
  <c r="G48" i="13"/>
  <c r="O48" i="13"/>
  <c r="H49" i="13"/>
  <c r="A50" i="13"/>
  <c r="I50" i="13"/>
  <c r="B51" i="13"/>
  <c r="J51" i="13"/>
  <c r="C52" i="13"/>
  <c r="K52" i="13"/>
  <c r="D53" i="13"/>
  <c r="L53" i="13"/>
  <c r="E54" i="13"/>
  <c r="K54" i="13"/>
  <c r="A55" i="13"/>
  <c r="F55" i="13"/>
  <c r="L55" i="13"/>
  <c r="B56" i="13"/>
  <c r="G56" i="13"/>
  <c r="M56" i="13"/>
  <c r="C57" i="13"/>
  <c r="H57" i="13"/>
  <c r="M57" i="13"/>
  <c r="B58" i="13"/>
  <c r="F58" i="13"/>
  <c r="J58" i="13"/>
  <c r="N58" i="13"/>
  <c r="C59" i="13"/>
  <c r="G59" i="13"/>
  <c r="K59" i="13"/>
  <c r="O59" i="13"/>
  <c r="D60" i="13"/>
  <c r="H60" i="13"/>
  <c r="L60" i="13"/>
  <c r="A61" i="13"/>
  <c r="E61" i="13"/>
  <c r="I61" i="13"/>
  <c r="M61" i="13"/>
  <c r="B62" i="13"/>
  <c r="F62" i="13"/>
  <c r="J62" i="13"/>
  <c r="N62" i="13"/>
  <c r="C63" i="13"/>
  <c r="G63" i="13"/>
  <c r="K63" i="13"/>
  <c r="J14" i="13"/>
  <c r="N18" i="13"/>
  <c r="C23" i="13"/>
  <c r="L25" i="13"/>
  <c r="N27" i="13"/>
  <c r="A30" i="13"/>
  <c r="O31" i="13"/>
  <c r="G33" i="13"/>
  <c r="M34" i="13"/>
  <c r="D36" i="13"/>
  <c r="H37" i="13"/>
  <c r="I38" i="13"/>
  <c r="J39" i="13"/>
  <c r="I40" i="13"/>
  <c r="B41" i="13"/>
  <c r="J41" i="13"/>
  <c r="C42" i="13"/>
  <c r="K42" i="13"/>
  <c r="D43" i="13"/>
  <c r="L43" i="13"/>
  <c r="E44" i="13"/>
  <c r="M44" i="13"/>
  <c r="F45" i="13"/>
  <c r="N45" i="13"/>
  <c r="G46" i="13"/>
  <c r="O46" i="13"/>
  <c r="H47" i="13"/>
  <c r="A48" i="13"/>
  <c r="I48" i="13"/>
  <c r="B49" i="13"/>
  <c r="J49" i="13"/>
  <c r="C50" i="13"/>
  <c r="K50" i="13"/>
  <c r="D51" i="13"/>
  <c r="L51" i="13"/>
  <c r="E52" i="13"/>
  <c r="M52" i="13"/>
  <c r="F53" i="13"/>
  <c r="N53" i="13"/>
  <c r="G54" i="13"/>
  <c r="L54" i="13"/>
  <c r="B55" i="13"/>
  <c r="H55" i="13"/>
  <c r="M55" i="13"/>
  <c r="C56" i="13"/>
  <c r="I56" i="13"/>
  <c r="N56" i="13"/>
  <c r="D57" i="13"/>
  <c r="J57" i="13"/>
  <c r="N57" i="13"/>
  <c r="C58" i="13"/>
  <c r="G58" i="13"/>
  <c r="K58" i="13"/>
  <c r="O58" i="13"/>
  <c r="D59" i="13"/>
  <c r="H59" i="13"/>
  <c r="L59" i="13"/>
  <c r="A60" i="13"/>
  <c r="E60" i="13"/>
  <c r="I60" i="13"/>
  <c r="M60" i="13"/>
  <c r="B61" i="13"/>
  <c r="F61" i="13"/>
  <c r="J61" i="13"/>
  <c r="N61" i="13"/>
  <c r="C62" i="13"/>
  <c r="G62" i="13"/>
  <c r="K62" i="13"/>
  <c r="O62" i="13"/>
  <c r="D63" i="13"/>
  <c r="H63" i="13"/>
  <c r="L63" i="13"/>
  <c r="A64" i="13"/>
  <c r="E64" i="13"/>
  <c r="I64" i="13"/>
  <c r="M64" i="13"/>
  <c r="B65" i="13"/>
  <c r="F65" i="13"/>
  <c r="J65" i="13"/>
  <c r="N65" i="13"/>
  <c r="C66" i="13"/>
  <c r="G66" i="13"/>
  <c r="K66" i="13"/>
  <c r="O66" i="13"/>
  <c r="D67" i="13"/>
  <c r="H67" i="13"/>
  <c r="L67" i="13"/>
  <c r="A68" i="13"/>
  <c r="E68" i="13"/>
  <c r="I68" i="13"/>
  <c r="M68" i="13"/>
  <c r="B69" i="13"/>
  <c r="F69" i="13"/>
  <c r="J69" i="13"/>
  <c r="N69" i="13"/>
  <c r="C70" i="13"/>
  <c r="G70" i="13"/>
  <c r="K70" i="13"/>
  <c r="O70" i="13"/>
  <c r="D71" i="13"/>
  <c r="H71" i="13"/>
  <c r="L71" i="13"/>
  <c r="A72" i="13"/>
  <c r="E72" i="13"/>
  <c r="I72" i="13"/>
  <c r="M72" i="13"/>
  <c r="B73" i="13"/>
  <c r="F73" i="13"/>
  <c r="J73" i="13"/>
  <c r="N73" i="13"/>
  <c r="C74" i="13"/>
  <c r="G74" i="13"/>
  <c r="K74" i="13"/>
  <c r="O74" i="13"/>
  <c r="D75" i="13"/>
  <c r="H75" i="13"/>
  <c r="L75" i="13"/>
  <c r="A76" i="13"/>
  <c r="E76" i="13"/>
  <c r="I76" i="13"/>
  <c r="M76" i="13"/>
  <c r="B77" i="13"/>
  <c r="F77" i="13"/>
  <c r="J77" i="13"/>
  <c r="N77" i="13"/>
  <c r="E26" i="13"/>
  <c r="L33" i="13"/>
  <c r="M38" i="13"/>
  <c r="L41" i="13"/>
  <c r="M42" i="13"/>
  <c r="N43" i="13"/>
  <c r="O44" i="13"/>
  <c r="A46" i="13"/>
  <c r="B47" i="13"/>
  <c r="C48" i="13"/>
  <c r="D49" i="13"/>
  <c r="E50" i="13"/>
  <c r="F51" i="13"/>
  <c r="G52" i="13"/>
  <c r="H53" i="13"/>
  <c r="H54" i="13"/>
  <c r="D55" i="13"/>
  <c r="N55" i="13"/>
  <c r="J56" i="13"/>
  <c r="F57" i="13"/>
  <c r="O57" i="13"/>
  <c r="H58" i="13"/>
  <c r="A59" i="13"/>
  <c r="I59" i="13"/>
  <c r="B60" i="13"/>
  <c r="J60" i="13"/>
  <c r="C61" i="13"/>
  <c r="K61" i="13"/>
  <c r="D62" i="13"/>
  <c r="L62" i="13"/>
  <c r="E63" i="13"/>
  <c r="M63" i="13"/>
  <c r="C64" i="13"/>
  <c r="H64" i="13"/>
  <c r="N64" i="13"/>
  <c r="D65" i="13"/>
  <c r="I65" i="13"/>
  <c r="O65" i="13"/>
  <c r="E66" i="13"/>
  <c r="J66" i="13"/>
  <c r="A67" i="13"/>
  <c r="F67" i="13"/>
  <c r="K67" i="13"/>
  <c r="B68" i="13"/>
  <c r="G68" i="13"/>
  <c r="L68" i="13"/>
  <c r="C69" i="13"/>
  <c r="H69" i="13"/>
  <c r="M69" i="13"/>
  <c r="D70" i="13"/>
  <c r="I70" i="13"/>
  <c r="N70" i="13"/>
  <c r="E71" i="13"/>
  <c r="J71" i="13"/>
  <c r="O71" i="13"/>
  <c r="F72" i="13"/>
  <c r="K72" i="13"/>
  <c r="A73" i="13"/>
  <c r="G73" i="13"/>
  <c r="L73" i="13"/>
  <c r="B74" i="13"/>
  <c r="H74" i="13"/>
  <c r="M74" i="13"/>
  <c r="C75" i="13"/>
  <c r="I75" i="13"/>
  <c r="N75" i="13"/>
  <c r="D76" i="13"/>
  <c r="J76" i="13"/>
  <c r="O76" i="13"/>
  <c r="E77" i="13"/>
  <c r="K77" i="13"/>
  <c r="A78" i="13"/>
  <c r="E78" i="13"/>
  <c r="I78" i="13"/>
  <c r="M78" i="13"/>
  <c r="B79" i="13"/>
  <c r="F79" i="13"/>
  <c r="J79" i="13"/>
  <c r="N79" i="13"/>
  <c r="C80" i="13"/>
  <c r="G80" i="13"/>
  <c r="K80" i="13"/>
  <c r="O80" i="13"/>
  <c r="D81" i="13"/>
  <c r="H81" i="13"/>
  <c r="L81" i="13"/>
  <c r="A82" i="13"/>
  <c r="E82" i="13"/>
  <c r="I82" i="13"/>
  <c r="M82" i="13"/>
  <c r="B83" i="13"/>
  <c r="F83" i="13"/>
  <c r="J83" i="13"/>
  <c r="N83" i="13"/>
  <c r="C84" i="13"/>
  <c r="G84" i="13"/>
  <c r="K84" i="13"/>
  <c r="O84" i="13"/>
  <c r="D85" i="13"/>
  <c r="H85" i="13"/>
  <c r="L85" i="13"/>
  <c r="A86" i="13"/>
  <c r="E86" i="13"/>
  <c r="I86" i="13"/>
  <c r="M86" i="13"/>
  <c r="B87" i="13"/>
  <c r="F87" i="13"/>
  <c r="J87" i="13"/>
  <c r="N87" i="13"/>
  <c r="C88" i="13"/>
  <c r="G88" i="13"/>
  <c r="K88" i="13"/>
  <c r="O88" i="13"/>
  <c r="D89" i="13"/>
  <c r="H89" i="13"/>
  <c r="L89" i="13"/>
  <c r="A90" i="13"/>
  <c r="E90" i="13"/>
  <c r="I90" i="13"/>
  <c r="M90" i="13"/>
  <c r="B91" i="13"/>
  <c r="F91" i="13"/>
  <c r="J91" i="13"/>
  <c r="N91" i="13"/>
  <c r="C92" i="13"/>
  <c r="G92" i="13"/>
  <c r="K15" i="13"/>
  <c r="G28" i="13"/>
  <c r="C35" i="13"/>
  <c r="N39" i="13"/>
  <c r="N41" i="13"/>
  <c r="O42" i="13"/>
  <c r="A44" i="13"/>
  <c r="B45" i="13"/>
  <c r="C46" i="13"/>
  <c r="D47" i="13"/>
  <c r="E48" i="13"/>
  <c r="F49" i="13"/>
  <c r="G50" i="13"/>
  <c r="H51" i="13"/>
  <c r="I52" i="13"/>
  <c r="J53" i="13"/>
  <c r="I54" i="13"/>
  <c r="E55" i="13"/>
  <c r="A56" i="13"/>
  <c r="K56" i="13"/>
  <c r="G57" i="13"/>
  <c r="A58" i="13"/>
  <c r="I58" i="13"/>
  <c r="B59" i="13"/>
  <c r="J59" i="13"/>
  <c r="C60" i="13"/>
  <c r="K60" i="13"/>
  <c r="D61" i="13"/>
  <c r="L61" i="13"/>
  <c r="E62" i="13"/>
  <c r="M62" i="13"/>
  <c r="F63" i="13"/>
  <c r="N63" i="13"/>
  <c r="D64" i="13"/>
  <c r="J64" i="13"/>
  <c r="O64" i="13"/>
  <c r="E65" i="13"/>
  <c r="K65" i="13"/>
  <c r="A66" i="13"/>
  <c r="F66" i="13"/>
  <c r="L66" i="13"/>
  <c r="B67" i="13"/>
  <c r="G67" i="13"/>
  <c r="M67" i="13"/>
  <c r="C68" i="13"/>
  <c r="H68" i="13"/>
  <c r="N68" i="13"/>
  <c r="D69" i="13"/>
  <c r="I69" i="13"/>
  <c r="O69" i="13"/>
  <c r="E70" i="13"/>
  <c r="J70" i="13"/>
  <c r="A71" i="13"/>
  <c r="F71" i="13"/>
  <c r="K71" i="13"/>
  <c r="B72" i="13"/>
  <c r="G72" i="13"/>
  <c r="L72" i="13"/>
  <c r="C73" i="13"/>
  <c r="H73" i="13"/>
  <c r="M73" i="13"/>
  <c r="D74" i="13"/>
  <c r="I74" i="13"/>
  <c r="N74" i="13"/>
  <c r="E75" i="13"/>
  <c r="J75" i="13"/>
  <c r="O75" i="13"/>
  <c r="F76" i="13"/>
  <c r="K76" i="13"/>
  <c r="A77" i="13"/>
  <c r="G77" i="13"/>
  <c r="L77" i="13"/>
  <c r="B78" i="13"/>
  <c r="F78" i="13"/>
  <c r="J78" i="13"/>
  <c r="N78" i="13"/>
  <c r="C79" i="13"/>
  <c r="G79" i="13"/>
  <c r="K79" i="13"/>
  <c r="O79" i="13"/>
  <c r="D80" i="13"/>
  <c r="H80" i="13"/>
  <c r="L80" i="13"/>
  <c r="A81" i="13"/>
  <c r="E81" i="13"/>
  <c r="I81" i="13"/>
  <c r="M81" i="13"/>
  <c r="B82" i="13"/>
  <c r="F82" i="13"/>
  <c r="J82" i="13"/>
  <c r="N82" i="13"/>
  <c r="C83" i="13"/>
  <c r="G83" i="13"/>
  <c r="K83" i="13"/>
  <c r="O83" i="13"/>
  <c r="D84" i="13"/>
  <c r="H84" i="13"/>
  <c r="L84" i="13"/>
  <c r="A85" i="13"/>
  <c r="E85" i="13"/>
  <c r="I85" i="13"/>
  <c r="M85" i="13"/>
  <c r="B86" i="13"/>
  <c r="F86" i="13"/>
  <c r="J86" i="13"/>
  <c r="N86" i="13"/>
  <c r="C87" i="13"/>
  <c r="G87" i="13"/>
  <c r="K87" i="13"/>
  <c r="O87" i="13"/>
  <c r="D88" i="13"/>
  <c r="H88" i="13"/>
  <c r="L88" i="13"/>
  <c r="A89" i="13"/>
  <c r="E89" i="13"/>
  <c r="I89" i="13"/>
  <c r="M89" i="13"/>
  <c r="B90" i="13"/>
  <c r="F90" i="13"/>
  <c r="J90" i="13"/>
  <c r="N90" i="13"/>
  <c r="C91" i="13"/>
  <c r="G91" i="13"/>
  <c r="K91" i="13"/>
  <c r="O91" i="13"/>
  <c r="D92" i="13"/>
  <c r="H92" i="13"/>
  <c r="L92" i="13"/>
  <c r="A93" i="13"/>
  <c r="E93" i="13"/>
  <c r="I93" i="13"/>
  <c r="M93" i="13"/>
  <c r="B94" i="13"/>
  <c r="F94" i="13"/>
  <c r="J94" i="13"/>
  <c r="N94" i="13"/>
  <c r="C95" i="13"/>
  <c r="G95" i="13"/>
  <c r="K95" i="13"/>
  <c r="O95" i="13"/>
  <c r="D96" i="13"/>
  <c r="H96" i="13"/>
  <c r="L96" i="13"/>
  <c r="A97" i="13"/>
  <c r="E97" i="13"/>
  <c r="I97" i="13"/>
  <c r="M97" i="13"/>
  <c r="B98" i="13"/>
  <c r="F98" i="13"/>
  <c r="J98" i="13"/>
  <c r="N98" i="13"/>
  <c r="C99" i="13"/>
  <c r="G99" i="13"/>
  <c r="K99" i="13"/>
  <c r="O99" i="13"/>
  <c r="D100" i="13"/>
  <c r="H100" i="13"/>
  <c r="L100" i="13"/>
  <c r="F85" i="13"/>
  <c r="O86" i="13"/>
  <c r="H87" i="13"/>
  <c r="A88" i="13"/>
  <c r="I88" i="13"/>
  <c r="B89" i="13"/>
  <c r="J89" i="13"/>
  <c r="C90" i="13"/>
  <c r="K90" i="13"/>
  <c r="D91" i="13"/>
  <c r="L91" i="13"/>
  <c r="E92" i="13"/>
  <c r="B93" i="13"/>
  <c r="J93" i="13"/>
  <c r="C94" i="13"/>
  <c r="K94" i="13"/>
  <c r="D95" i="13"/>
  <c r="L95" i="13"/>
  <c r="E96" i="13"/>
  <c r="M96" i="13"/>
  <c r="F97" i="13"/>
  <c r="N97" i="13"/>
  <c r="G98" i="13"/>
  <c r="O98" i="13"/>
  <c r="H99" i="13"/>
  <c r="A100" i="13"/>
  <c r="I100" i="13"/>
  <c r="O19" i="13"/>
  <c r="I30" i="13"/>
  <c r="J36" i="13"/>
  <c r="K40" i="13"/>
  <c r="E42" i="13"/>
  <c r="F43" i="13"/>
  <c r="G44" i="13"/>
  <c r="H45" i="13"/>
  <c r="I46" i="13"/>
  <c r="J47" i="13"/>
  <c r="K48" i="13"/>
  <c r="L49" i="13"/>
  <c r="M50" i="13"/>
  <c r="N51" i="13"/>
  <c r="O52" i="13"/>
  <c r="A54" i="13"/>
  <c r="M54" i="13"/>
  <c r="I55" i="13"/>
  <c r="E56" i="13"/>
  <c r="O56" i="13"/>
  <c r="K57" i="13"/>
  <c r="D58" i="13"/>
  <c r="L58" i="13"/>
  <c r="E59" i="13"/>
  <c r="M59" i="13"/>
  <c r="F60" i="13"/>
  <c r="N60" i="13"/>
  <c r="G61" i="13"/>
  <c r="O61" i="13"/>
  <c r="H62" i="13"/>
  <c r="A63" i="13"/>
  <c r="I63" i="13"/>
  <c r="O63" i="13"/>
  <c r="F64" i="13"/>
  <c r="K64" i="13"/>
  <c r="A65" i="13"/>
  <c r="G65" i="13"/>
  <c r="L65" i="13"/>
  <c r="B66" i="13"/>
  <c r="H66" i="13"/>
  <c r="M66" i="13"/>
  <c r="C67" i="13"/>
  <c r="I67" i="13"/>
  <c r="N67" i="13"/>
  <c r="D68" i="13"/>
  <c r="J68" i="13"/>
  <c r="O68" i="13"/>
  <c r="E69" i="13"/>
  <c r="K69" i="13"/>
  <c r="A70" i="13"/>
  <c r="F70" i="13"/>
  <c r="L70" i="13"/>
  <c r="B71" i="13"/>
  <c r="G71" i="13"/>
  <c r="M71" i="13"/>
  <c r="C72" i="13"/>
  <c r="H72" i="13"/>
  <c r="N72" i="13"/>
  <c r="D73" i="13"/>
  <c r="I73" i="13"/>
  <c r="O73" i="13"/>
  <c r="E74" i="13"/>
  <c r="J74" i="13"/>
  <c r="A75" i="13"/>
  <c r="F75" i="13"/>
  <c r="K75" i="13"/>
  <c r="B76" i="13"/>
  <c r="G76" i="13"/>
  <c r="L76" i="13"/>
  <c r="C77" i="13"/>
  <c r="H77" i="13"/>
  <c r="M77" i="13"/>
  <c r="C78" i="13"/>
  <c r="G78" i="13"/>
  <c r="K78" i="13"/>
  <c r="O78" i="13"/>
  <c r="D79" i="13"/>
  <c r="H79" i="13"/>
  <c r="L79" i="13"/>
  <c r="A80" i="13"/>
  <c r="E80" i="13"/>
  <c r="I80" i="13"/>
  <c r="M80" i="13"/>
  <c r="B81" i="13"/>
  <c r="F81" i="13"/>
  <c r="J81" i="13"/>
  <c r="N81" i="13"/>
  <c r="C82" i="13"/>
  <c r="G82" i="13"/>
  <c r="K82" i="13"/>
  <c r="O82" i="13"/>
  <c r="D83" i="13"/>
  <c r="H83" i="13"/>
  <c r="L83" i="13"/>
  <c r="A84" i="13"/>
  <c r="E84" i="13"/>
  <c r="I84" i="13"/>
  <c r="M84" i="13"/>
  <c r="B85" i="13"/>
  <c r="J85" i="13"/>
  <c r="N85" i="13"/>
  <c r="C86" i="13"/>
  <c r="G86" i="13"/>
  <c r="K86" i="13"/>
  <c r="D87" i="13"/>
  <c r="L87" i="13"/>
  <c r="E88" i="13"/>
  <c r="M88" i="13"/>
  <c r="F89" i="13"/>
  <c r="N89" i="13"/>
  <c r="G90" i="13"/>
  <c r="O90" i="13"/>
  <c r="H91" i="13"/>
  <c r="A92" i="13"/>
  <c r="I92" i="13"/>
  <c r="M92" i="13"/>
  <c r="F93" i="13"/>
  <c r="N93" i="13"/>
  <c r="G94" i="13"/>
  <c r="O94" i="13"/>
  <c r="H95" i="13"/>
  <c r="A96" i="13"/>
  <c r="I96" i="13"/>
  <c r="B97" i="13"/>
  <c r="J97" i="13"/>
  <c r="C98" i="13"/>
  <c r="K98" i="13"/>
  <c r="D99" i="13"/>
  <c r="L99" i="13"/>
  <c r="E100" i="13"/>
  <c r="M100" i="13"/>
  <c r="D41" i="13"/>
  <c r="J45" i="13"/>
  <c r="N49" i="13"/>
  <c r="C54" i="13"/>
  <c r="B57" i="13"/>
  <c r="F59" i="13"/>
  <c r="H61" i="13"/>
  <c r="J63" i="13"/>
  <c r="C65" i="13"/>
  <c r="I66" i="13"/>
  <c r="O67" i="13"/>
  <c r="G69" i="13"/>
  <c r="M70" i="13"/>
  <c r="D72" i="13"/>
  <c r="K73" i="13"/>
  <c r="B75" i="13"/>
  <c r="H76" i="13"/>
  <c r="O77" i="13"/>
  <c r="A79" i="13"/>
  <c r="B80" i="13"/>
  <c r="C81" i="13"/>
  <c r="D82" i="13"/>
  <c r="E83" i="13"/>
  <c r="F84" i="13"/>
  <c r="G85" i="13"/>
  <c r="H86" i="13"/>
  <c r="I87" i="13"/>
  <c r="J88" i="13"/>
  <c r="K89" i="13"/>
  <c r="M91" i="13"/>
  <c r="K92" i="13"/>
  <c r="L93" i="13"/>
  <c r="M94" i="13"/>
  <c r="G96" i="13"/>
  <c r="A98" i="13"/>
  <c r="J99" i="13"/>
  <c r="K97" i="13"/>
  <c r="M99" i="13"/>
  <c r="H43" i="13"/>
  <c r="E58" i="13"/>
  <c r="G64" i="13"/>
  <c r="K68" i="13"/>
  <c r="O72" i="13"/>
  <c r="H78" i="13"/>
  <c r="K81" i="13"/>
  <c r="N84" i="13"/>
  <c r="B88" i="13"/>
  <c r="F92" i="13"/>
  <c r="A94" i="13"/>
  <c r="J95" i="13"/>
  <c r="D97" i="13"/>
  <c r="M98" i="13"/>
  <c r="G100" i="13"/>
  <c r="C24" i="13"/>
  <c r="G42" i="13"/>
  <c r="K46" i="13"/>
  <c r="O50" i="13"/>
  <c r="O54" i="13"/>
  <c r="L57" i="13"/>
  <c r="N59" i="13"/>
  <c r="A62" i="13"/>
  <c r="B64" i="13"/>
  <c r="H65" i="13"/>
  <c r="N66" i="13"/>
  <c r="F68" i="13"/>
  <c r="L69" i="13"/>
  <c r="C71" i="13"/>
  <c r="J72" i="13"/>
  <c r="A74" i="13"/>
  <c r="G75" i="13"/>
  <c r="N76" i="13"/>
  <c r="D78" i="13"/>
  <c r="E79" i="13"/>
  <c r="F80" i="13"/>
  <c r="G81" i="13"/>
  <c r="H82" i="13"/>
  <c r="I83" i="13"/>
  <c r="J84" i="13"/>
  <c r="K85" i="13"/>
  <c r="L86" i="13"/>
  <c r="M87" i="13"/>
  <c r="N88" i="13"/>
  <c r="O89" i="13"/>
  <c r="A91" i="13"/>
  <c r="B92" i="13"/>
  <c r="N92" i="13"/>
  <c r="G93" i="13"/>
  <c r="O93" i="13"/>
  <c r="H94" i="13"/>
  <c r="A95" i="13"/>
  <c r="I95" i="13"/>
  <c r="B96" i="13"/>
  <c r="C97" i="13"/>
  <c r="D98" i="13"/>
  <c r="E99" i="13"/>
  <c r="N100" i="13"/>
  <c r="L47" i="13"/>
  <c r="A52" i="13"/>
  <c r="G60" i="13"/>
  <c r="M65" i="13"/>
  <c r="B70" i="13"/>
  <c r="M75" i="13"/>
  <c r="I79" i="13"/>
  <c r="M83" i="13"/>
  <c r="A87" i="13"/>
  <c r="D90" i="13"/>
  <c r="O92" i="13"/>
  <c r="I94" i="13"/>
  <c r="C96" i="13"/>
  <c r="L97" i="13"/>
  <c r="N99" i="13"/>
  <c r="L37" i="13"/>
  <c r="I44" i="13"/>
  <c r="M48" i="13"/>
  <c r="B53" i="13"/>
  <c r="F56" i="13"/>
  <c r="M58" i="13"/>
  <c r="O60" i="13"/>
  <c r="B63" i="13"/>
  <c r="L64" i="13"/>
  <c r="D66" i="13"/>
  <c r="J67" i="13"/>
  <c r="A69" i="13"/>
  <c r="H70" i="13"/>
  <c r="N71" i="13"/>
  <c r="E73" i="13"/>
  <c r="L74" i="13"/>
  <c r="C76" i="13"/>
  <c r="I77" i="13"/>
  <c r="L78" i="13"/>
  <c r="M79" i="13"/>
  <c r="N80" i="13"/>
  <c r="O81" i="13"/>
  <c r="A83" i="13"/>
  <c r="B84" i="13"/>
  <c r="C85" i="13"/>
  <c r="D86" i="13"/>
  <c r="E87" i="13"/>
  <c r="F88" i="13"/>
  <c r="G89" i="13"/>
  <c r="H90" i="13"/>
  <c r="I91" i="13"/>
  <c r="J92" i="13"/>
  <c r="C93" i="13"/>
  <c r="K93" i="13"/>
  <c r="D94" i="13"/>
  <c r="L94" i="13"/>
  <c r="E95" i="13"/>
  <c r="M95" i="13"/>
  <c r="F96" i="13"/>
  <c r="N96" i="13"/>
  <c r="G97" i="13"/>
  <c r="O97" i="13"/>
  <c r="H98" i="13"/>
  <c r="A99" i="13"/>
  <c r="I99" i="13"/>
  <c r="B100" i="13"/>
  <c r="J100" i="13"/>
  <c r="L90" i="13"/>
  <c r="D93" i="13"/>
  <c r="E94" i="13"/>
  <c r="F95" i="13"/>
  <c r="N95" i="13"/>
  <c r="O96" i="13"/>
  <c r="H97" i="13"/>
  <c r="I98" i="13"/>
  <c r="B99" i="13"/>
  <c r="C100" i="13"/>
  <c r="K100" i="13"/>
  <c r="J96" i="13"/>
  <c r="L98" i="13"/>
  <c r="F100" i="13"/>
  <c r="F32" i="13"/>
  <c r="J55" i="13"/>
  <c r="I62" i="13"/>
  <c r="E67" i="13"/>
  <c r="I71" i="13"/>
  <c r="F74" i="13"/>
  <c r="D77" i="13"/>
  <c r="J80" i="13"/>
  <c r="L82" i="13"/>
  <c r="O85" i="13"/>
  <c r="C89" i="13"/>
  <c r="E91" i="13"/>
  <c r="H93" i="13"/>
  <c r="B95" i="13"/>
  <c r="K96" i="13"/>
  <c r="E98" i="13"/>
  <c r="F99" i="13"/>
  <c r="O100" i="13"/>
  <c r="I12" i="13"/>
  <c r="H12" i="13"/>
  <c r="G12" i="13"/>
  <c r="F12" i="13"/>
  <c r="E12" i="13"/>
  <c r="D12" i="13"/>
  <c r="I11" i="13"/>
  <c r="H11" i="13"/>
  <c r="G11" i="13"/>
  <c r="F11" i="13"/>
  <c r="E11" i="13"/>
  <c r="D11" i="13"/>
  <c r="I10" i="13"/>
  <c r="H10" i="13"/>
  <c r="G10" i="13"/>
  <c r="F10" i="13"/>
  <c r="E10" i="13"/>
  <c r="D10" i="13"/>
  <c r="I9" i="13"/>
  <c r="H9" i="13"/>
  <c r="G9" i="13"/>
  <c r="F9" i="13"/>
  <c r="E9" i="13"/>
  <c r="D9" i="13"/>
  <c r="I8" i="13"/>
  <c r="H8" i="13"/>
  <c r="G8" i="13"/>
  <c r="F8" i="13"/>
  <c r="E8" i="13"/>
  <c r="D8" i="13"/>
  <c r="I7" i="13"/>
  <c r="H7" i="13"/>
  <c r="G7" i="13"/>
  <c r="F7" i="13"/>
  <c r="E7" i="13"/>
  <c r="D7" i="13"/>
  <c r="I6" i="13"/>
  <c r="H6" i="13"/>
  <c r="G6" i="13"/>
  <c r="F6" i="13"/>
  <c r="E6" i="13"/>
  <c r="D6" i="13"/>
  <c r="I5" i="13"/>
  <c r="H5" i="13"/>
  <c r="G5" i="13"/>
  <c r="F5" i="13"/>
  <c r="E5" i="13"/>
  <c r="D5" i="13"/>
  <c r="I4" i="13"/>
  <c r="I3" i="13"/>
  <c r="H4" i="13"/>
  <c r="H3" i="13"/>
  <c r="G3" i="13"/>
  <c r="G4" i="13"/>
  <c r="F4" i="13"/>
  <c r="F3" i="13"/>
  <c r="E4" i="13"/>
  <c r="D4" i="13"/>
  <c r="E3" i="13"/>
  <c r="D3" i="13"/>
  <c r="K5" i="13"/>
  <c r="L6" i="13"/>
  <c r="K9" i="13"/>
  <c r="L10" i="13"/>
  <c r="M6" i="13"/>
  <c r="M10" i="13"/>
  <c r="N5" i="13"/>
  <c r="N9" i="13"/>
  <c r="L12" i="13"/>
  <c r="M9" i="13"/>
  <c r="K3" i="13"/>
  <c r="O7" i="13"/>
  <c r="J4" i="13"/>
  <c r="N10" i="13"/>
  <c r="N4" i="13"/>
  <c r="K6" i="13"/>
  <c r="K10" i="13"/>
  <c r="K7" i="13"/>
  <c r="M5" i="13"/>
  <c r="M3" i="13"/>
  <c r="M7" i="13"/>
  <c r="M11" i="13"/>
  <c r="N3" i="13"/>
  <c r="N7" i="13"/>
  <c r="N11" i="13"/>
  <c r="J5" i="13"/>
  <c r="O6" i="13"/>
  <c r="J9" i="13"/>
  <c r="O10" i="13"/>
  <c r="K11" i="13"/>
  <c r="L8" i="13"/>
  <c r="N6" i="13"/>
  <c r="O3" i="13"/>
  <c r="O5" i="13"/>
  <c r="J8" i="13"/>
  <c r="O9" i="13"/>
  <c r="J12" i="13"/>
  <c r="K4" i="13"/>
  <c r="L5" i="13"/>
  <c r="K8" i="13"/>
  <c r="L9" i="13"/>
  <c r="K12" i="13"/>
  <c r="M4" i="13"/>
  <c r="M8" i="13"/>
  <c r="M12" i="13"/>
  <c r="J6" i="13"/>
  <c r="L4" i="13"/>
  <c r="N8" i="13"/>
  <c r="N12" i="13"/>
  <c r="J3" i="13"/>
  <c r="O4" i="13"/>
  <c r="J7" i="13"/>
  <c r="O8" i="13"/>
  <c r="J11" i="13"/>
  <c r="O12" i="13"/>
  <c r="L3" i="13"/>
  <c r="L7" i="13"/>
  <c r="L11" i="13"/>
  <c r="J10" i="13"/>
  <c r="O11" i="13"/>
  <c r="C12" i="13"/>
  <c r="C11" i="13"/>
  <c r="C10" i="13"/>
  <c r="C9" i="13"/>
  <c r="C8" i="13"/>
  <c r="C7" i="13"/>
  <c r="C6" i="13"/>
  <c r="C5" i="13"/>
  <c r="C4" i="13"/>
  <c r="C3" i="13"/>
  <c r="C2" i="13"/>
  <c r="A12" i="13"/>
  <c r="A11" i="13"/>
  <c r="A10" i="13"/>
  <c r="A9" i="13"/>
  <c r="A8" i="13"/>
  <c r="A7" i="13"/>
  <c r="A6" i="13"/>
  <c r="A5" i="13"/>
  <c r="A4" i="13"/>
  <c r="A3" i="13"/>
  <c r="B54" i="7"/>
  <c r="B60" i="7"/>
  <c r="B55" i="7"/>
  <c r="B57" i="7"/>
  <c r="B61" i="7"/>
  <c r="B58" i="7"/>
  <c r="B59" i="7"/>
  <c r="B56" i="7"/>
  <c r="B69" i="7"/>
  <c r="B63" i="7"/>
  <c r="B65" i="7"/>
  <c r="B67" i="7"/>
  <c r="B68" i="7"/>
  <c r="B66" i="7"/>
  <c r="B64" i="7"/>
  <c r="B72" i="7"/>
  <c r="B75" i="7"/>
  <c r="B74" i="7"/>
  <c r="B71" i="7"/>
  <c r="B76" i="7"/>
  <c r="B73" i="7"/>
  <c r="B70" i="7"/>
  <c r="B62" i="7"/>
  <c r="B3" i="15"/>
  <c r="B5" i="15"/>
  <c r="B7" i="15"/>
  <c r="B9" i="15"/>
  <c r="B11" i="15"/>
  <c r="B13" i="15"/>
  <c r="B15" i="15"/>
  <c r="B17" i="15"/>
  <c r="B19" i="15"/>
  <c r="B21" i="15"/>
  <c r="B23" i="15"/>
  <c r="B25" i="15"/>
  <c r="B27" i="15"/>
  <c r="B29" i="15"/>
  <c r="B31" i="15"/>
  <c r="B33" i="15"/>
  <c r="B35" i="15"/>
  <c r="B37" i="15"/>
  <c r="G4" i="15"/>
  <c r="G6" i="15"/>
  <c r="G8" i="15"/>
  <c r="G10" i="15"/>
  <c r="G12" i="15"/>
  <c r="G14" i="15"/>
  <c r="G16" i="15"/>
  <c r="G18" i="15"/>
  <c r="G20" i="15"/>
  <c r="G22" i="15"/>
  <c r="G24" i="15"/>
  <c r="G26" i="15"/>
  <c r="G28" i="15"/>
  <c r="G30" i="15"/>
  <c r="G32" i="15"/>
  <c r="G34" i="15"/>
  <c r="G36" i="15"/>
  <c r="G38" i="15"/>
  <c r="A10" i="15"/>
  <c r="A18" i="15"/>
  <c r="A26" i="15"/>
  <c r="A34" i="15"/>
  <c r="E40" i="15"/>
  <c r="E42" i="15"/>
  <c r="E44" i="15"/>
  <c r="E46" i="15"/>
  <c r="E48" i="15"/>
  <c r="E50" i="15"/>
  <c r="B4" i="15"/>
  <c r="B12" i="15"/>
  <c r="B20" i="15"/>
  <c r="B28" i="15"/>
  <c r="B36" i="15"/>
  <c r="A40" i="15"/>
  <c r="A42" i="15"/>
  <c r="A44" i="15"/>
  <c r="A46" i="15"/>
  <c r="A48" i="15"/>
  <c r="A50" i="15"/>
  <c r="A52" i="15"/>
  <c r="A54" i="15"/>
  <c r="A56" i="15"/>
  <c r="A58" i="15"/>
  <c r="A60" i="15"/>
  <c r="A62" i="15"/>
  <c r="A64" i="15"/>
  <c r="A66" i="15"/>
  <c r="A68" i="15"/>
  <c r="B10" i="15"/>
  <c r="B18" i="15"/>
  <c r="B26" i="15"/>
  <c r="B34" i="15"/>
  <c r="E39" i="15"/>
  <c r="E41" i="15"/>
  <c r="E43" i="15"/>
  <c r="E45" i="15"/>
  <c r="E47" i="15"/>
  <c r="E49" i="15"/>
  <c r="E51" i="15"/>
  <c r="E53" i="15"/>
  <c r="E55" i="15"/>
  <c r="E57" i="15"/>
  <c r="E59" i="15"/>
  <c r="E61" i="15"/>
  <c r="E63" i="15"/>
  <c r="E65" i="15"/>
  <c r="D17" i="15"/>
  <c r="D40" i="15"/>
  <c r="D48" i="15"/>
  <c r="B53" i="15"/>
  <c r="B57" i="15"/>
  <c r="B61" i="15"/>
  <c r="B65" i="15"/>
  <c r="E68" i="15"/>
  <c r="E70" i="15"/>
  <c r="E72" i="15"/>
  <c r="E74" i="15"/>
  <c r="E76" i="15"/>
  <c r="E78" i="15"/>
  <c r="E80" i="15"/>
  <c r="E82" i="15"/>
  <c r="E84" i="15"/>
  <c r="E86" i="15"/>
  <c r="E88" i="15"/>
  <c r="E90" i="15"/>
  <c r="E92" i="15"/>
  <c r="E94" i="15"/>
  <c r="E96" i="15"/>
  <c r="E98" i="15"/>
  <c r="E100" i="15"/>
  <c r="F3" i="15"/>
  <c r="D4" i="15"/>
  <c r="A7" i="15"/>
  <c r="F9" i="15"/>
  <c r="D12" i="15"/>
  <c r="A15" i="15"/>
  <c r="F17" i="15"/>
  <c r="D20" i="15"/>
  <c r="A23" i="15"/>
  <c r="F25" i="15"/>
  <c r="D28" i="15"/>
  <c r="A31" i="15"/>
  <c r="F33" i="15"/>
  <c r="D36" i="15"/>
  <c r="A39" i="15"/>
  <c r="C5" i="15"/>
  <c r="G7" i="15"/>
  <c r="E10" i="15"/>
  <c r="C13" i="15"/>
  <c r="G15" i="15"/>
  <c r="E18" i="15"/>
  <c r="C21" i="15"/>
  <c r="G23" i="15"/>
  <c r="E26" i="15"/>
  <c r="C29" i="15"/>
  <c r="G31" i="15"/>
  <c r="E34" i="15"/>
  <c r="C37" i="15"/>
  <c r="C6" i="15"/>
  <c r="E9" i="15"/>
  <c r="C14" i="15"/>
  <c r="E17" i="15"/>
  <c r="C22" i="15"/>
  <c r="E25" i="15"/>
  <c r="C30" i="15"/>
  <c r="E33" i="15"/>
  <c r="C38" i="15"/>
  <c r="B14" i="15"/>
  <c r="D23" i="15"/>
  <c r="F32" i="15"/>
  <c r="C43" i="15"/>
  <c r="G45" i="15"/>
  <c r="C51" i="15"/>
  <c r="A8" i="15"/>
  <c r="D21" i="15"/>
  <c r="F30" i="15"/>
  <c r="D39" i="15"/>
  <c r="B42" i="15"/>
  <c r="F44" i="15"/>
  <c r="D47" i="15"/>
  <c r="B50" i="15"/>
  <c r="F52" i="15"/>
  <c r="D55" i="15"/>
  <c r="B58" i="15"/>
  <c r="F60" i="15"/>
  <c r="D63" i="15"/>
  <c r="B66" i="15"/>
  <c r="F4" i="15"/>
  <c r="A14" i="15"/>
  <c r="D27" i="15"/>
  <c r="F36" i="15"/>
  <c r="G40" i="15"/>
  <c r="C46" i="15"/>
  <c r="G48" i="15"/>
  <c r="C54" i="15"/>
  <c r="G56" i="15"/>
  <c r="C62" i="15"/>
  <c r="G64" i="15"/>
  <c r="F26" i="15"/>
  <c r="A43" i="15"/>
  <c r="A53" i="15"/>
  <c r="D58" i="15"/>
  <c r="F63" i="15"/>
  <c r="E67" i="15"/>
  <c r="C73" i="15"/>
  <c r="G75" i="15"/>
  <c r="C81" i="15"/>
  <c r="G83" i="15"/>
  <c r="C89" i="15"/>
  <c r="G91" i="15"/>
  <c r="C97" i="15"/>
  <c r="G99" i="15"/>
  <c r="A28" i="15"/>
  <c r="B45" i="15"/>
  <c r="F67" i="15"/>
  <c r="A70" i="15"/>
  <c r="A72" i="15"/>
  <c r="A74" i="15"/>
  <c r="A76" i="15"/>
  <c r="A78" i="15"/>
  <c r="A80" i="15"/>
  <c r="A82" i="15"/>
  <c r="A84" i="15"/>
  <c r="A86" i="15"/>
  <c r="A88" i="15"/>
  <c r="A90" i="15"/>
  <c r="A92" i="15"/>
  <c r="A94" i="15"/>
  <c r="A96" i="15"/>
  <c r="A98" i="15"/>
  <c r="A100" i="15"/>
  <c r="A20" i="15"/>
  <c r="D44" i="15"/>
  <c r="D52" i="15"/>
  <c r="D56" i="15"/>
  <c r="D60" i="15"/>
  <c r="D64" i="15"/>
  <c r="G67" i="15"/>
  <c r="E79" i="15"/>
  <c r="E83" i="15"/>
  <c r="B49" i="15"/>
  <c r="G66" i="15"/>
  <c r="A73" i="15"/>
  <c r="A81" i="15"/>
  <c r="G88" i="15"/>
  <c r="G92" i="15"/>
  <c r="G96" i="15"/>
  <c r="G100" i="15"/>
  <c r="A12" i="15"/>
  <c r="E60" i="15"/>
  <c r="A71" i="15"/>
  <c r="A79" i="15"/>
  <c r="D86" i="15"/>
  <c r="D90" i="15"/>
  <c r="D94" i="15"/>
  <c r="D98" i="15"/>
  <c r="D42" i="15"/>
  <c r="C63" i="15"/>
  <c r="B73" i="15"/>
  <c r="B81" i="15"/>
  <c r="E85" i="15"/>
  <c r="E89" i="15"/>
  <c r="E93" i="15"/>
  <c r="E97" i="15"/>
  <c r="F43" i="15"/>
  <c r="G61" i="15"/>
  <c r="F73" i="15"/>
  <c r="F81" i="15"/>
  <c r="B87" i="15"/>
  <c r="B91" i="15"/>
  <c r="D96" i="15"/>
  <c r="A5" i="15"/>
  <c r="F7" i="15"/>
  <c r="D10" i="15"/>
  <c r="A13" i="15"/>
  <c r="F15" i="15"/>
  <c r="D18" i="15"/>
  <c r="A21" i="15"/>
  <c r="F23" i="15"/>
  <c r="D26" i="15"/>
  <c r="A29" i="15"/>
  <c r="F31" i="15"/>
  <c r="D34" i="15"/>
  <c r="A37" i="15"/>
  <c r="C3" i="15"/>
  <c r="G5" i="15"/>
  <c r="E8" i="15"/>
  <c r="C11" i="15"/>
  <c r="G13" i="15"/>
  <c r="E16" i="15"/>
  <c r="C19" i="15"/>
  <c r="G21" i="15"/>
  <c r="E24" i="15"/>
  <c r="C27" i="15"/>
  <c r="G29" i="15"/>
  <c r="E32" i="15"/>
  <c r="C35" i="15"/>
  <c r="G37" i="15"/>
  <c r="C4" i="15"/>
  <c r="E7" i="15"/>
  <c r="C12" i="15"/>
  <c r="E15" i="15"/>
  <c r="C20" i="15"/>
  <c r="E23" i="15"/>
  <c r="C28" i="15"/>
  <c r="E31" i="15"/>
  <c r="C36" i="15"/>
  <c r="B6" i="15"/>
  <c r="D15" i="15"/>
  <c r="F24" i="15"/>
  <c r="B38" i="15"/>
  <c r="C41" i="15"/>
  <c r="G43" i="15"/>
  <c r="C49" i="15"/>
  <c r="G51" i="15"/>
  <c r="D13" i="15"/>
  <c r="F22" i="15"/>
  <c r="A32" i="15"/>
  <c r="B40" i="15"/>
  <c r="F42" i="15"/>
  <c r="D45" i="15"/>
  <c r="B48" i="15"/>
  <c r="F50" i="15"/>
  <c r="D53" i="15"/>
  <c r="B56" i="15"/>
  <c r="F58" i="15"/>
  <c r="D61" i="15"/>
  <c r="B64" i="15"/>
  <c r="F66" i="15"/>
  <c r="A6" i="15"/>
  <c r="D19" i="15"/>
  <c r="F28" i="15"/>
  <c r="A38" i="15"/>
  <c r="C44" i="15"/>
  <c r="G46" i="15"/>
  <c r="C52" i="15"/>
  <c r="G54" i="15"/>
  <c r="C60" i="15"/>
  <c r="G62" i="15"/>
  <c r="A36" i="15"/>
  <c r="B47" i="15"/>
  <c r="D54" i="15"/>
  <c r="F59" i="15"/>
  <c r="A65" i="15"/>
  <c r="C71" i="15"/>
  <c r="G73" i="15"/>
  <c r="C79" i="15"/>
  <c r="G81" i="15"/>
  <c r="C87" i="15"/>
  <c r="G89" i="15"/>
  <c r="F5" i="15"/>
  <c r="A11" i="15"/>
  <c r="D16" i="15"/>
  <c r="F21" i="15"/>
  <c r="A27" i="15"/>
  <c r="D32" i="15"/>
  <c r="F37" i="15"/>
  <c r="E6" i="15"/>
  <c r="G11" i="15"/>
  <c r="C17" i="15"/>
  <c r="E22" i="15"/>
  <c r="G27" i="15"/>
  <c r="C33" i="15"/>
  <c r="E38" i="15"/>
  <c r="E13" i="15"/>
  <c r="C18" i="15"/>
  <c r="E29" i="15"/>
  <c r="C34" i="15"/>
  <c r="D7" i="15"/>
  <c r="B30" i="15"/>
  <c r="G41" i="15"/>
  <c r="C47" i="15"/>
  <c r="D5" i="15"/>
  <c r="A24" i="15"/>
  <c r="F40" i="15"/>
  <c r="B46" i="15"/>
  <c r="D51" i="15"/>
  <c r="F56" i="15"/>
  <c r="B62" i="15"/>
  <c r="D67" i="15"/>
  <c r="F20" i="15"/>
  <c r="G44" i="15"/>
  <c r="C50" i="15"/>
  <c r="G60" i="15"/>
  <c r="A4" i="15"/>
  <c r="F49" i="15"/>
  <c r="A61" i="15"/>
  <c r="C69" i="15"/>
  <c r="G79" i="15"/>
  <c r="C85" i="15"/>
  <c r="G93" i="15"/>
  <c r="G97" i="15"/>
  <c r="C78" i="15"/>
  <c r="G82" i="15"/>
  <c r="B32" i="15"/>
  <c r="F47" i="15"/>
  <c r="G55" i="15"/>
  <c r="C61" i="15"/>
  <c r="D66" i="15"/>
  <c r="D69" i="15"/>
  <c r="B72" i="15"/>
  <c r="F74" i="15"/>
  <c r="D77" i="15"/>
  <c r="B80" i="15"/>
  <c r="F82" i="15"/>
  <c r="D85" i="15"/>
  <c r="B88" i="15"/>
  <c r="F90" i="15"/>
  <c r="D93" i="15"/>
  <c r="B96" i="15"/>
  <c r="F98" i="15"/>
  <c r="F10" i="15"/>
  <c r="F45" i="15"/>
  <c r="A55" i="15"/>
  <c r="B59" i="15"/>
  <c r="F65" i="15"/>
  <c r="G68" i="15"/>
  <c r="E71" i="15"/>
  <c r="C74" i="15"/>
  <c r="G76" i="15"/>
  <c r="C82" i="15"/>
  <c r="C55" i="15"/>
  <c r="D70" i="15"/>
  <c r="F79" i="15"/>
  <c r="C94" i="15"/>
  <c r="E99" i="15"/>
  <c r="B41" i="15"/>
  <c r="D68" i="15"/>
  <c r="F77" i="15"/>
  <c r="F87" i="15"/>
  <c r="A93" i="15"/>
  <c r="B97" i="15"/>
  <c r="F51" i="15"/>
  <c r="C67" i="15"/>
  <c r="A77" i="15"/>
  <c r="G86" i="15"/>
  <c r="C96" i="15"/>
  <c r="E52" i="15"/>
  <c r="B71" i="15"/>
  <c r="D80" i="15"/>
  <c r="D88" i="15"/>
  <c r="A95" i="15"/>
  <c r="D6" i="15"/>
  <c r="F11" i="15"/>
  <c r="D22" i="15"/>
  <c r="F27" i="15"/>
  <c r="A33" i="15"/>
  <c r="D38" i="15"/>
  <c r="C7" i="15"/>
  <c r="E12" i="15"/>
  <c r="G17" i="15"/>
  <c r="C23" i="15"/>
  <c r="E28" i="15"/>
  <c r="G33" i="15"/>
  <c r="E3" i="15"/>
  <c r="C8" i="15"/>
  <c r="E19" i="15"/>
  <c r="C24" i="15"/>
  <c r="F8" i="15"/>
  <c r="D31" i="15"/>
  <c r="G47" i="15"/>
  <c r="F6" i="15"/>
  <c r="D29" i="15"/>
  <c r="D41" i="15"/>
  <c r="F46" i="15"/>
  <c r="B52" i="15"/>
  <c r="D57" i="15"/>
  <c r="D3" i="15"/>
  <c r="A22" i="15"/>
  <c r="C40" i="15"/>
  <c r="G50" i="15"/>
  <c r="C56" i="15"/>
  <c r="B8" i="15"/>
  <c r="A51" i="15"/>
  <c r="D62" i="15"/>
  <c r="C75" i="15"/>
  <c r="G85" i="15"/>
  <c r="C95" i="15"/>
  <c r="G78" i="15"/>
  <c r="F39" i="15"/>
  <c r="A49" i="15"/>
  <c r="E62" i="15"/>
  <c r="B70" i="15"/>
  <c r="D75" i="15"/>
  <c r="B78" i="15"/>
  <c r="D83" i="15"/>
  <c r="B86" i="15"/>
  <c r="D91" i="15"/>
  <c r="F96" i="15"/>
  <c r="D99" i="15"/>
  <c r="A47" i="15"/>
  <c r="B55" i="15"/>
  <c r="E66" i="15"/>
  <c r="E69" i="15"/>
  <c r="G74" i="15"/>
  <c r="G84" i="15"/>
  <c r="F71" i="15"/>
  <c r="C90" i="15"/>
  <c r="D92" i="15"/>
  <c r="F69" i="15"/>
  <c r="A89" i="15"/>
  <c r="F99" i="15"/>
  <c r="A69" i="15"/>
  <c r="G98" i="15"/>
  <c r="D72" i="15"/>
  <c r="F89" i="15"/>
  <c r="D8" i="15"/>
  <c r="A19" i="15"/>
  <c r="F29" i="15"/>
  <c r="G3" i="15"/>
  <c r="E14" i="15"/>
  <c r="C25" i="15"/>
  <c r="G35" i="15"/>
  <c r="C10" i="15"/>
  <c r="E21" i="15"/>
  <c r="E37" i="15"/>
  <c r="C39" i="15"/>
  <c r="G49" i="15"/>
  <c r="F14" i="15"/>
  <c r="D43" i="15"/>
  <c r="B54" i="15"/>
  <c r="D11" i="15"/>
  <c r="C42" i="15"/>
  <c r="G52" i="15"/>
  <c r="B39" i="15"/>
  <c r="C66" i="15"/>
  <c r="C77" i="15"/>
  <c r="G87" i="15"/>
  <c r="C99" i="15"/>
  <c r="D9" i="15"/>
  <c r="C53" i="15"/>
  <c r="B68" i="15"/>
  <c r="D73" i="15"/>
  <c r="B76" i="15"/>
  <c r="D81" i="15"/>
  <c r="F86" i="15"/>
  <c r="B92" i="15"/>
  <c r="D97" i="15"/>
  <c r="B100" i="15"/>
  <c r="B51" i="15"/>
  <c r="A63" i="15"/>
  <c r="C70" i="15"/>
  <c r="E75" i="15"/>
  <c r="D25" i="15"/>
  <c r="B77" i="15"/>
  <c r="E91" i="15"/>
  <c r="B99" i="15"/>
  <c r="B75" i="15"/>
  <c r="D84" i="15"/>
  <c r="F95" i="15"/>
  <c r="F83" i="15"/>
  <c r="G94" i="15"/>
  <c r="C59" i="15"/>
  <c r="F85" i="15"/>
  <c r="A9" i="15"/>
  <c r="F19" i="15"/>
  <c r="A25" i="15"/>
  <c r="F35" i="15"/>
  <c r="G9" i="15"/>
  <c r="E20" i="15"/>
  <c r="C31" i="15"/>
  <c r="C16" i="15"/>
  <c r="E27" i="15"/>
  <c r="G39" i="15"/>
  <c r="F38" i="15"/>
  <c r="D49" i="15"/>
  <c r="B60" i="15"/>
  <c r="F12" i="15"/>
  <c r="G42" i="15"/>
  <c r="C64" i="15"/>
  <c r="A57" i="15"/>
  <c r="C83" i="15"/>
  <c r="C93" i="15"/>
  <c r="F18" i="15"/>
  <c r="E54" i="15"/>
  <c r="C65" i="15"/>
  <c r="D71" i="15"/>
  <c r="D79" i="15"/>
  <c r="F84" i="15"/>
  <c r="B90" i="15"/>
  <c r="D95" i="15"/>
  <c r="F100" i="15"/>
  <c r="F53" i="15"/>
  <c r="B63" i="15"/>
  <c r="G70" i="15"/>
  <c r="C76" i="15"/>
  <c r="A45" i="15"/>
  <c r="D78" i="15"/>
  <c r="D100" i="15"/>
  <c r="D76" i="15"/>
  <c r="F91" i="15"/>
  <c r="A97" i="15"/>
  <c r="G65" i="15"/>
  <c r="A85" i="15"/>
  <c r="A87" i="15"/>
  <c r="A17" i="15"/>
  <c r="E35" i="15"/>
  <c r="F62" i="15"/>
  <c r="G69" i="15"/>
  <c r="C91" i="15"/>
  <c r="C84" i="15"/>
  <c r="C57" i="15"/>
  <c r="F72" i="15"/>
  <c r="F80" i="15"/>
  <c r="F88" i="15"/>
  <c r="B94" i="15"/>
  <c r="B24" i="15"/>
  <c r="F61" i="15"/>
  <c r="C72" i="15"/>
  <c r="E77" i="15"/>
  <c r="G57" i="15"/>
  <c r="E95" i="15"/>
  <c r="D50" i="15"/>
  <c r="B83" i="15"/>
  <c r="B93" i="15"/>
  <c r="E56" i="15"/>
  <c r="D82" i="15"/>
  <c r="C92" i="15"/>
  <c r="A83" i="15"/>
  <c r="B95" i="15"/>
  <c r="F13" i="15"/>
  <c r="D24" i="15"/>
  <c r="A35" i="15"/>
  <c r="C9" i="15"/>
  <c r="G19" i="15"/>
  <c r="E30" i="15"/>
  <c r="E5" i="15"/>
  <c r="C26" i="15"/>
  <c r="F16" i="15"/>
  <c r="D37" i="15"/>
  <c r="F48" i="15"/>
  <c r="D59" i="15"/>
  <c r="F64" i="15"/>
  <c r="A30" i="15"/>
  <c r="C58" i="15"/>
  <c r="F55" i="15"/>
  <c r="G71" i="15"/>
  <c r="G95" i="15"/>
  <c r="C80" i="15"/>
  <c r="A41" i="15"/>
  <c r="E58" i="15"/>
  <c r="G63" i="15"/>
  <c r="F70" i="15"/>
  <c r="F78" i="15"/>
  <c r="B84" i="15"/>
  <c r="D89" i="15"/>
  <c r="F94" i="15"/>
  <c r="D33" i="15"/>
  <c r="F57" i="15"/>
  <c r="B67" i="15"/>
  <c r="G72" i="15"/>
  <c r="G80" i="15"/>
  <c r="E64" i="15"/>
  <c r="C86" i="15"/>
  <c r="G53" i="15"/>
  <c r="B89" i="15"/>
  <c r="B16" i="15"/>
  <c r="D74" i="15"/>
  <c r="C88" i="15"/>
  <c r="A75" i="15"/>
  <c r="A91" i="15"/>
  <c r="F97" i="15"/>
  <c r="A3" i="15"/>
  <c r="D14" i="15"/>
  <c r="D30" i="15"/>
  <c r="E4" i="15"/>
  <c r="C15" i="15"/>
  <c r="G25" i="15"/>
  <c r="E36" i="15"/>
  <c r="E11" i="15"/>
  <c r="C32" i="15"/>
  <c r="B22" i="15"/>
  <c r="C45" i="15"/>
  <c r="A16" i="15"/>
  <c r="B44" i="15"/>
  <c r="F54" i="15"/>
  <c r="D65" i="15"/>
  <c r="D35" i="15"/>
  <c r="C48" i="15"/>
  <c r="G58" i="15"/>
  <c r="F41" i="15"/>
  <c r="A67" i="15"/>
  <c r="G77" i="15"/>
  <c r="E81" i="15"/>
  <c r="D46" i="15"/>
  <c r="G59" i="15"/>
  <c r="F68" i="15"/>
  <c r="B74" i="15"/>
  <c r="F76" i="15"/>
  <c r="B82" i="15"/>
  <c r="D87" i="15"/>
  <c r="F92" i="15"/>
  <c r="B98" i="15"/>
  <c r="B43" i="15"/>
  <c r="A59" i="15"/>
  <c r="C68" i="15"/>
  <c r="E73" i="15"/>
  <c r="B69" i="15"/>
  <c r="E87" i="15"/>
  <c r="C98" i="15"/>
  <c r="B85" i="15"/>
  <c r="F34" i="15"/>
  <c r="F75" i="15"/>
  <c r="G90" i="15"/>
  <c r="C100" i="15"/>
  <c r="B79" i="15"/>
  <c r="F93" i="15"/>
  <c r="A99" i="15"/>
  <c r="B77" i="7"/>
  <c r="C3" i="17"/>
  <c r="C7" i="17"/>
  <c r="C11" i="17"/>
  <c r="C15" i="17"/>
  <c r="C19" i="17"/>
  <c r="C23" i="17"/>
  <c r="C27" i="17"/>
  <c r="C31" i="17"/>
  <c r="C35" i="17"/>
  <c r="C43" i="17"/>
  <c r="C47" i="17"/>
  <c r="C55" i="17"/>
  <c r="C67" i="17"/>
  <c r="C75" i="17"/>
  <c r="C83" i="17"/>
  <c r="C91" i="17"/>
  <c r="C99" i="17"/>
  <c r="C8" i="17"/>
  <c r="C16" i="17"/>
  <c r="C24" i="17"/>
  <c r="C32" i="17"/>
  <c r="C40" i="17"/>
  <c r="C48" i="17"/>
  <c r="C56" i="17"/>
  <c r="C64" i="17"/>
  <c r="C72" i="17"/>
  <c r="C80" i="17"/>
  <c r="C88" i="17"/>
  <c r="C96" i="17"/>
  <c r="C5" i="17"/>
  <c r="C13" i="17"/>
  <c r="C21" i="17"/>
  <c r="C29" i="17"/>
  <c r="C37" i="17"/>
  <c r="C45" i="17"/>
  <c r="C53" i="17"/>
  <c r="C61" i="17"/>
  <c r="C69" i="17"/>
  <c r="C77" i="17"/>
  <c r="C85" i="17"/>
  <c r="C93" i="17"/>
  <c r="C97" i="17"/>
  <c r="C6" i="17"/>
  <c r="C10" i="17"/>
  <c r="C14" i="17"/>
  <c r="C18" i="17"/>
  <c r="C22" i="17"/>
  <c r="C26" i="17"/>
  <c r="C30" i="17"/>
  <c r="C34" i="17"/>
  <c r="C38" i="17"/>
  <c r="C42" i="17"/>
  <c r="C46" i="17"/>
  <c r="C50" i="17"/>
  <c r="C54" i="17"/>
  <c r="C58" i="17"/>
  <c r="C62" i="17"/>
  <c r="C66" i="17"/>
  <c r="C70" i="17"/>
  <c r="C74" i="17"/>
  <c r="C78" i="17"/>
  <c r="C82" i="17"/>
  <c r="C86" i="17"/>
  <c r="C90" i="17"/>
  <c r="C94" i="17"/>
  <c r="C98" i="17"/>
  <c r="C39" i="17"/>
  <c r="C51" i="17"/>
  <c r="C59" i="17"/>
  <c r="C63" i="17"/>
  <c r="C71" i="17"/>
  <c r="C79" i="17"/>
  <c r="C87" i="17"/>
  <c r="C95" i="17"/>
  <c r="C4" i="17"/>
  <c r="C12" i="17"/>
  <c r="C20" i="17"/>
  <c r="C28" i="17"/>
  <c r="C36" i="17"/>
  <c r="C44" i="17"/>
  <c r="C52" i="17"/>
  <c r="C60" i="17"/>
  <c r="C68" i="17"/>
  <c r="C76" i="17"/>
  <c r="C84" i="17"/>
  <c r="C92" i="17"/>
  <c r="C100" i="17"/>
  <c r="C9" i="17"/>
  <c r="C17" i="17"/>
  <c r="C25" i="17"/>
  <c r="C33" i="17"/>
  <c r="C41" i="17"/>
  <c r="C49" i="17"/>
  <c r="C57" i="17"/>
  <c r="C65" i="17"/>
  <c r="C73" i="17"/>
  <c r="C81" i="17"/>
  <c r="C89" i="17"/>
  <c r="A100" i="7"/>
  <c r="A112" i="7"/>
  <c r="A120" i="7"/>
  <c r="A126" i="7"/>
  <c r="A130" i="7"/>
  <c r="A136" i="7"/>
  <c r="A140" i="7"/>
  <c r="A144" i="7"/>
  <c r="A148" i="7"/>
  <c r="B102" i="7"/>
  <c r="B106" i="7"/>
  <c r="B112" i="7"/>
  <c r="B116" i="7"/>
  <c r="B120" i="7"/>
  <c r="B124" i="7"/>
  <c r="B128" i="7"/>
  <c r="B132" i="7"/>
  <c r="B136" i="7"/>
  <c r="B140" i="7"/>
  <c r="B144" i="7"/>
  <c r="B148" i="7"/>
  <c r="A101" i="7"/>
  <c r="A105" i="7"/>
  <c r="A111" i="7"/>
  <c r="A115" i="7"/>
  <c r="A119" i="7"/>
  <c r="A123" i="7"/>
  <c r="A127" i="7"/>
  <c r="A131" i="7"/>
  <c r="A135" i="7"/>
  <c r="A139" i="7"/>
  <c r="A143" i="7"/>
  <c r="A147" i="7"/>
  <c r="B101" i="7"/>
  <c r="B103" i="7"/>
  <c r="B105" i="7"/>
  <c r="B107" i="7"/>
  <c r="B109" i="7"/>
  <c r="B111" i="7"/>
  <c r="B113" i="7"/>
  <c r="B115" i="7"/>
  <c r="B117" i="7"/>
  <c r="B119" i="7"/>
  <c r="B121" i="7"/>
  <c r="B123" i="7"/>
  <c r="B125" i="7"/>
  <c r="B127" i="7"/>
  <c r="B129" i="7"/>
  <c r="B131" i="7"/>
  <c r="B133" i="7"/>
  <c r="B135" i="7"/>
  <c r="B137" i="7"/>
  <c r="B139" i="7"/>
  <c r="B141" i="7"/>
  <c r="B143" i="7"/>
  <c r="B145" i="7"/>
  <c r="B147" i="7"/>
  <c r="B149" i="7"/>
  <c r="A102" i="7"/>
  <c r="A104" i="7"/>
  <c r="A106" i="7"/>
  <c r="A108" i="7"/>
  <c r="A110" i="7"/>
  <c r="A114" i="7"/>
  <c r="A116" i="7"/>
  <c r="A118" i="7"/>
  <c r="A122" i="7"/>
  <c r="A124" i="7"/>
  <c r="A128" i="7"/>
  <c r="A132" i="7"/>
  <c r="A134" i="7"/>
  <c r="A138" i="7"/>
  <c r="A142" i="7"/>
  <c r="A146" i="7"/>
  <c r="A150" i="7"/>
  <c r="B100" i="7"/>
  <c r="B104" i="7"/>
  <c r="B108" i="7"/>
  <c r="B110" i="7"/>
  <c r="B114" i="7"/>
  <c r="B118" i="7"/>
  <c r="B122" i="7"/>
  <c r="B126" i="7"/>
  <c r="B130" i="7"/>
  <c r="B134" i="7"/>
  <c r="B138" i="7"/>
  <c r="B142" i="7"/>
  <c r="B146" i="7"/>
  <c r="B150" i="7"/>
  <c r="A103" i="7"/>
  <c r="A107" i="7"/>
  <c r="A109" i="7"/>
  <c r="A113" i="7"/>
  <c r="A117" i="7"/>
  <c r="A121" i="7"/>
  <c r="A125" i="7"/>
  <c r="A129" i="7"/>
  <c r="A133" i="7"/>
  <c r="A137" i="7"/>
  <c r="A141" i="7"/>
  <c r="A145" i="7"/>
  <c r="A149" i="7"/>
  <c r="B11" i="13"/>
  <c r="B7" i="13"/>
  <c r="B3" i="13"/>
  <c r="B10" i="13"/>
  <c r="B6" i="13"/>
  <c r="B9" i="13"/>
  <c r="B5" i="13"/>
  <c r="B12" i="13"/>
  <c r="B8" i="13"/>
  <c r="B4" i="13"/>
  <c r="B96" i="7"/>
  <c r="B98" i="7"/>
  <c r="B92" i="7"/>
  <c r="B95" i="7"/>
  <c r="B97" i="7"/>
  <c r="B99" i="7"/>
  <c r="B94" i="7"/>
  <c r="B93" i="7"/>
  <c r="B91" i="7"/>
  <c r="B89" i="7"/>
  <c r="B90" i="7"/>
  <c r="B81" i="7"/>
  <c r="B87" i="7"/>
  <c r="B83" i="7"/>
  <c r="B79" i="7"/>
  <c r="B78" i="7"/>
  <c r="B80" i="7"/>
  <c r="B85" i="7"/>
  <c r="B82" i="7"/>
  <c r="B88" i="7"/>
  <c r="B84" i="7"/>
  <c r="B86" i="7"/>
  <c r="A3" i="10"/>
  <c r="E3" i="10"/>
  <c r="B4" i="10"/>
  <c r="F4" i="10"/>
  <c r="C5" i="10"/>
  <c r="G5" i="10"/>
  <c r="D6" i="10"/>
  <c r="A7" i="10"/>
  <c r="E7" i="10"/>
  <c r="B8" i="10"/>
  <c r="F8" i="10"/>
  <c r="C9" i="10"/>
  <c r="D10" i="10"/>
  <c r="A11" i="10"/>
  <c r="E11" i="10"/>
  <c r="B12" i="10"/>
  <c r="F12" i="10"/>
  <c r="C13" i="10"/>
  <c r="G13" i="10"/>
  <c r="D14" i="10"/>
  <c r="A15" i="10"/>
  <c r="E15" i="10"/>
  <c r="B16" i="10"/>
  <c r="F16" i="10"/>
  <c r="C17" i="10"/>
  <c r="G17" i="10"/>
  <c r="D18" i="10"/>
  <c r="A19" i="10"/>
  <c r="E19" i="10"/>
  <c r="B20" i="10"/>
  <c r="F20" i="10"/>
  <c r="C21" i="10"/>
  <c r="G21" i="10"/>
  <c r="D22" i="10"/>
  <c r="A23" i="10"/>
  <c r="E23" i="10"/>
  <c r="B24" i="10"/>
  <c r="F24" i="10"/>
  <c r="C25" i="10"/>
  <c r="G25" i="10"/>
  <c r="D26" i="10"/>
  <c r="A27" i="10"/>
  <c r="E27" i="10"/>
  <c r="B28" i="10"/>
  <c r="F28" i="10"/>
  <c r="C29" i="10"/>
  <c r="G29" i="10"/>
  <c r="D30" i="10"/>
  <c r="A31" i="10"/>
  <c r="E31" i="10"/>
  <c r="B32" i="10"/>
  <c r="F32" i="10"/>
  <c r="C33" i="10"/>
  <c r="G33" i="10"/>
  <c r="D34" i="10"/>
  <c r="A35" i="10"/>
  <c r="E35" i="10"/>
  <c r="B36" i="10"/>
  <c r="F36" i="10"/>
  <c r="C37" i="10"/>
  <c r="G37" i="10"/>
  <c r="D38" i="10"/>
  <c r="A39" i="10"/>
  <c r="E39" i="10"/>
  <c r="B40" i="10"/>
  <c r="F40" i="10"/>
  <c r="C41" i="10"/>
  <c r="G41" i="10"/>
  <c r="D42" i="10"/>
  <c r="A43" i="10"/>
  <c r="E43" i="10"/>
  <c r="B44" i="10"/>
  <c r="F44" i="10"/>
  <c r="C45" i="10"/>
  <c r="G45" i="10"/>
  <c r="D46" i="10"/>
  <c r="A47" i="10"/>
  <c r="E47" i="10"/>
  <c r="B48" i="10"/>
  <c r="F48" i="10"/>
  <c r="C49" i="10"/>
  <c r="G49" i="10"/>
  <c r="D50" i="10"/>
  <c r="A51" i="10"/>
  <c r="E51" i="10"/>
  <c r="B52" i="10"/>
  <c r="F52" i="10"/>
  <c r="C53" i="10"/>
  <c r="G53" i="10"/>
  <c r="D54" i="10"/>
  <c r="B3" i="10"/>
  <c r="F3" i="10"/>
  <c r="C4" i="10"/>
  <c r="G4" i="10"/>
  <c r="D5" i="10"/>
  <c r="A6" i="10"/>
  <c r="E6" i="10"/>
  <c r="B7" i="10"/>
  <c r="F7" i="10"/>
  <c r="C8" i="10"/>
  <c r="D9" i="10"/>
  <c r="A10" i="10"/>
  <c r="E10" i="10"/>
  <c r="B11" i="10"/>
  <c r="F11" i="10"/>
  <c r="C12" i="10"/>
  <c r="G12" i="10"/>
  <c r="D13" i="10"/>
  <c r="A14" i="10"/>
  <c r="E14" i="10"/>
  <c r="B15" i="10"/>
  <c r="F15" i="10"/>
  <c r="C16" i="10"/>
  <c r="G16" i="10"/>
  <c r="D17" i="10"/>
  <c r="A18" i="10"/>
  <c r="E18" i="10"/>
  <c r="B19" i="10"/>
  <c r="F19" i="10"/>
  <c r="C20" i="10"/>
  <c r="G20" i="10"/>
  <c r="D21" i="10"/>
  <c r="A22" i="10"/>
  <c r="E22" i="10"/>
  <c r="B23" i="10"/>
  <c r="F23" i="10"/>
  <c r="C24" i="10"/>
  <c r="G24" i="10"/>
  <c r="D25" i="10"/>
  <c r="A26" i="10"/>
  <c r="B27" i="10"/>
  <c r="F27" i="10"/>
  <c r="C28" i="10"/>
  <c r="G28" i="10"/>
  <c r="D29" i="10"/>
  <c r="A30" i="10"/>
  <c r="E30" i="10"/>
  <c r="B31" i="10"/>
  <c r="F31" i="10"/>
  <c r="C32" i="10"/>
  <c r="G32" i="10"/>
  <c r="D33" i="10"/>
  <c r="A34" i="10"/>
  <c r="E34" i="10"/>
  <c r="B35" i="10"/>
  <c r="F35" i="10"/>
  <c r="C36" i="10"/>
  <c r="G36" i="10"/>
  <c r="D37" i="10"/>
  <c r="A38" i="10"/>
  <c r="E38" i="10"/>
  <c r="B39" i="10"/>
  <c r="F39" i="10"/>
  <c r="C40" i="10"/>
  <c r="G40" i="10"/>
  <c r="D41" i="10"/>
  <c r="A42" i="10"/>
  <c r="E42" i="10"/>
  <c r="B43" i="10"/>
  <c r="F43" i="10"/>
  <c r="C44" i="10"/>
  <c r="G44" i="10"/>
  <c r="D45" i="10"/>
  <c r="A46" i="10"/>
  <c r="E46" i="10"/>
  <c r="B47" i="10"/>
  <c r="F47" i="10"/>
  <c r="C48" i="10"/>
  <c r="G48" i="10"/>
  <c r="D49" i="10"/>
  <c r="A50" i="10"/>
  <c r="E50" i="10"/>
  <c r="B51" i="10"/>
  <c r="F51" i="10"/>
  <c r="C52" i="10"/>
  <c r="G52" i="10"/>
  <c r="D53" i="10"/>
  <c r="A54" i="10"/>
  <c r="E54" i="10"/>
  <c r="B55" i="10"/>
  <c r="F55" i="10"/>
  <c r="C56" i="10"/>
  <c r="C3" i="10"/>
  <c r="G3" i="10"/>
  <c r="D4" i="10"/>
  <c r="A5" i="10"/>
  <c r="E5" i="10"/>
  <c r="B6" i="10"/>
  <c r="F6" i="10"/>
  <c r="C7" i="10"/>
  <c r="D8" i="10"/>
  <c r="A9" i="10"/>
  <c r="E9" i="10"/>
  <c r="B10" i="10"/>
  <c r="F10" i="10"/>
  <c r="C11" i="10"/>
  <c r="D12" i="10"/>
  <c r="A13" i="10"/>
  <c r="E13" i="10"/>
  <c r="B14" i="10"/>
  <c r="F14" i="10"/>
  <c r="C15" i="10"/>
  <c r="G15" i="10"/>
  <c r="D16" i="10"/>
  <c r="A17" i="10"/>
  <c r="E17" i="10"/>
  <c r="B18" i="10"/>
  <c r="F18" i="10"/>
  <c r="C19" i="10"/>
  <c r="G19" i="10"/>
  <c r="D20" i="10"/>
  <c r="A21" i="10"/>
  <c r="E21" i="10"/>
  <c r="B22" i="10"/>
  <c r="F22" i="10"/>
  <c r="C23" i="10"/>
  <c r="G23" i="10"/>
  <c r="D24" i="10"/>
  <c r="A25" i="10"/>
  <c r="E25" i="10"/>
  <c r="B26" i="10"/>
  <c r="D28" i="10"/>
  <c r="A29" i="10"/>
  <c r="E29" i="10"/>
  <c r="B30" i="10"/>
  <c r="F30" i="10"/>
  <c r="C31" i="10"/>
  <c r="G31" i="10"/>
  <c r="D32" i="10"/>
  <c r="A33" i="10"/>
  <c r="E33" i="10"/>
  <c r="B34" i="10"/>
  <c r="F34" i="10"/>
  <c r="C35" i="10"/>
  <c r="G35" i="10"/>
  <c r="D36" i="10"/>
  <c r="A37" i="10"/>
  <c r="E37" i="10"/>
  <c r="B38" i="10"/>
  <c r="F38" i="10"/>
  <c r="C39" i="10"/>
  <c r="G39" i="10"/>
  <c r="D40" i="10"/>
  <c r="A41" i="10"/>
  <c r="E41" i="10"/>
  <c r="B42" i="10"/>
  <c r="F42" i="10"/>
  <c r="C43" i="10"/>
  <c r="G43" i="10"/>
  <c r="D44" i="10"/>
  <c r="A45" i="10"/>
  <c r="E45" i="10"/>
  <c r="B46" i="10"/>
  <c r="F46" i="10"/>
  <c r="C47" i="10"/>
  <c r="G47" i="10"/>
  <c r="D48" i="10"/>
  <c r="A49" i="10"/>
  <c r="E49" i="10"/>
  <c r="B50" i="10"/>
  <c r="F50" i="10"/>
  <c r="C51" i="10"/>
  <c r="G51" i="10"/>
  <c r="D52" i="10"/>
  <c r="A53" i="10"/>
  <c r="E53" i="10"/>
  <c r="B54" i="10"/>
  <c r="F54" i="10"/>
  <c r="C55" i="10"/>
  <c r="G55" i="10"/>
  <c r="D56" i="10"/>
  <c r="A57" i="10"/>
  <c r="E57" i="10"/>
  <c r="B58" i="10"/>
  <c r="F58" i="10"/>
  <c r="C59" i="10"/>
  <c r="G59" i="10"/>
  <c r="D60" i="10"/>
  <c r="A61" i="10"/>
  <c r="E61" i="10"/>
  <c r="B62" i="10"/>
  <c r="F62" i="10"/>
  <c r="C63" i="10"/>
  <c r="G63" i="10"/>
  <c r="D64" i="10"/>
  <c r="A65" i="10"/>
  <c r="E65" i="10"/>
  <c r="B66" i="10"/>
  <c r="F66" i="10"/>
  <c r="C67" i="10"/>
  <c r="G67" i="10"/>
  <c r="D68" i="10"/>
  <c r="A69" i="10"/>
  <c r="E69" i="10"/>
  <c r="B70" i="10"/>
  <c r="F70" i="10"/>
  <c r="C71" i="10"/>
  <c r="G71" i="10"/>
  <c r="D72" i="10"/>
  <c r="A73" i="10"/>
  <c r="E73" i="10"/>
  <c r="B74" i="10"/>
  <c r="F74" i="10"/>
  <c r="C75" i="10"/>
  <c r="D3" i="10"/>
  <c r="F5" i="10"/>
  <c r="A8" i="10"/>
  <c r="C10" i="10"/>
  <c r="E12" i="10"/>
  <c r="G14" i="10"/>
  <c r="B17" i="10"/>
  <c r="D19" i="10"/>
  <c r="F21" i="10"/>
  <c r="A24" i="10"/>
  <c r="C26" i="10"/>
  <c r="E28" i="10"/>
  <c r="G30" i="10"/>
  <c r="B33" i="10"/>
  <c r="D35" i="10"/>
  <c r="F37" i="10"/>
  <c r="A40" i="10"/>
  <c r="C42" i="10"/>
  <c r="E44" i="10"/>
  <c r="G46" i="10"/>
  <c r="B49" i="10"/>
  <c r="D51" i="10"/>
  <c r="F53" i="10"/>
  <c r="D55" i="10"/>
  <c r="E56" i="10"/>
  <c r="C57" i="10"/>
  <c r="A58" i="10"/>
  <c r="G58" i="10"/>
  <c r="E59" i="10"/>
  <c r="C60" i="10"/>
  <c r="B61" i="10"/>
  <c r="G61" i="10"/>
  <c r="E62" i="10"/>
  <c r="D63" i="10"/>
  <c r="B64" i="10"/>
  <c r="G64" i="10"/>
  <c r="F65" i="10"/>
  <c r="D66" i="10"/>
  <c r="B67" i="10"/>
  <c r="A68" i="10"/>
  <c r="F68" i="10"/>
  <c r="D69" i="10"/>
  <c r="C70" i="10"/>
  <c r="A71" i="10"/>
  <c r="F71" i="10"/>
  <c r="E72" i="10"/>
  <c r="C73" i="10"/>
  <c r="A74" i="10"/>
  <c r="G74" i="10"/>
  <c r="E75" i="10"/>
  <c r="B76" i="10"/>
  <c r="F76" i="10"/>
  <c r="C77" i="10"/>
  <c r="G77" i="10"/>
  <c r="D78" i="10"/>
  <c r="A79" i="10"/>
  <c r="E79" i="10"/>
  <c r="B80" i="10"/>
  <c r="F80" i="10"/>
  <c r="C81" i="10"/>
  <c r="G81" i="10"/>
  <c r="D82" i="10"/>
  <c r="A83" i="10"/>
  <c r="E83" i="10"/>
  <c r="B84" i="10"/>
  <c r="F84" i="10"/>
  <c r="C85" i="10"/>
  <c r="G85" i="10"/>
  <c r="D86" i="10"/>
  <c r="A87" i="10"/>
  <c r="E87" i="10"/>
  <c r="B88" i="10"/>
  <c r="F88" i="10"/>
  <c r="C89" i="10"/>
  <c r="G89" i="10"/>
  <c r="D90" i="10"/>
  <c r="A91" i="10"/>
  <c r="E91" i="10"/>
  <c r="B92" i="10"/>
  <c r="F92" i="10"/>
  <c r="C93" i="10"/>
  <c r="G93" i="10"/>
  <c r="D94" i="10"/>
  <c r="A95" i="10"/>
  <c r="E95" i="10"/>
  <c r="B96" i="10"/>
  <c r="F96" i="10"/>
  <c r="C97" i="10"/>
  <c r="G97" i="10"/>
  <c r="D98" i="10"/>
  <c r="A99" i="10"/>
  <c r="E99" i="10"/>
  <c r="B100" i="10"/>
  <c r="F100" i="10"/>
  <c r="A4" i="10"/>
  <c r="C6" i="10"/>
  <c r="E8" i="10"/>
  <c r="B13" i="10"/>
  <c r="D15" i="10"/>
  <c r="F17" i="10"/>
  <c r="A20" i="10"/>
  <c r="C22" i="10"/>
  <c r="E24" i="10"/>
  <c r="G26" i="10"/>
  <c r="B29" i="10"/>
  <c r="D31" i="10"/>
  <c r="F33" i="10"/>
  <c r="A36" i="10"/>
  <c r="C38" i="10"/>
  <c r="E40" i="10"/>
  <c r="G42" i="10"/>
  <c r="B45" i="10"/>
  <c r="D47" i="10"/>
  <c r="F49" i="10"/>
  <c r="A52" i="10"/>
  <c r="C54" i="10"/>
  <c r="E55" i="10"/>
  <c r="F56" i="10"/>
  <c r="D57" i="10"/>
  <c r="C58" i="10"/>
  <c r="A59" i="10"/>
  <c r="F59" i="10"/>
  <c r="E60" i="10"/>
  <c r="C61" i="10"/>
  <c r="A62" i="10"/>
  <c r="G62" i="10"/>
  <c r="E63" i="10"/>
  <c r="C64" i="10"/>
  <c r="B65" i="10"/>
  <c r="G65" i="10"/>
  <c r="E66" i="10"/>
  <c r="D67" i="10"/>
  <c r="B68" i="10"/>
  <c r="G68" i="10"/>
  <c r="F69" i="10"/>
  <c r="D70" i="10"/>
  <c r="B71" i="10"/>
  <c r="A72" i="10"/>
  <c r="F72" i="10"/>
  <c r="D73" i="10"/>
  <c r="C74" i="10"/>
  <c r="A75" i="10"/>
  <c r="F75" i="10"/>
  <c r="C76" i="10"/>
  <c r="G76" i="10"/>
  <c r="D77" i="10"/>
  <c r="A78" i="10"/>
  <c r="E78" i="10"/>
  <c r="B79" i="10"/>
  <c r="F79" i="10"/>
  <c r="C80" i="10"/>
  <c r="G80" i="10"/>
  <c r="D81" i="10"/>
  <c r="A82" i="10"/>
  <c r="E82" i="10"/>
  <c r="B83" i="10"/>
  <c r="F83" i="10"/>
  <c r="C84" i="10"/>
  <c r="G84" i="10"/>
  <c r="D85" i="10"/>
  <c r="A86" i="10"/>
  <c r="E86" i="10"/>
  <c r="B87" i="10"/>
  <c r="F87" i="10"/>
  <c r="C88" i="10"/>
  <c r="G88" i="10"/>
  <c r="D89" i="10"/>
  <c r="A90" i="10"/>
  <c r="E90" i="10"/>
  <c r="B91" i="10"/>
  <c r="F91" i="10"/>
  <c r="C92" i="10"/>
  <c r="G92" i="10"/>
  <c r="D93" i="10"/>
  <c r="A94" i="10"/>
  <c r="E94" i="10"/>
  <c r="B95" i="10"/>
  <c r="F95" i="10"/>
  <c r="C96" i="10"/>
  <c r="G96" i="10"/>
  <c r="D97" i="10"/>
  <c r="A98" i="10"/>
  <c r="E98" i="10"/>
  <c r="B99" i="10"/>
  <c r="F99" i="10"/>
  <c r="C100" i="10"/>
  <c r="G100" i="10"/>
  <c r="E4" i="10"/>
  <c r="G6" i="10"/>
  <c r="B9" i="10"/>
  <c r="D11" i="10"/>
  <c r="F13" i="10"/>
  <c r="A16" i="10"/>
  <c r="C18" i="10"/>
  <c r="E20" i="10"/>
  <c r="G22" i="10"/>
  <c r="B25" i="10"/>
  <c r="D27" i="10"/>
  <c r="F29" i="10"/>
  <c r="A32" i="10"/>
  <c r="C34" i="10"/>
  <c r="E36" i="10"/>
  <c r="G38" i="10"/>
  <c r="B41" i="10"/>
  <c r="D43" i="10"/>
  <c r="F45" i="10"/>
  <c r="A48" i="10"/>
  <c r="C50" i="10"/>
  <c r="E52" i="10"/>
  <c r="G54" i="10"/>
  <c r="A56" i="10"/>
  <c r="G56" i="10"/>
  <c r="F57" i="10"/>
  <c r="D58" i="10"/>
  <c r="B59" i="10"/>
  <c r="A60" i="10"/>
  <c r="F60" i="10"/>
  <c r="D61" i="10"/>
  <c r="C62" i="10"/>
  <c r="A63" i="10"/>
  <c r="F63" i="10"/>
  <c r="E64" i="10"/>
  <c r="C65" i="10"/>
  <c r="A66" i="10"/>
  <c r="G66" i="10"/>
  <c r="E67" i="10"/>
  <c r="C68" i="10"/>
  <c r="B69" i="10"/>
  <c r="G69" i="10"/>
  <c r="E70" i="10"/>
  <c r="D71" i="10"/>
  <c r="B72" i="10"/>
  <c r="G72" i="10"/>
  <c r="F73" i="10"/>
  <c r="D74" i="10"/>
  <c r="B75" i="10"/>
  <c r="G75" i="10"/>
  <c r="D76" i="10"/>
  <c r="A77" i="10"/>
  <c r="E77" i="10"/>
  <c r="B78" i="10"/>
  <c r="F78" i="10"/>
  <c r="C79" i="10"/>
  <c r="G79" i="10"/>
  <c r="D80" i="10"/>
  <c r="A81" i="10"/>
  <c r="E81" i="10"/>
  <c r="B82" i="10"/>
  <c r="F82" i="10"/>
  <c r="C83" i="10"/>
  <c r="G83" i="10"/>
  <c r="D84" i="10"/>
  <c r="A85" i="10"/>
  <c r="E85" i="10"/>
  <c r="B86" i="10"/>
  <c r="F86" i="10"/>
  <c r="C87" i="10"/>
  <c r="G87" i="10"/>
  <c r="D88" i="10"/>
  <c r="A89" i="10"/>
  <c r="E89" i="10"/>
  <c r="B90" i="10"/>
  <c r="F90" i="10"/>
  <c r="C91" i="10"/>
  <c r="G91" i="10"/>
  <c r="D92" i="10"/>
  <c r="A93" i="10"/>
  <c r="E93" i="10"/>
  <c r="B94" i="10"/>
  <c r="F94" i="10"/>
  <c r="C95" i="10"/>
  <c r="G95" i="10"/>
  <c r="D96" i="10"/>
  <c r="A97" i="10"/>
  <c r="E97" i="10"/>
  <c r="B98" i="10"/>
  <c r="F98" i="10"/>
  <c r="C99" i="10"/>
  <c r="G99" i="10"/>
  <c r="D100" i="10"/>
  <c r="B5" i="10"/>
  <c r="D7" i="10"/>
  <c r="F9" i="10"/>
  <c r="A12" i="10"/>
  <c r="C14" i="10"/>
  <c r="E16" i="10"/>
  <c r="G18" i="10"/>
  <c r="B21" i="10"/>
  <c r="D23" i="10"/>
  <c r="F25" i="10"/>
  <c r="A28" i="10"/>
  <c r="C30" i="10"/>
  <c r="E32" i="10"/>
  <c r="G34" i="10"/>
  <c r="B37" i="10"/>
  <c r="D39" i="10"/>
  <c r="F41" i="10"/>
  <c r="A44" i="10"/>
  <c r="C46" i="10"/>
  <c r="E48" i="10"/>
  <c r="G50" i="10"/>
  <c r="B53" i="10"/>
  <c r="A55" i="10"/>
  <c r="B56" i="10"/>
  <c r="B57" i="10"/>
  <c r="G57" i="10"/>
  <c r="E58" i="10"/>
  <c r="D59" i="10"/>
  <c r="B60" i="10"/>
  <c r="G60" i="10"/>
  <c r="F61" i="10"/>
  <c r="D62" i="10"/>
  <c r="B63" i="10"/>
  <c r="A64" i="10"/>
  <c r="F64" i="10"/>
  <c r="D65" i="10"/>
  <c r="C66" i="10"/>
  <c r="A67" i="10"/>
  <c r="F67" i="10"/>
  <c r="E68" i="10"/>
  <c r="C69" i="10"/>
  <c r="A70" i="10"/>
  <c r="G70" i="10"/>
  <c r="E71" i="10"/>
  <c r="C72" i="10"/>
  <c r="B73" i="10"/>
  <c r="G73" i="10"/>
  <c r="E74" i="10"/>
  <c r="D75" i="10"/>
  <c r="A76" i="10"/>
  <c r="E76" i="10"/>
  <c r="B77" i="10"/>
  <c r="F77" i="10"/>
  <c r="C78" i="10"/>
  <c r="G78" i="10"/>
  <c r="D79" i="10"/>
  <c r="A80" i="10"/>
  <c r="E80" i="10"/>
  <c r="B81" i="10"/>
  <c r="F81" i="10"/>
  <c r="C82" i="10"/>
  <c r="G82" i="10"/>
  <c r="D83" i="10"/>
  <c r="A84" i="10"/>
  <c r="E84" i="10"/>
  <c r="B85" i="10"/>
  <c r="F85" i="10"/>
  <c r="C86" i="10"/>
  <c r="G86" i="10"/>
  <c r="D87" i="10"/>
  <c r="A88" i="10"/>
  <c r="E88" i="10"/>
  <c r="B89" i="10"/>
  <c r="F89" i="10"/>
  <c r="C90" i="10"/>
  <c r="G90" i="10"/>
  <c r="D91" i="10"/>
  <c r="A92" i="10"/>
  <c r="E92" i="10"/>
  <c r="B93" i="10"/>
  <c r="F93" i="10"/>
  <c r="C94" i="10"/>
  <c r="G94" i="10"/>
  <c r="D95" i="10"/>
  <c r="A96" i="10"/>
  <c r="E96" i="10"/>
  <c r="B97" i="10"/>
  <c r="F97" i="10"/>
  <c r="C98" i="10"/>
  <c r="G98" i="10"/>
  <c r="D99" i="10"/>
  <c r="A100" i="10"/>
  <c r="E100" i="10"/>
  <c r="G27" i="10"/>
  <c r="F26" i="10"/>
  <c r="E26" i="10"/>
  <c r="C27" i="10"/>
  <c r="G9" i="10"/>
  <c r="G8" i="10"/>
  <c r="G10" i="10"/>
  <c r="G11" i="10"/>
  <c r="G7" i="10"/>
  <c r="M3" i="1" l="1"/>
  <c r="N3" i="1"/>
  <c r="P3" i="1" s="1"/>
  <c r="B1" i="17"/>
  <c r="A3" i="8"/>
  <c r="D3" i="8"/>
  <c r="B4" i="8"/>
  <c r="F4" i="8"/>
  <c r="J4" i="8"/>
  <c r="D5" i="8"/>
  <c r="H5" i="8"/>
  <c r="B6" i="8"/>
  <c r="F6" i="8"/>
  <c r="J6" i="8"/>
  <c r="B8" i="8"/>
  <c r="J8" i="8"/>
  <c r="D9" i="8"/>
  <c r="H9" i="8"/>
  <c r="B10" i="8"/>
  <c r="F10" i="8"/>
  <c r="J10" i="8"/>
  <c r="D11" i="8"/>
  <c r="H11" i="8"/>
  <c r="B12" i="8"/>
  <c r="F12" i="8"/>
  <c r="J12" i="8"/>
  <c r="D13" i="8"/>
  <c r="H13" i="8"/>
  <c r="B14" i="8"/>
  <c r="F14" i="8"/>
  <c r="J14" i="8"/>
  <c r="D15" i="8"/>
  <c r="H15" i="8"/>
  <c r="B16" i="8"/>
  <c r="F16" i="8"/>
  <c r="J16" i="8"/>
  <c r="D17" i="8"/>
  <c r="H17" i="8"/>
  <c r="B18" i="8"/>
  <c r="F18" i="8"/>
  <c r="J18" i="8"/>
  <c r="D19" i="8"/>
  <c r="H19" i="8"/>
  <c r="B20" i="8"/>
  <c r="F20" i="8"/>
  <c r="J20" i="8"/>
  <c r="D21" i="8"/>
  <c r="H21" i="8"/>
  <c r="B22" i="8"/>
  <c r="F22" i="8"/>
  <c r="J22" i="8"/>
  <c r="D23" i="8"/>
  <c r="H23" i="8"/>
  <c r="B24" i="8"/>
  <c r="F24" i="8"/>
  <c r="J24" i="8"/>
  <c r="D25" i="8"/>
  <c r="H25" i="8"/>
  <c r="B26" i="8"/>
  <c r="F26" i="8"/>
  <c r="J26" i="8"/>
  <c r="D27" i="8"/>
  <c r="H27" i="8"/>
  <c r="B28" i="8"/>
  <c r="F28" i="8"/>
  <c r="J28" i="8"/>
  <c r="D29" i="8"/>
  <c r="H29" i="8"/>
  <c r="B30" i="8"/>
  <c r="F30" i="8"/>
  <c r="J30" i="8"/>
  <c r="D31" i="8"/>
  <c r="H31" i="8"/>
  <c r="B32" i="8"/>
  <c r="F32" i="8"/>
  <c r="J32" i="8"/>
  <c r="D33" i="8"/>
  <c r="H33" i="8"/>
  <c r="B34" i="8"/>
  <c r="F34" i="8"/>
  <c r="J34" i="8"/>
  <c r="D35" i="8"/>
  <c r="H35" i="8"/>
  <c r="B36" i="8"/>
  <c r="F36" i="8"/>
  <c r="J36" i="8"/>
  <c r="D37" i="8"/>
  <c r="H37" i="8"/>
  <c r="B38" i="8"/>
  <c r="F38" i="8"/>
  <c r="J38" i="8"/>
  <c r="D39" i="8"/>
  <c r="H39" i="8"/>
  <c r="B40" i="8"/>
  <c r="F40" i="8"/>
  <c r="J40" i="8"/>
  <c r="D41" i="8"/>
  <c r="H41" i="8"/>
  <c r="B42" i="8"/>
  <c r="F42" i="8"/>
  <c r="J42" i="8"/>
  <c r="D43" i="8"/>
  <c r="H43" i="8"/>
  <c r="B44" i="8"/>
  <c r="F44" i="8"/>
  <c r="J44" i="8"/>
  <c r="D45" i="8"/>
  <c r="H45" i="8"/>
  <c r="B46" i="8"/>
  <c r="F46" i="8"/>
  <c r="J46" i="8"/>
  <c r="D47" i="8"/>
  <c r="H47" i="8"/>
  <c r="B48" i="8"/>
  <c r="F48" i="8"/>
  <c r="J48" i="8"/>
  <c r="D49" i="8"/>
  <c r="H49" i="8"/>
  <c r="B50" i="8"/>
  <c r="F50" i="8"/>
  <c r="J50" i="8"/>
  <c r="D51" i="8"/>
  <c r="H51" i="8"/>
  <c r="B52" i="8"/>
  <c r="F52" i="8"/>
  <c r="J52" i="8"/>
  <c r="D53" i="8"/>
  <c r="H53" i="8"/>
  <c r="J3" i="8"/>
  <c r="E4" i="8"/>
  <c r="A5" i="8"/>
  <c r="F5" i="8"/>
  <c r="A6" i="8"/>
  <c r="G6" i="8"/>
  <c r="B7" i="8"/>
  <c r="C8" i="8"/>
  <c r="C9" i="8"/>
  <c r="I9" i="8"/>
  <c r="D10" i="8"/>
  <c r="I10" i="8"/>
  <c r="E11" i="8"/>
  <c r="J11" i="8"/>
  <c r="E12" i="8"/>
  <c r="A13" i="8"/>
  <c r="F13" i="8"/>
  <c r="A14" i="8"/>
  <c r="G14" i="8"/>
  <c r="B15" i="8"/>
  <c r="G15" i="8"/>
  <c r="C16" i="8"/>
  <c r="H16" i="8"/>
  <c r="C17" i="8"/>
  <c r="I17" i="8"/>
  <c r="D18" i="8"/>
  <c r="I18" i="8"/>
  <c r="E19" i="8"/>
  <c r="J19" i="8"/>
  <c r="E20" i="8"/>
  <c r="A21" i="8"/>
  <c r="F21" i="8"/>
  <c r="A22" i="8"/>
  <c r="G22" i="8"/>
  <c r="B23" i="8"/>
  <c r="G23" i="8"/>
  <c r="C24" i="8"/>
  <c r="H24" i="8"/>
  <c r="C25" i="8"/>
  <c r="I25" i="8"/>
  <c r="D26" i="8"/>
  <c r="A4" i="8"/>
  <c r="G4" i="8"/>
  <c r="B5" i="8"/>
  <c r="G5" i="8"/>
  <c r="C6" i="8"/>
  <c r="H6" i="8"/>
  <c r="C7" i="8"/>
  <c r="I7" i="8"/>
  <c r="I8" i="8"/>
  <c r="E9" i="8"/>
  <c r="J9" i="8"/>
  <c r="E10" i="8"/>
  <c r="A11" i="8"/>
  <c r="F11" i="8"/>
  <c r="A12" i="8"/>
  <c r="G12" i="8"/>
  <c r="B13" i="8"/>
  <c r="G13" i="8"/>
  <c r="C14" i="8"/>
  <c r="H14" i="8"/>
  <c r="C15" i="8"/>
  <c r="I15" i="8"/>
  <c r="D16" i="8"/>
  <c r="I16" i="8"/>
  <c r="E17" i="8"/>
  <c r="J17" i="8"/>
  <c r="E18" i="8"/>
  <c r="A19" i="8"/>
  <c r="F19" i="8"/>
  <c r="A20" i="8"/>
  <c r="G20" i="8"/>
  <c r="B21" i="8"/>
  <c r="G21" i="8"/>
  <c r="C22" i="8"/>
  <c r="H22" i="8"/>
  <c r="C23" i="8"/>
  <c r="I23" i="8"/>
  <c r="D24" i="8"/>
  <c r="I24" i="8"/>
  <c r="E25" i="8"/>
  <c r="J25" i="8"/>
  <c r="E26" i="8"/>
  <c r="A27" i="8"/>
  <c r="F27" i="8"/>
  <c r="A28" i="8"/>
  <c r="G28" i="8"/>
  <c r="B29" i="8"/>
  <c r="G29" i="8"/>
  <c r="C30" i="8"/>
  <c r="H30" i="8"/>
  <c r="C31" i="8"/>
  <c r="I31" i="8"/>
  <c r="D32" i="8"/>
  <c r="I32" i="8"/>
  <c r="E33" i="8"/>
  <c r="J33" i="8"/>
  <c r="E34" i="8"/>
  <c r="A35" i="8"/>
  <c r="F35" i="8"/>
  <c r="A36" i="8"/>
  <c r="G36" i="8"/>
  <c r="B37" i="8"/>
  <c r="G37" i="8"/>
  <c r="C38" i="8"/>
  <c r="H38" i="8"/>
  <c r="C39" i="8"/>
  <c r="I39" i="8"/>
  <c r="D40" i="8"/>
  <c r="I40" i="8"/>
  <c r="E41" i="8"/>
  <c r="J41" i="8"/>
  <c r="E42" i="8"/>
  <c r="A43" i="8"/>
  <c r="F43" i="8"/>
  <c r="A44" i="8"/>
  <c r="G44" i="8"/>
  <c r="B45" i="8"/>
  <c r="G45" i="8"/>
  <c r="C46" i="8"/>
  <c r="H46" i="8"/>
  <c r="C47" i="8"/>
  <c r="I47" i="8"/>
  <c r="D48" i="8"/>
  <c r="I48" i="8"/>
  <c r="E49" i="8"/>
  <c r="J49" i="8"/>
  <c r="E50" i="8"/>
  <c r="A51" i="8"/>
  <c r="F51" i="8"/>
  <c r="A52" i="8"/>
  <c r="G52" i="8"/>
  <c r="B53" i="8"/>
  <c r="G53" i="8"/>
  <c r="B54" i="8"/>
  <c r="F54" i="8"/>
  <c r="J54" i="8"/>
  <c r="D55" i="8"/>
  <c r="H55" i="8"/>
  <c r="B56" i="8"/>
  <c r="F56" i="8"/>
  <c r="J56" i="8"/>
  <c r="D57" i="8"/>
  <c r="H57" i="8"/>
  <c r="B58" i="8"/>
  <c r="F58" i="8"/>
  <c r="J58" i="8"/>
  <c r="D59" i="8"/>
  <c r="H59" i="8"/>
  <c r="B60" i="8"/>
  <c r="F60" i="8"/>
  <c r="J60" i="8"/>
  <c r="D61" i="8"/>
  <c r="H61" i="8"/>
  <c r="B62" i="8"/>
  <c r="F62" i="8"/>
  <c r="J62" i="8"/>
  <c r="D63" i="8"/>
  <c r="H63" i="8"/>
  <c r="B64" i="8"/>
  <c r="F64" i="8"/>
  <c r="J64" i="8"/>
  <c r="D65" i="8"/>
  <c r="H65" i="8"/>
  <c r="B66" i="8"/>
  <c r="F66" i="8"/>
  <c r="J66" i="8"/>
  <c r="D67" i="8"/>
  <c r="H67" i="8"/>
  <c r="B68" i="8"/>
  <c r="F68" i="8"/>
  <c r="J68" i="8"/>
  <c r="D69" i="8"/>
  <c r="H69" i="8"/>
  <c r="B70" i="8"/>
  <c r="F70" i="8"/>
  <c r="J70" i="8"/>
  <c r="D71" i="8"/>
  <c r="H71" i="8"/>
  <c r="B72" i="8"/>
  <c r="F72" i="8"/>
  <c r="J72" i="8"/>
  <c r="D73" i="8"/>
  <c r="H73" i="8"/>
  <c r="B74" i="8"/>
  <c r="F74" i="8"/>
  <c r="J74" i="8"/>
  <c r="D75" i="8"/>
  <c r="H75" i="8"/>
  <c r="B76" i="8"/>
  <c r="F76" i="8"/>
  <c r="J76" i="8"/>
  <c r="D77" i="8"/>
  <c r="H77" i="8"/>
  <c r="B78" i="8"/>
  <c r="F78" i="8"/>
  <c r="J78" i="8"/>
  <c r="D79" i="8"/>
  <c r="H79" i="8"/>
  <c r="B80" i="8"/>
  <c r="F80" i="8"/>
  <c r="J80" i="8"/>
  <c r="D81" i="8"/>
  <c r="H81" i="8"/>
  <c r="B82" i="8"/>
  <c r="F82" i="8"/>
  <c r="J82" i="8"/>
  <c r="D83" i="8"/>
  <c r="H83" i="8"/>
  <c r="B84" i="8"/>
  <c r="F84" i="8"/>
  <c r="J84" i="8"/>
  <c r="D85" i="8"/>
  <c r="H85" i="8"/>
  <c r="B86" i="8"/>
  <c r="F86" i="8"/>
  <c r="J86" i="8"/>
  <c r="D87" i="8"/>
  <c r="H87" i="8"/>
  <c r="B88" i="8"/>
  <c r="F88" i="8"/>
  <c r="J88" i="8"/>
  <c r="D89" i="8"/>
  <c r="H89" i="8"/>
  <c r="B90" i="8"/>
  <c r="F90" i="8"/>
  <c r="J90" i="8"/>
  <c r="D91" i="8"/>
  <c r="H91" i="8"/>
  <c r="B92" i="8"/>
  <c r="F92" i="8"/>
  <c r="J92" i="8"/>
  <c r="D93" i="8"/>
  <c r="H93" i="8"/>
  <c r="B94" i="8"/>
  <c r="F94" i="8"/>
  <c r="J94" i="8"/>
  <c r="D95" i="8"/>
  <c r="H95" i="8"/>
  <c r="B96" i="8"/>
  <c r="F96" i="8"/>
  <c r="J96" i="8"/>
  <c r="D97" i="8"/>
  <c r="H97" i="8"/>
  <c r="B98" i="8"/>
  <c r="F98" i="8"/>
  <c r="J98" i="8"/>
  <c r="D99" i="8"/>
  <c r="H99" i="8"/>
  <c r="B100" i="8"/>
  <c r="F100" i="8"/>
  <c r="J100" i="8"/>
  <c r="B3" i="8"/>
  <c r="C4" i="8"/>
  <c r="H4" i="8"/>
  <c r="C5" i="8"/>
  <c r="I5" i="8"/>
  <c r="D6" i="8"/>
  <c r="I6" i="8"/>
  <c r="J7" i="8"/>
  <c r="A9" i="8"/>
  <c r="F9" i="8"/>
  <c r="A10" i="8"/>
  <c r="G10" i="8"/>
  <c r="B11" i="8"/>
  <c r="G11" i="8"/>
  <c r="C12" i="8"/>
  <c r="H12" i="8"/>
  <c r="C13" i="8"/>
  <c r="I13" i="8"/>
  <c r="D14" i="8"/>
  <c r="I14" i="8"/>
  <c r="E15" i="8"/>
  <c r="J15" i="8"/>
  <c r="E16" i="8"/>
  <c r="A17" i="8"/>
  <c r="F17" i="8"/>
  <c r="A18" i="8"/>
  <c r="G18" i="8"/>
  <c r="B19" i="8"/>
  <c r="G19" i="8"/>
  <c r="C20" i="8"/>
  <c r="H20" i="8"/>
  <c r="C21" i="8"/>
  <c r="I21" i="8"/>
  <c r="D22" i="8"/>
  <c r="C3" i="8"/>
  <c r="E5" i="8"/>
  <c r="G9" i="8"/>
  <c r="I11" i="8"/>
  <c r="J13" i="8"/>
  <c r="A16" i="8"/>
  <c r="C18" i="8"/>
  <c r="D20" i="8"/>
  <c r="E22" i="8"/>
  <c r="F23" i="8"/>
  <c r="G24" i="8"/>
  <c r="G25" i="8"/>
  <c r="H26" i="8"/>
  <c r="E27" i="8"/>
  <c r="C28" i="8"/>
  <c r="I28" i="8"/>
  <c r="F29" i="8"/>
  <c r="D30" i="8"/>
  <c r="A31" i="8"/>
  <c r="G31" i="8"/>
  <c r="E32" i="8"/>
  <c r="B33" i="8"/>
  <c r="I33" i="8"/>
  <c r="G34" i="8"/>
  <c r="C35" i="8"/>
  <c r="J35" i="8"/>
  <c r="H36" i="8"/>
  <c r="E37" i="8"/>
  <c r="A38" i="8"/>
  <c r="I38" i="8"/>
  <c r="F39" i="8"/>
  <c r="C40" i="8"/>
  <c r="A41" i="8"/>
  <c r="G41" i="8"/>
  <c r="D42" i="8"/>
  <c r="B43" i="8"/>
  <c r="I43" i="8"/>
  <c r="E44" i="8"/>
  <c r="C45" i="8"/>
  <c r="J45" i="8"/>
  <c r="G46" i="8"/>
  <c r="E47" i="8"/>
  <c r="A48" i="8"/>
  <c r="H48" i="8"/>
  <c r="F49" i="8"/>
  <c r="C50" i="8"/>
  <c r="I50" i="8"/>
  <c r="G51" i="8"/>
  <c r="D52" i="8"/>
  <c r="A53" i="8"/>
  <c r="I53" i="8"/>
  <c r="D54" i="8"/>
  <c r="I54" i="8"/>
  <c r="E55" i="8"/>
  <c r="J55" i="8"/>
  <c r="E56" i="8"/>
  <c r="A57" i="8"/>
  <c r="F57" i="8"/>
  <c r="A58" i="8"/>
  <c r="G58" i="8"/>
  <c r="B59" i="8"/>
  <c r="G59" i="8"/>
  <c r="C60" i="8"/>
  <c r="H60" i="8"/>
  <c r="C61" i="8"/>
  <c r="I61" i="8"/>
  <c r="D62" i="8"/>
  <c r="I62" i="8"/>
  <c r="E63" i="8"/>
  <c r="J63" i="8"/>
  <c r="E64" i="8"/>
  <c r="A65" i="8"/>
  <c r="F65" i="8"/>
  <c r="A66" i="8"/>
  <c r="G66" i="8"/>
  <c r="B67" i="8"/>
  <c r="G67" i="8"/>
  <c r="C68" i="8"/>
  <c r="H68" i="8"/>
  <c r="C69" i="8"/>
  <c r="I69" i="8"/>
  <c r="D70" i="8"/>
  <c r="I70" i="8"/>
  <c r="E71" i="8"/>
  <c r="J71" i="8"/>
  <c r="E72" i="8"/>
  <c r="A73" i="8"/>
  <c r="F73" i="8"/>
  <c r="A74" i="8"/>
  <c r="G74" i="8"/>
  <c r="B75" i="8"/>
  <c r="G75" i="8"/>
  <c r="C76" i="8"/>
  <c r="H76" i="8"/>
  <c r="C77" i="8"/>
  <c r="D78" i="8"/>
  <c r="I78" i="8"/>
  <c r="E79" i="8"/>
  <c r="J79" i="8"/>
  <c r="A81" i="8"/>
  <c r="A82" i="8"/>
  <c r="G83" i="8"/>
  <c r="H84" i="8"/>
  <c r="I85" i="8"/>
  <c r="E87" i="8"/>
  <c r="E88" i="8"/>
  <c r="F89" i="8"/>
  <c r="G90" i="8"/>
  <c r="G91" i="8"/>
  <c r="H92" i="8"/>
  <c r="D94" i="8"/>
  <c r="E95" i="8"/>
  <c r="A97" i="8"/>
  <c r="A98" i="8"/>
  <c r="B99" i="8"/>
  <c r="C100" i="8"/>
  <c r="J5" i="8"/>
  <c r="C10" i="8"/>
  <c r="E14" i="8"/>
  <c r="H18" i="8"/>
  <c r="I22" i="8"/>
  <c r="J23" i="8"/>
  <c r="A26" i="8"/>
  <c r="G27" i="8"/>
  <c r="I4" i="8"/>
  <c r="A7" i="8"/>
  <c r="B9" i="8"/>
  <c r="C11" i="8"/>
  <c r="E13" i="8"/>
  <c r="F15" i="8"/>
  <c r="G17" i="8"/>
  <c r="I19" i="8"/>
  <c r="J21" i="8"/>
  <c r="E23" i="8"/>
  <c r="E24" i="8"/>
  <c r="F25" i="8"/>
  <c r="G26" i="8"/>
  <c r="C27" i="8"/>
  <c r="J27" i="8"/>
  <c r="H28" i="8"/>
  <c r="E29" i="8"/>
  <c r="A30" i="8"/>
  <c r="I30" i="8"/>
  <c r="F31" i="8"/>
  <c r="C32" i="8"/>
  <c r="A33" i="8"/>
  <c r="G33" i="8"/>
  <c r="D34" i="8"/>
  <c r="B35" i="8"/>
  <c r="I35" i="8"/>
  <c r="E36" i="8"/>
  <c r="C37" i="8"/>
  <c r="J37" i="8"/>
  <c r="G38" i="8"/>
  <c r="E39" i="8"/>
  <c r="A40" i="8"/>
  <c r="H40" i="8"/>
  <c r="F41" i="8"/>
  <c r="C42" i="8"/>
  <c r="I42" i="8"/>
  <c r="G43" i="8"/>
  <c r="D44" i="8"/>
  <c r="A45" i="8"/>
  <c r="I45" i="8"/>
  <c r="E46" i="8"/>
  <c r="B47" i="8"/>
  <c r="J47" i="8"/>
  <c r="G48" i="8"/>
  <c r="C49" i="8"/>
  <c r="A50" i="8"/>
  <c r="H50" i="8"/>
  <c r="E51" i="8"/>
  <c r="C52" i="8"/>
  <c r="I52" i="8"/>
  <c r="F53" i="8"/>
  <c r="C54" i="8"/>
  <c r="H54" i="8"/>
  <c r="C55" i="8"/>
  <c r="I55" i="8"/>
  <c r="D56" i="8"/>
  <c r="I56" i="8"/>
  <c r="E57" i="8"/>
  <c r="J57" i="8"/>
  <c r="E58" i="8"/>
  <c r="A59" i="8"/>
  <c r="F59" i="8"/>
  <c r="A60" i="8"/>
  <c r="G60" i="8"/>
  <c r="B61" i="8"/>
  <c r="G61" i="8"/>
  <c r="C62" i="8"/>
  <c r="H62" i="8"/>
  <c r="C63" i="8"/>
  <c r="I63" i="8"/>
  <c r="D64" i="8"/>
  <c r="I64" i="8"/>
  <c r="E65" i="8"/>
  <c r="J65" i="8"/>
  <c r="E66" i="8"/>
  <c r="A67" i="8"/>
  <c r="F67" i="8"/>
  <c r="A68" i="8"/>
  <c r="G68" i="8"/>
  <c r="B69" i="8"/>
  <c r="G69" i="8"/>
  <c r="C70" i="8"/>
  <c r="H70" i="8"/>
  <c r="C71" i="8"/>
  <c r="I71" i="8"/>
  <c r="D72" i="8"/>
  <c r="I72" i="8"/>
  <c r="E73" i="8"/>
  <c r="J73" i="8"/>
  <c r="E74" i="8"/>
  <c r="A75" i="8"/>
  <c r="F75" i="8"/>
  <c r="A76" i="8"/>
  <c r="G76" i="8"/>
  <c r="B77" i="8"/>
  <c r="G77" i="8"/>
  <c r="C78" i="8"/>
  <c r="H78" i="8"/>
  <c r="C79" i="8"/>
  <c r="I79" i="8"/>
  <c r="D80" i="8"/>
  <c r="I80" i="8"/>
  <c r="E81" i="8"/>
  <c r="J81" i="8"/>
  <c r="E82" i="8"/>
  <c r="A83" i="8"/>
  <c r="F83" i="8"/>
  <c r="A84" i="8"/>
  <c r="G84" i="8"/>
  <c r="B85" i="8"/>
  <c r="G85" i="8"/>
  <c r="C86" i="8"/>
  <c r="H86" i="8"/>
  <c r="C87" i="8"/>
  <c r="I87" i="8"/>
  <c r="D88" i="8"/>
  <c r="I88" i="8"/>
  <c r="E89" i="8"/>
  <c r="J89" i="8"/>
  <c r="E90" i="8"/>
  <c r="A91" i="8"/>
  <c r="F91" i="8"/>
  <c r="A92" i="8"/>
  <c r="G92" i="8"/>
  <c r="B93" i="8"/>
  <c r="G93" i="8"/>
  <c r="C94" i="8"/>
  <c r="H94" i="8"/>
  <c r="C95" i="8"/>
  <c r="I95" i="8"/>
  <c r="D96" i="8"/>
  <c r="I96" i="8"/>
  <c r="E97" i="8"/>
  <c r="J97" i="8"/>
  <c r="E98" i="8"/>
  <c r="A99" i="8"/>
  <c r="F99" i="8"/>
  <c r="A100" i="8"/>
  <c r="G100" i="8"/>
  <c r="I77" i="8"/>
  <c r="E80" i="8"/>
  <c r="F81" i="8"/>
  <c r="G82" i="8"/>
  <c r="B83" i="8"/>
  <c r="C84" i="8"/>
  <c r="C85" i="8"/>
  <c r="D86" i="8"/>
  <c r="I86" i="8"/>
  <c r="J87" i="8"/>
  <c r="A89" i="8"/>
  <c r="A90" i="8"/>
  <c r="B91" i="8"/>
  <c r="C92" i="8"/>
  <c r="C93" i="8"/>
  <c r="I93" i="8"/>
  <c r="I94" i="8"/>
  <c r="J95" i="8"/>
  <c r="E96" i="8"/>
  <c r="F97" i="8"/>
  <c r="G98" i="8"/>
  <c r="G99" i="8"/>
  <c r="H100" i="8"/>
  <c r="I3" i="8"/>
  <c r="A8" i="8"/>
  <c r="D12" i="8"/>
  <c r="G16" i="8"/>
  <c r="I20" i="8"/>
  <c r="A25" i="8"/>
  <c r="I26" i="8"/>
  <c r="D28" i="8"/>
  <c r="D4" i="8"/>
  <c r="I12" i="8"/>
  <c r="E21" i="8"/>
  <c r="C26" i="8"/>
  <c r="E30" i="8"/>
  <c r="J31" i="8"/>
  <c r="H34" i="8"/>
  <c r="F37" i="8"/>
  <c r="E40" i="8"/>
  <c r="H44" i="8"/>
  <c r="A49" i="8"/>
  <c r="C53" i="8"/>
  <c r="G56" i="8"/>
  <c r="I59" i="8"/>
  <c r="J61" i="8"/>
  <c r="B65" i="8"/>
  <c r="C67" i="8"/>
  <c r="E70" i="8"/>
  <c r="G73" i="8"/>
  <c r="I75" i="8"/>
  <c r="A79" i="8"/>
  <c r="B81" i="8"/>
  <c r="C83" i="8"/>
  <c r="E85" i="8"/>
  <c r="G88" i="8"/>
  <c r="I91" i="8"/>
  <c r="J93" i="8"/>
  <c r="A96" i="8"/>
  <c r="C99" i="8"/>
  <c r="D100" i="8"/>
  <c r="A15" i="8"/>
  <c r="C29" i="8"/>
  <c r="F33" i="8"/>
  <c r="D36" i="8"/>
  <c r="B39" i="8"/>
  <c r="A42" i="8"/>
  <c r="I44" i="8"/>
  <c r="G47" i="8"/>
  <c r="G50" i="8"/>
  <c r="E53" i="8"/>
  <c r="G55" i="8"/>
  <c r="I58" i="8"/>
  <c r="A61" i="8"/>
  <c r="B63" i="8"/>
  <c r="C65" i="8"/>
  <c r="E67" i="8"/>
  <c r="F69" i="8"/>
  <c r="G71" i="8"/>
  <c r="I73" i="8"/>
  <c r="J75" i="8"/>
  <c r="A78" i="8"/>
  <c r="C81" i="8"/>
  <c r="E83" i="8"/>
  <c r="E84" i="8"/>
  <c r="G86" i="8"/>
  <c r="H88" i="8"/>
  <c r="I90" i="8"/>
  <c r="A93" i="8"/>
  <c r="B95" i="8"/>
  <c r="C97" i="8"/>
  <c r="E99" i="8"/>
  <c r="A24" i="8"/>
  <c r="I27" i="8"/>
  <c r="B31" i="8"/>
  <c r="A34" i="8"/>
  <c r="I36" i="8"/>
  <c r="G39" i="8"/>
  <c r="G42" i="8"/>
  <c r="E45" i="8"/>
  <c r="C48" i="8"/>
  <c r="B51" i="8"/>
  <c r="A55" i="8"/>
  <c r="B57" i="8"/>
  <c r="C59" i="8"/>
  <c r="E62" i="8"/>
  <c r="G64" i="8"/>
  <c r="H66" i="8"/>
  <c r="I68" i="8"/>
  <c r="A71" i="8"/>
  <c r="B73" i="8"/>
  <c r="D76" i="8"/>
  <c r="E78" i="8"/>
  <c r="G80" i="8"/>
  <c r="H82" i="8"/>
  <c r="I84" i="8"/>
  <c r="A87" i="8"/>
  <c r="B89" i="8"/>
  <c r="C91" i="8"/>
  <c r="E93" i="8"/>
  <c r="F95" i="8"/>
  <c r="G97" i="8"/>
  <c r="I99" i="8"/>
  <c r="H10" i="8"/>
  <c r="C19" i="8"/>
  <c r="B25" i="8"/>
  <c r="E28" i="8"/>
  <c r="J29" i="8"/>
  <c r="E31" i="8"/>
  <c r="H32" i="8"/>
  <c r="C34" i="8"/>
  <c r="G35" i="8"/>
  <c r="A37" i="8"/>
  <c r="E38" i="8"/>
  <c r="J39" i="8"/>
  <c r="C41" i="8"/>
  <c r="H42" i="8"/>
  <c r="C44" i="8"/>
  <c r="F45" i="8"/>
  <c r="A47" i="8"/>
  <c r="E48" i="8"/>
  <c r="I49" i="8"/>
  <c r="C51" i="8"/>
  <c r="H52" i="8"/>
  <c r="A54" i="8"/>
  <c r="B55" i="8"/>
  <c r="C56" i="8"/>
  <c r="C57" i="8"/>
  <c r="D58" i="8"/>
  <c r="E59" i="8"/>
  <c r="E60" i="8"/>
  <c r="F61" i="8"/>
  <c r="G62" i="8"/>
  <c r="G63" i="8"/>
  <c r="H64" i="8"/>
  <c r="I65" i="8"/>
  <c r="I66" i="8"/>
  <c r="J67" i="8"/>
  <c r="A69" i="8"/>
  <c r="A70" i="8"/>
  <c r="B71" i="8"/>
  <c r="C72" i="8"/>
  <c r="C73" i="8"/>
  <c r="D74" i="8"/>
  <c r="E75" i="8"/>
  <c r="E76" i="8"/>
  <c r="F77" i="8"/>
  <c r="G78" i="8"/>
  <c r="G79" i="8"/>
  <c r="H80" i="8"/>
  <c r="I81" i="8"/>
  <c r="I82" i="8"/>
  <c r="J83" i="8"/>
  <c r="A85" i="8"/>
  <c r="A86" i="8"/>
  <c r="B87" i="8"/>
  <c r="C88" i="8"/>
  <c r="C89" i="8"/>
  <c r="D90" i="8"/>
  <c r="E91" i="8"/>
  <c r="E92" i="8"/>
  <c r="F93" i="8"/>
  <c r="G94" i="8"/>
  <c r="G95" i="8"/>
  <c r="H96" i="8"/>
  <c r="I97" i="8"/>
  <c r="I98" i="8"/>
  <c r="J99" i="8"/>
  <c r="A29" i="8"/>
  <c r="C33" i="8"/>
  <c r="C36" i="8"/>
  <c r="A39" i="8"/>
  <c r="I41" i="8"/>
  <c r="C43" i="8"/>
  <c r="A46" i="8"/>
  <c r="F47" i="8"/>
  <c r="D50" i="8"/>
  <c r="I51" i="8"/>
  <c r="E54" i="8"/>
  <c r="F55" i="8"/>
  <c r="G57" i="8"/>
  <c r="H58" i="8"/>
  <c r="I60" i="8"/>
  <c r="A63" i="8"/>
  <c r="A64" i="8"/>
  <c r="C66" i="8"/>
  <c r="D68" i="8"/>
  <c r="E69" i="8"/>
  <c r="F71" i="8"/>
  <c r="G72" i="8"/>
  <c r="H74" i="8"/>
  <c r="I76" i="8"/>
  <c r="J77" i="8"/>
  <c r="A80" i="8"/>
  <c r="C82" i="8"/>
  <c r="D84" i="8"/>
  <c r="E86" i="8"/>
  <c r="F87" i="8"/>
  <c r="G89" i="8"/>
  <c r="H90" i="8"/>
  <c r="I92" i="8"/>
  <c r="A95" i="8"/>
  <c r="B97" i="8"/>
  <c r="C98" i="8"/>
  <c r="E6" i="8"/>
  <c r="A23" i="8"/>
  <c r="B27" i="8"/>
  <c r="G30" i="8"/>
  <c r="A32" i="8"/>
  <c r="I34" i="8"/>
  <c r="I37" i="8"/>
  <c r="G40" i="8"/>
  <c r="E43" i="8"/>
  <c r="D46" i="8"/>
  <c r="B49" i="8"/>
  <c r="J51" i="8"/>
  <c r="G54" i="8"/>
  <c r="H56" i="8"/>
  <c r="I57" i="8"/>
  <c r="J59" i="8"/>
  <c r="A62" i="8"/>
  <c r="C64" i="8"/>
  <c r="D66" i="8"/>
  <c r="E68" i="8"/>
  <c r="G70" i="8"/>
  <c r="H72" i="8"/>
  <c r="I74" i="8"/>
  <c r="A77" i="8"/>
  <c r="B79" i="8"/>
  <c r="C80" i="8"/>
  <c r="D82" i="8"/>
  <c r="F85" i="8"/>
  <c r="G87" i="8"/>
  <c r="I89" i="8"/>
  <c r="J91" i="8"/>
  <c r="A94" i="8"/>
  <c r="C96" i="8"/>
  <c r="D98" i="8"/>
  <c r="E100" i="8"/>
  <c r="B17" i="8"/>
  <c r="I29" i="8"/>
  <c r="G32" i="8"/>
  <c r="E35" i="8"/>
  <c r="D38" i="8"/>
  <c r="B41" i="8"/>
  <c r="J43" i="8"/>
  <c r="I46" i="8"/>
  <c r="G49" i="8"/>
  <c r="E52" i="8"/>
  <c r="J53" i="8"/>
  <c r="A56" i="8"/>
  <c r="C58" i="8"/>
  <c r="D60" i="8"/>
  <c r="E61" i="8"/>
  <c r="F63" i="8"/>
  <c r="G65" i="8"/>
  <c r="I67" i="8"/>
  <c r="J69" i="8"/>
  <c r="A72" i="8"/>
  <c r="C74" i="8"/>
  <c r="C75" i="8"/>
  <c r="E77" i="8"/>
  <c r="F79" i="8"/>
  <c r="G81" i="8"/>
  <c r="I83" i="8"/>
  <c r="J85" i="8"/>
  <c r="A88" i="8"/>
  <c r="C90" i="8"/>
  <c r="D92" i="8"/>
  <c r="E94" i="8"/>
  <c r="G96" i="8"/>
  <c r="H98" i="8"/>
  <c r="I100" i="8"/>
  <c r="A49" i="17"/>
  <c r="A53" i="17"/>
  <c r="A57" i="17"/>
  <c r="A61" i="17"/>
  <c r="A65" i="17"/>
  <c r="A69" i="17"/>
  <c r="A73" i="17"/>
  <c r="A77" i="17"/>
  <c r="A81" i="17"/>
  <c r="A85" i="17"/>
  <c r="A89" i="17"/>
  <c r="A93" i="17"/>
  <c r="A97" i="17"/>
  <c r="A52" i="17"/>
  <c r="A58" i="17"/>
  <c r="A64" i="17"/>
  <c r="A70" i="17"/>
  <c r="A76" i="17"/>
  <c r="A82" i="17"/>
  <c r="A88" i="17"/>
  <c r="A94" i="17"/>
  <c r="A100" i="17"/>
  <c r="B49" i="17"/>
  <c r="B51" i="17"/>
  <c r="B53" i="17"/>
  <c r="B55" i="17"/>
  <c r="B57" i="17"/>
  <c r="B59" i="17"/>
  <c r="B61" i="17"/>
  <c r="B63" i="17"/>
  <c r="B65" i="17"/>
  <c r="B67" i="17"/>
  <c r="B69" i="17"/>
  <c r="B71" i="17"/>
  <c r="B73" i="17"/>
  <c r="B75" i="17"/>
  <c r="B77" i="17"/>
  <c r="B79" i="17"/>
  <c r="B81" i="17"/>
  <c r="B83" i="17"/>
  <c r="B85" i="17"/>
  <c r="B87" i="17"/>
  <c r="B89" i="17"/>
  <c r="B91" i="17"/>
  <c r="B93" i="17"/>
  <c r="B95" i="17"/>
  <c r="B97" i="17"/>
  <c r="B99" i="17"/>
  <c r="A50" i="17"/>
  <c r="A56" i="17"/>
  <c r="A62" i="17"/>
  <c r="A68" i="17"/>
  <c r="A74" i="17"/>
  <c r="A80" i="17"/>
  <c r="A86" i="17"/>
  <c r="A92" i="17"/>
  <c r="A98" i="17"/>
  <c r="B48" i="17"/>
  <c r="B50" i="17"/>
  <c r="B52" i="17"/>
  <c r="B54" i="17"/>
  <c r="B56" i="17"/>
  <c r="B58" i="17"/>
  <c r="B60" i="17"/>
  <c r="B62" i="17"/>
  <c r="B64" i="17"/>
  <c r="B66" i="17"/>
  <c r="B68" i="17"/>
  <c r="B70" i="17"/>
  <c r="B72" i="17"/>
  <c r="B74" i="17"/>
  <c r="B76" i="17"/>
  <c r="B78" i="17"/>
  <c r="B80" i="17"/>
  <c r="B82" i="17"/>
  <c r="B84" i="17"/>
  <c r="B86" i="17"/>
  <c r="B88" i="17"/>
  <c r="B90" i="17"/>
  <c r="B92" i="17"/>
  <c r="B94" i="17"/>
  <c r="B96" i="17"/>
  <c r="B98" i="17"/>
  <c r="B100" i="17"/>
  <c r="A51" i="17"/>
  <c r="A55" i="17"/>
  <c r="A59" i="17"/>
  <c r="A63" i="17"/>
  <c r="A67" i="17"/>
  <c r="A71" i="17"/>
  <c r="A75" i="17"/>
  <c r="A79" i="17"/>
  <c r="A83" i="17"/>
  <c r="A87" i="17"/>
  <c r="A91" i="17"/>
  <c r="A95" i="17"/>
  <c r="A99" i="17"/>
  <c r="A48" i="17"/>
  <c r="A54" i="17"/>
  <c r="A60" i="17"/>
  <c r="A66" i="17"/>
  <c r="A72" i="17"/>
  <c r="A78" i="17"/>
  <c r="A84" i="17"/>
  <c r="A90" i="17"/>
  <c r="A96" i="17"/>
  <c r="B2" i="17"/>
  <c r="B39" i="17"/>
  <c r="A39" i="17"/>
  <c r="B38" i="17"/>
  <c r="B37" i="17"/>
  <c r="B36" i="17"/>
  <c r="A38" i="17"/>
  <c r="A37" i="17"/>
  <c r="A36" i="17"/>
  <c r="A34" i="17"/>
  <c r="A32" i="17"/>
  <c r="A35" i="17"/>
  <c r="A33" i="17"/>
  <c r="A31" i="17"/>
  <c r="B35" i="17"/>
  <c r="B34" i="17"/>
  <c r="B33" i="17"/>
  <c r="B32" i="17"/>
  <c r="B31" i="17"/>
  <c r="B30" i="17"/>
  <c r="B29" i="17"/>
  <c r="B28" i="17"/>
  <c r="B27" i="17"/>
  <c r="B26" i="17"/>
  <c r="B25" i="17"/>
  <c r="A30" i="17"/>
  <c r="A28" i="17"/>
  <c r="A25" i="17"/>
  <c r="A29" i="17"/>
  <c r="A27" i="17"/>
  <c r="A26" i="17"/>
  <c r="B24" i="17"/>
  <c r="B23" i="17"/>
  <c r="B22" i="17"/>
  <c r="B21" i="17"/>
  <c r="B20" i="17"/>
  <c r="B19" i="17"/>
  <c r="B18" i="17"/>
  <c r="A20" i="17"/>
  <c r="A23" i="17"/>
  <c r="A22" i="17"/>
  <c r="A21" i="17"/>
  <c r="A24" i="17"/>
  <c r="A19" i="17"/>
  <c r="A18" i="17"/>
  <c r="B17" i="17"/>
  <c r="B16" i="17"/>
  <c r="B15" i="17"/>
  <c r="B13" i="17"/>
  <c r="B14" i="17"/>
  <c r="B12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B11" i="17"/>
  <c r="B10" i="17"/>
  <c r="B9" i="17"/>
  <c r="B8" i="17"/>
  <c r="B7" i="17"/>
  <c r="B6" i="17"/>
  <c r="B5" i="17"/>
  <c r="B4" i="17"/>
  <c r="B3" i="17"/>
  <c r="E3" i="8"/>
  <c r="G3" i="8"/>
  <c r="H3" i="8"/>
  <c r="C9" i="7"/>
  <c r="A31" i="7"/>
  <c r="B22" i="7"/>
  <c r="C86" i="7"/>
  <c r="B19" i="7"/>
  <c r="C40" i="7"/>
  <c r="C87" i="7"/>
  <c r="A49" i="7"/>
  <c r="A8" i="7"/>
  <c r="B29" i="7"/>
  <c r="C50" i="7"/>
  <c r="C81" i="7"/>
  <c r="B12" i="7"/>
  <c r="A22" i="7"/>
  <c r="A41" i="7"/>
  <c r="C57" i="7"/>
  <c r="B16" i="7"/>
  <c r="C58" i="7"/>
  <c r="A10" i="7"/>
  <c r="B31" i="7"/>
  <c r="C83" i="7"/>
  <c r="A37" i="7"/>
  <c r="A4" i="7"/>
  <c r="B25" i="7"/>
  <c r="C46" i="7"/>
  <c r="C77" i="7"/>
  <c r="C76" i="7"/>
  <c r="C23" i="7"/>
  <c r="B30" i="7"/>
  <c r="C48" i="7"/>
  <c r="C27" i="7"/>
  <c r="B8" i="7"/>
  <c r="C29" i="7"/>
  <c r="C7" i="7"/>
  <c r="C66" i="7"/>
  <c r="C12" i="7"/>
  <c r="A34" i="7"/>
  <c r="C59" i="7"/>
  <c r="A45" i="7"/>
  <c r="A12" i="7"/>
  <c r="C53" i="7"/>
  <c r="C41" i="7"/>
  <c r="C92" i="7"/>
  <c r="C94" i="7"/>
  <c r="A53" i="7"/>
  <c r="B21" i="7"/>
  <c r="A63" i="7"/>
  <c r="A15" i="7"/>
  <c r="C39" i="7"/>
  <c r="C24" i="7"/>
  <c r="C71" i="7"/>
  <c r="A64" i="7"/>
  <c r="C34" i="7"/>
  <c r="C64" i="7"/>
  <c r="A17" i="7"/>
  <c r="C11" i="7"/>
  <c r="C68" i="7"/>
  <c r="C74" i="7"/>
  <c r="C36" i="7"/>
  <c r="B9" i="7"/>
  <c r="A47" i="7"/>
  <c r="C78" i="7"/>
  <c r="C10" i="7"/>
  <c r="C13" i="7"/>
  <c r="A35" i="7"/>
  <c r="C19" i="7"/>
  <c r="A18" i="7"/>
  <c r="B17" i="7"/>
  <c r="A62" i="7"/>
  <c r="C16" i="7"/>
  <c r="C26" i="7"/>
  <c r="B20" i="7"/>
  <c r="C54" i="7"/>
  <c r="A30" i="7"/>
  <c r="A40" i="7"/>
  <c r="B18" i="7"/>
  <c r="C33" i="7"/>
  <c r="C89" i="7"/>
  <c r="A27" i="7"/>
  <c r="B26" i="7"/>
  <c r="C20" i="7"/>
  <c r="A68" i="7"/>
  <c r="A36" i="7"/>
  <c r="C60" i="7"/>
  <c r="A19" i="7"/>
  <c r="C25" i="7"/>
  <c r="A66" i="7"/>
  <c r="B10" i="7"/>
  <c r="C70" i="7"/>
  <c r="A14" i="7"/>
  <c r="C55" i="7"/>
  <c r="A33" i="7"/>
  <c r="C98" i="7"/>
  <c r="A24" i="7"/>
  <c r="C97" i="7"/>
  <c r="C84" i="7"/>
  <c r="C35" i="7"/>
  <c r="A51" i="7"/>
  <c r="A6" i="7"/>
  <c r="C49" i="7"/>
  <c r="A11" i="7"/>
  <c r="A39" i="7"/>
  <c r="C43" i="7"/>
  <c r="C4" i="7"/>
  <c r="A26" i="7"/>
  <c r="A21" i="7"/>
  <c r="A20" i="7"/>
  <c r="C93" i="7"/>
  <c r="A9" i="7"/>
  <c r="C32" i="7"/>
  <c r="A25" i="7"/>
  <c r="A48" i="7"/>
  <c r="A3" i="7"/>
  <c r="B24" i="7"/>
  <c r="C52" i="7"/>
  <c r="C96" i="7"/>
  <c r="C51" i="7"/>
  <c r="B7" i="7"/>
  <c r="C28" i="7"/>
  <c r="A50" i="7"/>
  <c r="C75" i="7"/>
  <c r="A29" i="7"/>
  <c r="C6" i="7"/>
  <c r="A28" i="7"/>
  <c r="C31" i="7"/>
  <c r="C17" i="7"/>
  <c r="C47" i="7"/>
  <c r="C99" i="7"/>
  <c r="C37" i="7"/>
  <c r="C88" i="7"/>
  <c r="B3" i="7"/>
  <c r="A46" i="7"/>
  <c r="B13" i="7"/>
  <c r="C65" i="7"/>
  <c r="A5" i="7"/>
  <c r="B28" i="7"/>
  <c r="A38" i="7"/>
  <c r="C73" i="7"/>
  <c r="C21" i="7"/>
  <c r="A13" i="7"/>
  <c r="B15" i="7"/>
  <c r="C67" i="7"/>
  <c r="A52" i="7"/>
  <c r="C30" i="7"/>
  <c r="C61" i="7"/>
  <c r="A23" i="7"/>
  <c r="A69" i="7"/>
  <c r="C82" i="7"/>
  <c r="A65" i="7"/>
  <c r="C38" i="7"/>
  <c r="C85" i="7"/>
  <c r="C72" i="7"/>
  <c r="C63" i="7"/>
  <c r="C45" i="7"/>
  <c r="C8" i="7"/>
  <c r="B14" i="7"/>
  <c r="C18" i="7"/>
  <c r="C62" i="7"/>
  <c r="A16" i="7"/>
  <c r="C5" i="7"/>
  <c r="C80" i="7"/>
  <c r="C90" i="7"/>
  <c r="A42" i="7"/>
  <c r="C95" i="7"/>
  <c r="C14" i="7"/>
  <c r="A67" i="7"/>
  <c r="C56" i="7"/>
  <c r="B11" i="7"/>
  <c r="A32" i="7"/>
  <c r="A7" i="7"/>
  <c r="A43" i="7"/>
  <c r="A44" i="7"/>
  <c r="C15" i="7"/>
  <c r="C79" i="7"/>
  <c r="C91" i="7"/>
  <c r="C69" i="7"/>
  <c r="C42" i="7"/>
  <c r="B23" i="7"/>
  <c r="C3" i="7"/>
  <c r="C44" i="7"/>
  <c r="C22" i="7"/>
  <c r="B27" i="7"/>
  <c r="B6" i="7"/>
  <c r="B5" i="7"/>
  <c r="B4" i="7"/>
  <c r="A58" i="7"/>
  <c r="A57" i="7"/>
  <c r="A60" i="7"/>
  <c r="A61" i="7"/>
  <c r="A59" i="7"/>
  <c r="A56" i="7"/>
  <c r="A55" i="7"/>
  <c r="A54" i="7"/>
  <c r="B44" i="7"/>
  <c r="B46" i="7"/>
  <c r="B37" i="7"/>
  <c r="B48" i="7"/>
  <c r="B40" i="7"/>
  <c r="B45" i="7"/>
  <c r="B52" i="7"/>
  <c r="B51" i="7"/>
  <c r="B38" i="7"/>
  <c r="B41" i="7"/>
  <c r="B49" i="7"/>
  <c r="B42" i="7"/>
  <c r="B53" i="7"/>
  <c r="B50" i="7"/>
  <c r="B47" i="7"/>
  <c r="B43" i="7"/>
  <c r="B34" i="7"/>
  <c r="B33" i="7"/>
  <c r="B36" i="7"/>
  <c r="B35" i="7"/>
  <c r="B39" i="7"/>
  <c r="B32" i="7"/>
  <c r="A72" i="7"/>
  <c r="A75" i="7"/>
  <c r="A76" i="7"/>
  <c r="A74" i="7"/>
  <c r="A77" i="7"/>
  <c r="A73" i="7"/>
  <c r="A71" i="7"/>
  <c r="A70" i="7"/>
  <c r="A44" i="17"/>
  <c r="A40" i="17"/>
  <c r="B44" i="17"/>
  <c r="B40" i="17"/>
  <c r="A47" i="17"/>
  <c r="A43" i="17"/>
  <c r="B47" i="17"/>
  <c r="B43" i="17"/>
  <c r="A41" i="17"/>
  <c r="B45" i="17"/>
  <c r="A46" i="17"/>
  <c r="A42" i="17"/>
  <c r="B46" i="17"/>
  <c r="B42" i="17"/>
  <c r="A45" i="17"/>
  <c r="B41" i="17"/>
  <c r="G7" i="8"/>
  <c r="D7" i="8"/>
  <c r="F7" i="8"/>
  <c r="E7" i="8"/>
  <c r="H7" i="8"/>
  <c r="F8" i="8"/>
  <c r="E8" i="8"/>
  <c r="H8" i="8"/>
  <c r="D8" i="8"/>
  <c r="G8" i="8"/>
  <c r="A97" i="7"/>
  <c r="A98" i="7"/>
  <c r="A99" i="7"/>
  <c r="A95" i="7"/>
  <c r="A96" i="7"/>
  <c r="A94" i="7"/>
  <c r="A92" i="7"/>
  <c r="A93" i="7"/>
  <c r="A91" i="7"/>
  <c r="A90" i="7"/>
  <c r="A89" i="7"/>
  <c r="A82" i="7"/>
  <c r="A86" i="7"/>
  <c r="A84" i="7"/>
  <c r="A85" i="7"/>
  <c r="A83" i="7"/>
  <c r="A81" i="7"/>
  <c r="A87" i="7"/>
  <c r="A80" i="7"/>
  <c r="A88" i="7"/>
  <c r="A79" i="7"/>
  <c r="A78" i="7"/>
  <c r="F3" i="8"/>
  <c r="C1" i="17" l="1"/>
  <c r="D1" i="17"/>
  <c r="A1" i="17"/>
  <c r="C1" i="15"/>
  <c r="D1" i="15"/>
  <c r="E1" i="15"/>
  <c r="F1" i="15"/>
  <c r="G1" i="15"/>
  <c r="H1" i="13"/>
  <c r="I1" i="13"/>
  <c r="J1" i="13"/>
  <c r="K1" i="13"/>
  <c r="L1" i="13"/>
  <c r="M1" i="13"/>
  <c r="N1" i="13"/>
  <c r="O1" i="13"/>
  <c r="D53" i="17"/>
  <c r="D73" i="17"/>
  <c r="D50" i="17"/>
  <c r="D66" i="17"/>
  <c r="D82" i="17"/>
  <c r="D98" i="17"/>
  <c r="D80" i="17"/>
  <c r="D92" i="17"/>
  <c r="D51" i="17"/>
  <c r="D95" i="17"/>
  <c r="C2" i="17"/>
  <c r="D49" i="17"/>
  <c r="D64" i="17"/>
  <c r="D84" i="17"/>
  <c r="D62" i="17"/>
  <c r="D78" i="17"/>
  <c r="D94" i="17"/>
  <c r="D85" i="17"/>
  <c r="D60" i="17"/>
  <c r="D56" i="17"/>
  <c r="D76" i="17"/>
  <c r="D96" i="17"/>
  <c r="D58" i="17"/>
  <c r="D90" i="17"/>
  <c r="D65" i="17"/>
  <c r="D52" i="17"/>
  <c r="D72" i="17"/>
  <c r="D100" i="17"/>
  <c r="D71" i="17"/>
  <c r="D83" i="17"/>
  <c r="D59" i="17"/>
  <c r="D55" i="17"/>
  <c r="A2" i="17"/>
  <c r="D77" i="17"/>
  <c r="D99" i="17"/>
  <c r="D75" i="17"/>
  <c r="D57" i="17"/>
  <c r="D93" i="17"/>
  <c r="D70" i="17"/>
  <c r="D69" i="17"/>
  <c r="D89" i="17"/>
  <c r="D88" i="17"/>
  <c r="D63" i="17"/>
  <c r="D61" i="17"/>
  <c r="D67" i="17"/>
  <c r="D81" i="17"/>
  <c r="D48" i="17"/>
  <c r="D68" i="17"/>
  <c r="D54" i="17"/>
  <c r="D86" i="17"/>
  <c r="D79" i="17"/>
  <c r="D91" i="17"/>
  <c r="D74" i="17"/>
  <c r="D97" i="17"/>
  <c r="D87" i="17"/>
  <c r="A2" i="13"/>
  <c r="H2" i="13"/>
  <c r="I2" i="13"/>
  <c r="F2" i="13"/>
  <c r="G2" i="13"/>
  <c r="E2" i="13"/>
  <c r="J2" i="13"/>
  <c r="L2" i="13"/>
  <c r="O2" i="13"/>
  <c r="M2" i="13"/>
  <c r="K2" i="13"/>
  <c r="N2" i="13"/>
  <c r="D39" i="17"/>
  <c r="D38" i="17"/>
  <c r="D37" i="17"/>
  <c r="D36" i="17"/>
  <c r="D35" i="17"/>
  <c r="D34" i="17"/>
  <c r="D33" i="17"/>
  <c r="D32" i="17"/>
  <c r="D31" i="17"/>
  <c r="D30" i="17"/>
  <c r="D29" i="17"/>
  <c r="D26" i="17"/>
  <c r="D25" i="17"/>
  <c r="D27" i="17"/>
  <c r="D28" i="17"/>
  <c r="D24" i="17"/>
  <c r="D23" i="17"/>
  <c r="D22" i="17"/>
  <c r="D21" i="17"/>
  <c r="D20" i="17"/>
  <c r="D19" i="17"/>
  <c r="D18" i="17"/>
  <c r="D17" i="17"/>
  <c r="D16" i="17"/>
  <c r="D15" i="17"/>
  <c r="D14" i="17"/>
  <c r="D13" i="17"/>
  <c r="D12" i="17"/>
  <c r="D11" i="17"/>
  <c r="D10" i="17"/>
  <c r="D9" i="17"/>
  <c r="D8" i="17"/>
  <c r="D7" i="17"/>
  <c r="D6" i="17"/>
  <c r="D5" i="17"/>
  <c r="D4" i="17"/>
  <c r="D3" i="17"/>
  <c r="D2" i="17"/>
  <c r="E2" i="15"/>
  <c r="G2" i="15"/>
  <c r="B2" i="15"/>
  <c r="F2" i="15"/>
  <c r="D2" i="15"/>
  <c r="C2" i="15"/>
  <c r="D47" i="17"/>
  <c r="D43" i="17"/>
  <c r="D46" i="17"/>
  <c r="D42" i="17"/>
  <c r="D45" i="17"/>
  <c r="D41" i="17"/>
  <c r="D44" i="17"/>
  <c r="D40" i="17"/>
  <c r="B1" i="15" l="1"/>
  <c r="D2" i="13"/>
  <c r="A1" i="15" l="1"/>
  <c r="B1" i="13" l="1"/>
  <c r="D1" i="13"/>
  <c r="E1" i="13"/>
  <c r="F1" i="13"/>
  <c r="G1" i="13"/>
  <c r="A2" i="15"/>
  <c r="B2" i="13"/>
  <c r="A1" i="13" l="1"/>
  <c r="N4" i="1" l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2" i="1"/>
  <c r="B1" i="9" l="1"/>
  <c r="C1" i="9"/>
  <c r="D1" i="9"/>
  <c r="E1" i="9"/>
  <c r="F1" i="9"/>
  <c r="G1" i="9"/>
  <c r="H1" i="9"/>
  <c r="B1" i="8"/>
  <c r="C1" i="8"/>
  <c r="D1" i="8"/>
  <c r="E1" i="8"/>
  <c r="F1" i="8"/>
  <c r="G1" i="8"/>
  <c r="H1" i="8"/>
  <c r="I1" i="8"/>
  <c r="J1" i="8"/>
  <c r="B1" i="10"/>
  <c r="C1" i="10"/>
  <c r="D1" i="10"/>
  <c r="E1" i="10"/>
  <c r="F1" i="10"/>
  <c r="G1" i="10"/>
  <c r="M4" i="1" l="1"/>
  <c r="P4" i="1"/>
  <c r="M5" i="1"/>
  <c r="P5" i="1"/>
  <c r="M6" i="1"/>
  <c r="P6" i="1"/>
  <c r="M7" i="1"/>
  <c r="P7" i="1"/>
  <c r="M8" i="1"/>
  <c r="P8" i="1"/>
  <c r="M9" i="1"/>
  <c r="P9" i="1"/>
  <c r="M10" i="1"/>
  <c r="P10" i="1"/>
  <c r="M11" i="1"/>
  <c r="P11" i="1"/>
  <c r="M12" i="1"/>
  <c r="P12" i="1"/>
  <c r="M13" i="1"/>
  <c r="P13" i="1"/>
  <c r="M14" i="1"/>
  <c r="P14" i="1"/>
  <c r="M15" i="1"/>
  <c r="P15" i="1"/>
  <c r="M16" i="1"/>
  <c r="P16" i="1"/>
  <c r="M17" i="1"/>
  <c r="P17" i="1"/>
  <c r="M18" i="1"/>
  <c r="P18" i="1"/>
  <c r="M19" i="1"/>
  <c r="P19" i="1"/>
  <c r="M20" i="1"/>
  <c r="P20" i="1"/>
  <c r="M21" i="1"/>
  <c r="P21" i="1"/>
  <c r="M22" i="1"/>
  <c r="P22" i="1"/>
  <c r="M23" i="1"/>
  <c r="P23" i="1"/>
  <c r="M24" i="1"/>
  <c r="P24" i="1"/>
  <c r="M25" i="1"/>
  <c r="P25" i="1"/>
  <c r="M26" i="1"/>
  <c r="P26" i="1"/>
  <c r="M27" i="1"/>
  <c r="P27" i="1"/>
  <c r="M28" i="1"/>
  <c r="P28" i="1"/>
  <c r="M29" i="1"/>
  <c r="P29" i="1"/>
  <c r="M30" i="1"/>
  <c r="P30" i="1"/>
  <c r="M31" i="1"/>
  <c r="P31" i="1"/>
  <c r="M32" i="1"/>
  <c r="P32" i="1"/>
  <c r="M33" i="1"/>
  <c r="P33" i="1"/>
  <c r="M34" i="1"/>
  <c r="P34" i="1"/>
  <c r="M35" i="1"/>
  <c r="P35" i="1"/>
  <c r="M36" i="1"/>
  <c r="P36" i="1"/>
  <c r="M37" i="1"/>
  <c r="P37" i="1"/>
  <c r="M38" i="1"/>
  <c r="P38" i="1"/>
  <c r="M39" i="1"/>
  <c r="P39" i="1"/>
  <c r="M40" i="1"/>
  <c r="P40" i="1"/>
  <c r="M41" i="1"/>
  <c r="P41" i="1"/>
  <c r="M42" i="1"/>
  <c r="P42" i="1"/>
  <c r="M43" i="1"/>
  <c r="P43" i="1"/>
  <c r="M44" i="1"/>
  <c r="P44" i="1"/>
  <c r="M45" i="1"/>
  <c r="P45" i="1"/>
  <c r="M46" i="1"/>
  <c r="P46" i="1"/>
  <c r="M47" i="1"/>
  <c r="P47" i="1"/>
  <c r="M48" i="1"/>
  <c r="P48" i="1"/>
  <c r="M49" i="1"/>
  <c r="P49" i="1"/>
  <c r="M50" i="1"/>
  <c r="P50" i="1"/>
  <c r="M51" i="1"/>
  <c r="P51" i="1"/>
  <c r="M52" i="1"/>
  <c r="P52" i="1"/>
  <c r="M53" i="1"/>
  <c r="P53" i="1"/>
  <c r="M54" i="1"/>
  <c r="P54" i="1"/>
  <c r="M55" i="1"/>
  <c r="P55" i="1"/>
  <c r="M56" i="1"/>
  <c r="P56" i="1"/>
  <c r="M57" i="1"/>
  <c r="P57" i="1"/>
  <c r="M58" i="1"/>
  <c r="P58" i="1"/>
  <c r="M59" i="1"/>
  <c r="P59" i="1"/>
  <c r="M60" i="1"/>
  <c r="P60" i="1"/>
  <c r="M61" i="1"/>
  <c r="P61" i="1"/>
  <c r="M62" i="1"/>
  <c r="P62" i="1"/>
  <c r="M63" i="1"/>
  <c r="P63" i="1"/>
  <c r="M64" i="1"/>
  <c r="P64" i="1"/>
  <c r="M65" i="1"/>
  <c r="P65" i="1"/>
  <c r="M66" i="1"/>
  <c r="P66" i="1"/>
  <c r="M67" i="1"/>
  <c r="P67" i="1"/>
  <c r="M68" i="1"/>
  <c r="P68" i="1"/>
  <c r="M69" i="1"/>
  <c r="P69" i="1"/>
  <c r="M70" i="1"/>
  <c r="P70" i="1"/>
  <c r="M71" i="1"/>
  <c r="P71" i="1"/>
  <c r="M72" i="1"/>
  <c r="P72" i="1"/>
  <c r="M73" i="1"/>
  <c r="P73" i="1"/>
  <c r="M74" i="1"/>
  <c r="P74" i="1"/>
  <c r="M75" i="1"/>
  <c r="P75" i="1"/>
  <c r="M76" i="1"/>
  <c r="P76" i="1"/>
  <c r="M77" i="1"/>
  <c r="P77" i="1"/>
  <c r="M78" i="1"/>
  <c r="P78" i="1"/>
  <c r="M79" i="1"/>
  <c r="P79" i="1"/>
  <c r="M80" i="1"/>
  <c r="P80" i="1"/>
  <c r="M81" i="1"/>
  <c r="P81" i="1"/>
  <c r="M82" i="1"/>
  <c r="P82" i="1"/>
  <c r="M83" i="1"/>
  <c r="P83" i="1"/>
  <c r="M84" i="1"/>
  <c r="P84" i="1"/>
  <c r="M85" i="1"/>
  <c r="P85" i="1"/>
  <c r="M86" i="1"/>
  <c r="P86" i="1"/>
  <c r="M87" i="1"/>
  <c r="P87" i="1"/>
  <c r="M88" i="1"/>
  <c r="P88" i="1"/>
  <c r="M89" i="1"/>
  <c r="P89" i="1"/>
  <c r="M90" i="1"/>
  <c r="P90" i="1"/>
  <c r="M91" i="1"/>
  <c r="P91" i="1"/>
  <c r="M92" i="1"/>
  <c r="P92" i="1"/>
  <c r="M93" i="1"/>
  <c r="P93" i="1"/>
  <c r="M94" i="1"/>
  <c r="P94" i="1"/>
  <c r="M95" i="1"/>
  <c r="P95" i="1"/>
  <c r="M96" i="1"/>
  <c r="P96" i="1"/>
  <c r="M97" i="1"/>
  <c r="P97" i="1"/>
  <c r="M98" i="1"/>
  <c r="P98" i="1"/>
  <c r="M99" i="1"/>
  <c r="P99" i="1"/>
  <c r="M100" i="1"/>
  <c r="P100" i="1"/>
  <c r="M101" i="1"/>
  <c r="P101" i="1"/>
  <c r="B66" i="9"/>
  <c r="A55" i="9"/>
  <c r="B16" i="9"/>
  <c r="G26" i="9"/>
  <c r="B7" i="9"/>
  <c r="H34" i="9"/>
  <c r="F62" i="9"/>
  <c r="F48" i="9"/>
  <c r="E38" i="9"/>
  <c r="F29" i="9"/>
  <c r="A32" i="9"/>
  <c r="A45" i="9"/>
  <c r="G82" i="9"/>
  <c r="C48" i="9"/>
  <c r="A50" i="9"/>
  <c r="A31" i="9"/>
  <c r="G41" i="9"/>
  <c r="B70" i="9"/>
  <c r="E15" i="9"/>
  <c r="H63" i="9"/>
  <c r="C81" i="9"/>
  <c r="D59" i="9"/>
  <c r="C94" i="9"/>
  <c r="A88" i="9"/>
  <c r="E72" i="9"/>
  <c r="G88" i="9"/>
  <c r="H49" i="9"/>
  <c r="G27" i="9"/>
  <c r="E33" i="9"/>
  <c r="A9" i="9"/>
  <c r="D50" i="9"/>
  <c r="G84" i="9"/>
  <c r="G10" i="9"/>
  <c r="A73" i="9"/>
  <c r="B30" i="9"/>
  <c r="B6" i="9"/>
  <c r="B67" i="9"/>
  <c r="H10" i="9"/>
  <c r="F14" i="9"/>
  <c r="F100" i="9"/>
  <c r="F93" i="9"/>
  <c r="C70" i="9"/>
  <c r="F74" i="9"/>
  <c r="F3" i="9"/>
  <c r="D61" i="9"/>
  <c r="G98" i="9"/>
  <c r="H82" i="9"/>
  <c r="H65" i="9"/>
  <c r="G49" i="9"/>
  <c r="B78" i="9"/>
  <c r="F67" i="9"/>
  <c r="E23" i="9"/>
  <c r="E99" i="9"/>
  <c r="A53" i="9"/>
  <c r="C75" i="9"/>
  <c r="F23" i="9"/>
  <c r="C87" i="9"/>
  <c r="C76" i="9"/>
  <c r="H61" i="9"/>
  <c r="G35" i="9"/>
  <c r="D63" i="9"/>
  <c r="E66" i="9"/>
  <c r="A17" i="9"/>
  <c r="A38" i="9"/>
  <c r="H3" i="9"/>
  <c r="B93" i="9"/>
  <c r="G14" i="9"/>
  <c r="H41" i="9"/>
  <c r="G17" i="9"/>
  <c r="E9" i="9"/>
  <c r="D52" i="9"/>
  <c r="D38" i="9"/>
  <c r="A52" i="9"/>
  <c r="D19" i="9"/>
  <c r="E71" i="9"/>
  <c r="C85" i="9"/>
  <c r="G63" i="9"/>
  <c r="A44" i="9"/>
  <c r="G38" i="9"/>
  <c r="B69" i="9"/>
  <c r="B54" i="9"/>
  <c r="H9" i="9"/>
  <c r="B55" i="9"/>
  <c r="A19" i="9"/>
  <c r="D4" i="9"/>
  <c r="C49" i="9"/>
  <c r="D89" i="9"/>
  <c r="C30" i="9"/>
  <c r="H79" i="9"/>
  <c r="D86" i="9"/>
  <c r="D33" i="9"/>
  <c r="D64" i="9"/>
  <c r="B28" i="9"/>
  <c r="B73" i="9"/>
  <c r="H14" i="9"/>
  <c r="F22" i="9"/>
  <c r="F8" i="9"/>
  <c r="F97" i="9"/>
  <c r="A86" i="9"/>
  <c r="F82" i="9"/>
  <c r="F35" i="9"/>
  <c r="F68" i="9"/>
  <c r="C74" i="9"/>
  <c r="H98" i="9"/>
  <c r="E29" i="9"/>
  <c r="G59" i="9"/>
  <c r="B88" i="9"/>
  <c r="F87" i="9"/>
  <c r="F73" i="9"/>
  <c r="G86" i="9"/>
  <c r="G46" i="9"/>
  <c r="B77" i="9"/>
  <c r="B62" i="9"/>
  <c r="G36" i="9"/>
  <c r="B19" i="9"/>
  <c r="H42" i="9"/>
  <c r="C15" i="9"/>
  <c r="F64" i="9"/>
  <c r="A65" i="9"/>
  <c r="F45" i="9"/>
  <c r="E32" i="9"/>
  <c r="B95" i="9"/>
  <c r="G96" i="9"/>
  <c r="D53" i="9"/>
  <c r="B60" i="9"/>
  <c r="B83" i="9"/>
  <c r="F38" i="9"/>
  <c r="F24" i="9"/>
  <c r="A22" i="9"/>
  <c r="F5" i="9"/>
  <c r="B96" i="9"/>
  <c r="C36" i="9"/>
  <c r="E44" i="9"/>
  <c r="F15" i="9"/>
  <c r="C92" i="9"/>
  <c r="H11" i="9"/>
  <c r="B9" i="9"/>
  <c r="B10" i="9"/>
  <c r="H53" i="9"/>
  <c r="G29" i="9"/>
  <c r="E41" i="9"/>
  <c r="A25" i="9"/>
  <c r="D54" i="9"/>
  <c r="C89" i="9"/>
  <c r="D35" i="9"/>
  <c r="E85" i="9"/>
  <c r="G83" i="9"/>
  <c r="D80" i="9"/>
  <c r="A62" i="9"/>
  <c r="G42" i="9"/>
  <c r="B27" i="9"/>
  <c r="H46" i="9"/>
  <c r="C23" i="9"/>
  <c r="C9" i="9"/>
  <c r="D69" i="9"/>
  <c r="F53" i="9"/>
  <c r="E48" i="9"/>
  <c r="A26" i="9"/>
  <c r="A89" i="9"/>
  <c r="A77" i="9"/>
  <c r="G24" i="9"/>
  <c r="B5" i="9"/>
  <c r="H32" i="9"/>
  <c r="F58" i="9"/>
  <c r="F44" i="9"/>
  <c r="E30" i="9"/>
  <c r="B4" i="9"/>
  <c r="B34" i="9"/>
  <c r="H43" i="9"/>
  <c r="B45" i="9"/>
  <c r="B48" i="9"/>
  <c r="E37" i="9"/>
  <c r="G61" i="9"/>
  <c r="B90" i="9"/>
  <c r="F91" i="9"/>
  <c r="F77" i="9"/>
  <c r="G90" i="9"/>
  <c r="E43" i="9"/>
  <c r="A40" i="9"/>
  <c r="C56" i="9"/>
  <c r="A48" i="9"/>
  <c r="E28" i="9"/>
  <c r="H25" i="9"/>
  <c r="G5" i="9"/>
  <c r="E64" i="9"/>
  <c r="D28" i="9"/>
  <c r="D14" i="9"/>
  <c r="C63" i="9"/>
  <c r="C54" i="9"/>
  <c r="H91" i="9"/>
  <c r="A83" i="9"/>
  <c r="F88" i="9"/>
  <c r="H88" i="9"/>
  <c r="H7" i="9"/>
  <c r="B51" i="9"/>
  <c r="A11" i="9"/>
  <c r="C59" i="9"/>
  <c r="C45" i="9"/>
  <c r="D87" i="9"/>
  <c r="B42" i="9"/>
  <c r="H51" i="9"/>
  <c r="B53" i="9"/>
  <c r="B56" i="9"/>
  <c r="A7" i="9"/>
  <c r="G37" i="9"/>
  <c r="A66" i="9"/>
  <c r="E74" i="9"/>
  <c r="A33" i="9"/>
  <c r="H64" i="9"/>
  <c r="D51" i="9"/>
  <c r="C86" i="9"/>
  <c r="C68" i="9"/>
  <c r="D96" i="9"/>
  <c r="A56" i="9"/>
  <c r="H37" i="9"/>
  <c r="G13" i="9"/>
  <c r="E80" i="9"/>
  <c r="D44" i="9"/>
  <c r="D30" i="9"/>
  <c r="A81" i="9"/>
  <c r="H19" i="9"/>
  <c r="B65" i="9"/>
  <c r="D97" i="9"/>
  <c r="E35" i="9"/>
  <c r="H54" i="9"/>
  <c r="C6" i="9"/>
  <c r="E58" i="9"/>
  <c r="A4" i="9"/>
  <c r="G64" i="9"/>
  <c r="H40" i="9"/>
  <c r="D16" i="9"/>
  <c r="F89" i="9"/>
  <c r="B58" i="9"/>
  <c r="E53" i="9"/>
  <c r="B40" i="9"/>
  <c r="B89" i="9"/>
  <c r="H58" i="9"/>
  <c r="F75" i="9"/>
  <c r="E6" i="9"/>
  <c r="C14" i="9"/>
  <c r="E88" i="9"/>
  <c r="H78" i="9"/>
  <c r="E4" i="9"/>
  <c r="H15" i="9"/>
  <c r="B59" i="9"/>
  <c r="A35" i="9"/>
  <c r="D12" i="9"/>
  <c r="C57" i="9"/>
  <c r="D93" i="9"/>
  <c r="C38" i="9"/>
  <c r="H83" i="9"/>
  <c r="D94" i="9"/>
  <c r="A13" i="9"/>
  <c r="H72" i="9"/>
  <c r="G4" i="9"/>
  <c r="B87" i="9"/>
  <c r="H24" i="9"/>
  <c r="F42" i="9"/>
  <c r="F28" i="9"/>
  <c r="A30" i="9"/>
  <c r="B50" i="9"/>
  <c r="G48" i="9"/>
  <c r="C17" i="9"/>
  <c r="E26" i="9"/>
  <c r="B49" i="9"/>
  <c r="D85" i="9"/>
  <c r="C60" i="9"/>
  <c r="A67" i="9"/>
  <c r="F9" i="9"/>
  <c r="B98" i="9"/>
  <c r="C52" i="9"/>
  <c r="H66" i="9"/>
  <c r="F31" i="9"/>
  <c r="C71" i="9"/>
  <c r="F94" i="9"/>
  <c r="E65" i="9"/>
  <c r="B22" i="9"/>
  <c r="C73" i="9"/>
  <c r="H20" i="9"/>
  <c r="A99" i="9"/>
  <c r="A96" i="9"/>
  <c r="H89" i="9"/>
  <c r="H28" i="9"/>
  <c r="F17" i="9"/>
  <c r="F63" i="9"/>
  <c r="A84" i="9"/>
  <c r="E13" i="9"/>
  <c r="E70" i="9"/>
  <c r="D3" i="9"/>
  <c r="H96" i="9"/>
  <c r="D60" i="9"/>
  <c r="E78" i="9"/>
  <c r="A39" i="9"/>
  <c r="E69" i="9"/>
  <c r="D31" i="9"/>
  <c r="A82" i="9"/>
  <c r="G67" i="9"/>
  <c r="D76" i="9"/>
  <c r="C96" i="9"/>
  <c r="B11" i="9"/>
  <c r="E46" i="9"/>
  <c r="C100" i="9"/>
  <c r="E21" i="9"/>
  <c r="C50" i="9"/>
  <c r="H52" i="9"/>
  <c r="F65" i="9"/>
  <c r="F92" i="9"/>
  <c r="G60" i="9"/>
  <c r="C37" i="9"/>
  <c r="D74" i="9"/>
  <c r="C5" i="9"/>
  <c r="B85" i="9"/>
  <c r="B74" i="9"/>
  <c r="A21" i="9"/>
  <c r="A100" i="9"/>
  <c r="F83" i="9"/>
  <c r="E96" i="9"/>
  <c r="B36" i="9"/>
  <c r="F12" i="9"/>
  <c r="C42" i="9"/>
  <c r="H85" i="9"/>
  <c r="D98" i="9"/>
  <c r="E67" i="9"/>
  <c r="H76" i="9"/>
  <c r="B57" i="9"/>
  <c r="D91" i="9"/>
  <c r="D49" i="9"/>
  <c r="D10" i="9"/>
  <c r="G11" i="9"/>
  <c r="E77" i="9"/>
  <c r="A34" i="9"/>
  <c r="C72" i="9"/>
  <c r="E17" i="9"/>
  <c r="D23" i="9"/>
  <c r="G74" i="9"/>
  <c r="F19" i="9"/>
  <c r="B29" i="9"/>
  <c r="H18" i="9"/>
  <c r="A94" i="9"/>
  <c r="A91" i="9"/>
  <c r="H30" i="9"/>
  <c r="F21" i="9"/>
  <c r="C16" i="9"/>
  <c r="A5" i="9"/>
  <c r="G93" i="9"/>
  <c r="G55" i="9"/>
  <c r="B76" i="9"/>
  <c r="A90" i="9"/>
  <c r="C84" i="9"/>
  <c r="G89" i="9"/>
  <c r="G72" i="9"/>
  <c r="A97" i="9"/>
  <c r="B14" i="9"/>
  <c r="C13" i="9"/>
  <c r="B99" i="9"/>
  <c r="C79" i="9"/>
  <c r="C67" i="9"/>
  <c r="C8" i="9"/>
  <c r="F7" i="9"/>
  <c r="B21" i="9"/>
  <c r="E51" i="9"/>
  <c r="F90" i="9"/>
  <c r="G85" i="9"/>
  <c r="A41" i="9"/>
  <c r="F79" i="9"/>
  <c r="A70" i="9"/>
  <c r="D67" i="9"/>
  <c r="C27" i="9"/>
  <c r="C58" i="9"/>
  <c r="H92" i="9"/>
  <c r="D55" i="9"/>
  <c r="E63" i="9"/>
  <c r="D99" i="9"/>
  <c r="E93" i="9"/>
  <c r="G16" i="9"/>
  <c r="B31" i="9"/>
  <c r="A60" i="9"/>
  <c r="F51" i="9"/>
  <c r="G47" i="9"/>
  <c r="F11" i="9"/>
  <c r="H93" i="9"/>
  <c r="E82" i="9"/>
  <c r="F18" i="9"/>
  <c r="C90" i="9"/>
  <c r="B17" i="9"/>
  <c r="A51" i="9"/>
  <c r="C46" i="9"/>
  <c r="H80" i="9"/>
  <c r="C39" i="9"/>
  <c r="D11" i="9"/>
  <c r="C99" i="9"/>
  <c r="E73" i="9"/>
  <c r="B15" i="9"/>
  <c r="A43" i="9"/>
  <c r="F98" i="9"/>
  <c r="C62" i="9"/>
  <c r="G30" i="9"/>
  <c r="B37" i="9"/>
  <c r="G8" i="9"/>
  <c r="B43" i="9"/>
  <c r="B82" i="9"/>
  <c r="F32" i="9"/>
  <c r="D81" i="9"/>
  <c r="A72" i="9"/>
  <c r="D9" i="9"/>
  <c r="C28" i="9"/>
  <c r="A92" i="9"/>
  <c r="H57" i="9"/>
  <c r="G33" i="9"/>
  <c r="E57" i="9"/>
  <c r="A57" i="9"/>
  <c r="D62" i="9"/>
  <c r="C97" i="9"/>
  <c r="D43" i="9"/>
  <c r="G70" i="9"/>
  <c r="G95" i="9"/>
  <c r="D88" i="9"/>
  <c r="E90" i="9"/>
  <c r="G56" i="9"/>
  <c r="B41" i="9"/>
  <c r="H56" i="9"/>
  <c r="C43" i="9"/>
  <c r="C29" i="9"/>
  <c r="D79" i="9"/>
  <c r="H59" i="9"/>
  <c r="B33" i="9"/>
  <c r="D73" i="9"/>
  <c r="F27" i="9"/>
  <c r="A3" i="9"/>
  <c r="C22" i="9"/>
  <c r="E36" i="9"/>
  <c r="D32" i="9"/>
  <c r="C10" i="9"/>
  <c r="H69" i="9"/>
  <c r="D66" i="9"/>
  <c r="C12" i="9"/>
  <c r="A20" i="9"/>
  <c r="E45" i="9"/>
  <c r="F81" i="9"/>
  <c r="D13" i="9"/>
  <c r="A10" i="9"/>
  <c r="F34" i="9"/>
  <c r="B94" i="9"/>
  <c r="G66" i="9"/>
  <c r="G77" i="9"/>
  <c r="F50" i="9"/>
  <c r="A8" i="9"/>
  <c r="G99" i="9"/>
  <c r="F49" i="9"/>
  <c r="B38" i="9"/>
  <c r="D36" i="9"/>
  <c r="H95" i="9"/>
  <c r="H47" i="9"/>
  <c r="D46" i="9"/>
  <c r="G97" i="9"/>
  <c r="G43" i="9"/>
  <c r="E87" i="9"/>
  <c r="E27" i="9"/>
  <c r="E100" i="9"/>
  <c r="C40" i="9"/>
  <c r="E97" i="9"/>
  <c r="E12" i="9"/>
  <c r="H36" i="9"/>
  <c r="F33" i="9"/>
  <c r="D5" i="9"/>
  <c r="A15" i="9"/>
  <c r="A61" i="9"/>
  <c r="C35" i="9"/>
  <c r="G65" i="9"/>
  <c r="G20" i="9"/>
  <c r="B47" i="9"/>
  <c r="D83" i="9"/>
  <c r="C44" i="9"/>
  <c r="E40" i="9"/>
  <c r="G6" i="9"/>
  <c r="E47" i="9"/>
  <c r="A46" i="9"/>
  <c r="E5" i="9"/>
  <c r="F69" i="9"/>
  <c r="C24" i="9"/>
  <c r="B75" i="9"/>
  <c r="F99" i="9"/>
  <c r="D47" i="9"/>
  <c r="G78" i="9"/>
  <c r="A42" i="9"/>
  <c r="D92" i="9"/>
  <c r="E98" i="9"/>
  <c r="A27" i="9"/>
  <c r="C34" i="9"/>
  <c r="H68" i="9"/>
  <c r="F78" i="9"/>
  <c r="E75" i="9"/>
  <c r="D7" i="9"/>
  <c r="H100" i="9"/>
  <c r="B23" i="9"/>
  <c r="D56" i="9"/>
  <c r="A75" i="9"/>
  <c r="G18" i="9"/>
  <c r="H90" i="9"/>
  <c r="B32" i="9"/>
  <c r="F30" i="9"/>
  <c r="E83" i="9"/>
  <c r="F54" i="9"/>
  <c r="A16" i="9"/>
  <c r="C98" i="9"/>
  <c r="F57" i="9"/>
  <c r="F86" i="9"/>
  <c r="B24" i="9"/>
  <c r="A37" i="9"/>
  <c r="B25" i="9"/>
  <c r="C19" i="9"/>
  <c r="G31" i="9"/>
  <c r="B12" i="9"/>
  <c r="F40" i="9"/>
  <c r="A93" i="9"/>
  <c r="E10" i="9"/>
  <c r="H55" i="9"/>
  <c r="E92" i="9"/>
  <c r="H84" i="9"/>
  <c r="G71" i="9"/>
  <c r="B18" i="9"/>
  <c r="D20" i="9"/>
  <c r="H87" i="9"/>
  <c r="G52" i="9"/>
  <c r="C25" i="9"/>
  <c r="H67" i="9"/>
  <c r="F59" i="9"/>
  <c r="G34" i="9"/>
  <c r="B63" i="9"/>
  <c r="F10" i="9"/>
  <c r="F60" i="9"/>
  <c r="D95" i="9"/>
  <c r="H35" i="9"/>
  <c r="B8" i="9"/>
  <c r="G58" i="9"/>
  <c r="G53" i="9"/>
  <c r="F46" i="9"/>
  <c r="C33" i="9"/>
  <c r="H62" i="9"/>
  <c r="B100" i="9"/>
  <c r="D70" i="9"/>
  <c r="A54" i="9"/>
  <c r="E86" i="9"/>
  <c r="E61" i="9"/>
  <c r="H6" i="9"/>
  <c r="F6" i="9"/>
  <c r="F96" i="9"/>
  <c r="F85" i="9"/>
  <c r="G100" i="9"/>
  <c r="F66" i="9"/>
  <c r="G73" i="9"/>
  <c r="D29" i="9"/>
  <c r="G87" i="9"/>
  <c r="H70" i="9"/>
  <c r="H39" i="9"/>
  <c r="G15" i="9"/>
  <c r="A85" i="9"/>
  <c r="D48" i="9"/>
  <c r="D34" i="9"/>
  <c r="E84" i="9"/>
  <c r="B61" i="9"/>
  <c r="H50" i="9"/>
  <c r="F61" i="9"/>
  <c r="F76" i="9"/>
  <c r="C55" i="9"/>
  <c r="H75" i="9"/>
  <c r="H29" i="9"/>
  <c r="D18" i="9"/>
  <c r="D15" i="9"/>
  <c r="A68" i="9"/>
  <c r="C69" i="9"/>
  <c r="E50" i="9"/>
  <c r="A80" i="9"/>
  <c r="H4" i="9"/>
  <c r="G94" i="9"/>
  <c r="G75" i="9"/>
  <c r="G39" i="9"/>
  <c r="B52" i="9"/>
  <c r="F20" i="9"/>
  <c r="C20" i="9"/>
  <c r="B20" i="9"/>
  <c r="G12" i="9"/>
  <c r="F36" i="9"/>
  <c r="D25" i="9"/>
  <c r="E19" i="9"/>
  <c r="F72" i="9"/>
  <c r="H31" i="9"/>
  <c r="D22" i="9"/>
  <c r="G80" i="9"/>
  <c r="G25" i="9"/>
  <c r="G76" i="9"/>
  <c r="D72" i="9"/>
  <c r="B72" i="9"/>
  <c r="F25" i="9"/>
  <c r="A24" i="9"/>
  <c r="D57" i="9"/>
  <c r="E76" i="9"/>
  <c r="C32" i="9"/>
  <c r="G91" i="9"/>
  <c r="C3" i="9"/>
  <c r="E8" i="9"/>
  <c r="C82" i="9"/>
  <c r="H12" i="9"/>
  <c r="G50" i="9"/>
  <c r="C21" i="9"/>
  <c r="E42" i="9"/>
  <c r="F95" i="9"/>
  <c r="H60" i="9"/>
  <c r="C18" i="9"/>
  <c r="E20" i="9"/>
  <c r="A29" i="9"/>
  <c r="A47" i="9"/>
  <c r="A79" i="9"/>
  <c r="D2" i="9"/>
  <c r="G57" i="9"/>
  <c r="G79" i="9"/>
  <c r="E89" i="9"/>
  <c r="H16" i="9"/>
  <c r="A58" i="9"/>
  <c r="F70" i="9"/>
  <c r="G81" i="9"/>
  <c r="D45" i="9"/>
  <c r="G92" i="9"/>
  <c r="H74" i="9"/>
  <c r="D8" i="9"/>
  <c r="H81" i="9"/>
  <c r="B71" i="9"/>
  <c r="D100" i="9"/>
  <c r="D40" i="9"/>
  <c r="H97" i="9"/>
  <c r="G19" i="9"/>
  <c r="H45" i="9"/>
  <c r="D42" i="9"/>
  <c r="B68" i="9"/>
  <c r="B44" i="9"/>
  <c r="F16" i="9"/>
  <c r="C4" i="9"/>
  <c r="D41" i="9"/>
  <c r="G21" i="9"/>
  <c r="B84" i="9"/>
  <c r="E49" i="9"/>
  <c r="C80" i="9"/>
  <c r="H21" i="9"/>
  <c r="D6" i="9"/>
  <c r="A69" i="9"/>
  <c r="B39" i="9"/>
  <c r="D77" i="9"/>
  <c r="H99" i="9"/>
  <c r="E34" i="9"/>
  <c r="H17" i="9"/>
  <c r="H8" i="9"/>
  <c r="C11" i="9"/>
  <c r="C61" i="9"/>
  <c r="B26" i="9"/>
  <c r="A23" i="9"/>
  <c r="B46" i="9"/>
  <c r="A78" i="9"/>
  <c r="H26" i="9"/>
  <c r="C47" i="9"/>
  <c r="E55" i="9"/>
  <c r="F13" i="9"/>
  <c r="H71" i="9"/>
  <c r="F55" i="9"/>
  <c r="F47" i="9"/>
  <c r="G32" i="9"/>
  <c r="B13" i="9"/>
  <c r="H38" i="9"/>
  <c r="C7" i="9"/>
  <c r="F56" i="9"/>
  <c r="E54" i="9"/>
  <c r="F37" i="9"/>
  <c r="E16" i="9"/>
  <c r="A64" i="9"/>
  <c r="E94" i="9"/>
  <c r="D21" i="9"/>
  <c r="A95" i="9"/>
  <c r="E68" i="9"/>
  <c r="G51" i="9"/>
  <c r="B80" i="9"/>
  <c r="F71" i="9"/>
  <c r="E39" i="9"/>
  <c r="A98" i="9"/>
  <c r="B64" i="9"/>
  <c r="C31" i="9"/>
  <c r="A63" i="9"/>
  <c r="H5" i="9"/>
  <c r="C41" i="9"/>
  <c r="D78" i="9"/>
  <c r="G7" i="9"/>
  <c r="A71" i="9"/>
  <c r="C65" i="9"/>
  <c r="C83" i="9"/>
  <c r="F39" i="9"/>
  <c r="C95" i="9"/>
  <c r="A87" i="9"/>
  <c r="B92" i="9"/>
  <c r="E59" i="9"/>
  <c r="E60" i="9"/>
  <c r="D24" i="9"/>
  <c r="B81" i="9"/>
  <c r="A14" i="9"/>
  <c r="A12" i="9"/>
  <c r="G40" i="9"/>
  <c r="B91" i="9"/>
  <c r="E14" i="9"/>
  <c r="H86" i="9"/>
  <c r="G3" i="9"/>
  <c r="G22" i="9"/>
  <c r="G9" i="9"/>
  <c r="A74" i="9"/>
  <c r="A18" i="9"/>
  <c r="E25" i="9"/>
  <c r="D27" i="9"/>
  <c r="C88" i="9"/>
  <c r="E31" i="9"/>
  <c r="C26" i="9"/>
  <c r="H77" i="9"/>
  <c r="D82" i="9"/>
  <c r="D17" i="9"/>
  <c r="E52" i="9"/>
  <c r="G28" i="9"/>
  <c r="F52" i="9"/>
  <c r="E3" i="9"/>
  <c r="E18" i="9"/>
  <c r="F4" i="9"/>
  <c r="B35" i="9"/>
  <c r="D75" i="9"/>
  <c r="F43" i="9"/>
  <c r="A76" i="9"/>
  <c r="C51" i="9"/>
  <c r="H73" i="9"/>
  <c r="H44" i="9"/>
  <c r="G54" i="9"/>
  <c r="G45" i="9"/>
  <c r="E91" i="9"/>
  <c r="A36" i="9"/>
  <c r="B86" i="9"/>
  <c r="E11" i="9"/>
  <c r="A28" i="9"/>
  <c r="F26" i="9"/>
  <c r="F41" i="9"/>
  <c r="E24" i="9"/>
  <c r="F80" i="9"/>
  <c r="G69" i="9"/>
  <c r="D37" i="9"/>
  <c r="H13" i="9"/>
  <c r="C53" i="9"/>
  <c r="D90" i="9"/>
  <c r="A59" i="9"/>
  <c r="H33" i="9"/>
  <c r="D26" i="9"/>
  <c r="C91" i="9"/>
  <c r="C78" i="9"/>
  <c r="G23" i="9"/>
  <c r="G68" i="9"/>
  <c r="D68" i="9"/>
  <c r="A49" i="9"/>
  <c r="H27" i="9"/>
  <c r="B79" i="9"/>
  <c r="A6" i="9"/>
  <c r="B97" i="9"/>
  <c r="B3" i="9"/>
  <c r="E22" i="9"/>
  <c r="H94" i="9"/>
  <c r="D71" i="9"/>
  <c r="E79" i="9"/>
  <c r="E7" i="9"/>
  <c r="C93" i="9"/>
  <c r="H48" i="9"/>
  <c r="F84" i="9"/>
  <c r="D58" i="9"/>
  <c r="E95" i="9"/>
  <c r="E81" i="9"/>
  <c r="D84" i="9"/>
  <c r="G44" i="9"/>
  <c r="C64" i="9"/>
  <c r="D39" i="9"/>
  <c r="G62" i="9"/>
  <c r="D65" i="9"/>
  <c r="E62" i="9"/>
  <c r="C77" i="9"/>
  <c r="E56" i="9"/>
  <c r="C66" i="9"/>
  <c r="H2" i="9"/>
  <c r="B2" i="9"/>
  <c r="C2" i="9"/>
  <c r="F2" i="9"/>
  <c r="A2" i="9"/>
  <c r="G2" i="9"/>
  <c r="E2" i="9"/>
  <c r="A2" i="8"/>
  <c r="I2" i="8"/>
  <c r="E2" i="8"/>
  <c r="F2" i="8"/>
  <c r="J2" i="8"/>
  <c r="C2" i="8"/>
  <c r="B2" i="8"/>
  <c r="G2" i="8"/>
  <c r="D2" i="8"/>
  <c r="H2" i="8"/>
  <c r="H23" i="9"/>
  <c r="H22" i="9"/>
  <c r="E2" i="10"/>
  <c r="D2" i="10"/>
  <c r="C2" i="10"/>
  <c r="G2" i="10"/>
  <c r="F2" i="10"/>
  <c r="M2" i="1" l="1"/>
  <c r="P2" i="1"/>
  <c r="A1" i="10" l="1"/>
  <c r="C2" i="7"/>
  <c r="A2" i="7"/>
  <c r="B2" i="7"/>
  <c r="B2" i="10"/>
  <c r="A2" i="10"/>
  <c r="A1" i="9" l="1"/>
  <c r="A1" i="8"/>
  <c r="C1" i="7"/>
  <c r="B1" i="7"/>
  <c r="A1" i="7"/>
</calcChain>
</file>

<file path=xl/comments1.xml><?xml version="1.0" encoding="utf-8"?>
<comments xmlns="http://schemas.openxmlformats.org/spreadsheetml/2006/main">
  <authors>
    <author>yinweli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yinweli:</t>
        </r>
        <r>
          <rPr>
            <sz val="9"/>
            <color indexed="81"/>
            <rFont val="Tahoma"/>
            <family val="2"/>
          </rPr>
          <t xml:space="preserve">
GUID</t>
        </r>
        <r>
          <rPr>
            <sz val="9"/>
            <color indexed="81"/>
            <rFont val="細明體"/>
            <family val="3"/>
            <charset val="136"/>
          </rPr>
          <t>就是</t>
        </r>
        <r>
          <rPr>
            <sz val="9"/>
            <color indexed="81"/>
            <rFont val="Tahoma"/>
            <family val="2"/>
          </rPr>
          <t>ENUM_Achievement</t>
        </r>
        <r>
          <rPr>
            <sz val="9"/>
            <color indexed="81"/>
            <rFont val="細明體"/>
            <family val="3"/>
            <charset val="136"/>
          </rPr>
          <t>的編號</t>
        </r>
      </text>
    </comment>
  </commentList>
</comments>
</file>

<file path=xl/sharedStrings.xml><?xml version="1.0" encoding="utf-8"?>
<sst xmlns="http://schemas.openxmlformats.org/spreadsheetml/2006/main" count="485" uniqueCount="307">
  <si>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</si>
  <si>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</si>
  <si>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</si>
  <si>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</si>
  <si>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</si>
  <si>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</si>
  <si>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</si>
  <si>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</si>
  <si>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</si>
  <si>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</si>
  <si>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</si>
  <si>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</si>
  <si>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</si>
  <si>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</si>
  <si>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</si>
  <si>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</si>
  <si>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</si>
  <si>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</si>
  <si>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</si>
  <si>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</si>
  <si>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</si>
  <si>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</si>
  <si>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</si>
  <si>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</si>
  <si>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</si>
  <si>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手電筒</t>
  </si>
  <si>
    <t>小刀</t>
  </si>
  <si>
    <t>手槍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</si>
  <si>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</si>
  <si>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</si>
  <si>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</si>
  <si>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</si>
  <si>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</si>
  <si>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Value</t>
    <phoneticPr fontId="1" type="noConversion"/>
  </si>
  <si>
    <t>備註</t>
    <phoneticPr fontId="1" type="noConversion"/>
  </si>
  <si>
    <t>特性(Mode)</t>
    <phoneticPr fontId="1" type="noConversion"/>
  </si>
  <si>
    <t>裝備(Resource)</t>
    <phoneticPr fontId="1" type="noConversion"/>
  </si>
  <si>
    <t>Group</t>
    <phoneticPr fontId="1" type="noConversion"/>
  </si>
  <si>
    <t>GUID</t>
    <phoneticPr fontId="1" type="noConversion"/>
  </si>
  <si>
    <t>Mode</t>
    <phoneticPr fontId="1" type="noConversion"/>
  </si>
  <si>
    <t>HP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</si>
  <si>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</si>
  <si>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</si>
  <si>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</si>
  <si>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</si>
  <si>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</si>
  <si>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</si>
  <si>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</si>
  <si>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輸出路徑：</t>
    <phoneticPr fontId="1" type="noConversion"/>
  </si>
  <si>
    <t>CriticalStrike</t>
    <phoneticPr fontId="1" type="noConversion"/>
  </si>
  <si>
    <t>每秒傷害</t>
    <phoneticPr fontId="1" type="noConversion"/>
  </si>
  <si>
    <t>殺敵時間</t>
    <phoneticPr fontId="1" type="noConversion"/>
  </si>
  <si>
    <t>怪物血量</t>
    <phoneticPr fontId="1" type="noConversion"/>
  </si>
  <si>
    <t>Knife</t>
  </si>
  <si>
    <t>左輪手槍</t>
  </si>
  <si>
    <t>沙漠之鷹</t>
  </si>
  <si>
    <t>Submachine</t>
  </si>
  <si>
    <t>衝鋒槍</t>
  </si>
  <si>
    <t>突擊步槍</t>
  </si>
  <si>
    <t>Light machine gun</t>
  </si>
  <si>
    <t>輕機槍</t>
  </si>
  <si>
    <t>Assault Rifle</t>
  </si>
  <si>
    <t>每秒次數</t>
    <phoneticPr fontId="1" type="noConversion"/>
  </si>
  <si>
    <t>MoveSpeed</t>
  </si>
  <si>
    <t>廚師</t>
  </si>
  <si>
    <t>醫生</t>
  </si>
  <si>
    <t>肥胖</t>
  </si>
  <si>
    <t>殘疾</t>
  </si>
  <si>
    <t>健康</t>
  </si>
  <si>
    <t>強壯</t>
  </si>
  <si>
    <t>感冒</t>
  </si>
  <si>
    <t>受傷</t>
  </si>
  <si>
    <t>Chef</t>
  </si>
  <si>
    <t>Obesity</t>
  </si>
  <si>
    <t>Disability</t>
  </si>
  <si>
    <t>Strong</t>
  </si>
  <si>
    <t>Flu</t>
  </si>
  <si>
    <t>Injured</t>
  </si>
  <si>
    <t>Gain</t>
    <phoneticPr fontId="1" type="noConversion"/>
  </si>
  <si>
    <t>Health</t>
  </si>
  <si>
    <t>殭屍1</t>
    <phoneticPr fontId="1" type="noConversion"/>
  </si>
  <si>
    <t>殭屍2</t>
  </si>
  <si>
    <t>殭屍3</t>
  </si>
  <si>
    <t>殭屍4</t>
  </si>
  <si>
    <t>殭屍5</t>
  </si>
  <si>
    <t>史萊姆1</t>
    <phoneticPr fontId="1" type="noConversion"/>
  </si>
  <si>
    <t>史萊姆2</t>
  </si>
  <si>
    <t>史萊姆3</t>
  </si>
  <si>
    <t>史萊姆5</t>
  </si>
  <si>
    <t>狼人1</t>
    <phoneticPr fontId="1" type="noConversion"/>
  </si>
  <si>
    <t>狼人2</t>
  </si>
  <si>
    <t>狼人3</t>
  </si>
  <si>
    <t>狼人4</t>
  </si>
  <si>
    <t>狼人5</t>
  </si>
  <si>
    <t>Description</t>
    <phoneticPr fontId="1" type="noConversion"/>
  </si>
  <si>
    <t>Enegry</t>
    <phoneticPr fontId="1" type="noConversion"/>
  </si>
  <si>
    <t>增加耐力上限</t>
  </si>
  <si>
    <t>增加耐力上限</t>
    <phoneticPr fontId="1" type="noConversion"/>
  </si>
  <si>
    <t>增加耐力回復</t>
  </si>
  <si>
    <t>增加耐力回復</t>
    <phoneticPr fontId="1" type="noConversion"/>
  </si>
  <si>
    <t>增加致命</t>
  </si>
  <si>
    <t>增加致命</t>
    <phoneticPr fontId="1" type="noConversion"/>
  </si>
  <si>
    <t>增加增傷</t>
  </si>
  <si>
    <t>增加增傷</t>
    <phoneticPr fontId="1" type="noConversion"/>
  </si>
  <si>
    <t>增加最少絕招次數</t>
  </si>
  <si>
    <t>增加護盾次數</t>
  </si>
  <si>
    <t>增加怪物能量</t>
  </si>
  <si>
    <t>冰凍</t>
  </si>
  <si>
    <t>Threat</t>
    <phoneticPr fontId="1" type="noConversion"/>
  </si>
  <si>
    <t>增加最少絕招次數</t>
    <phoneticPr fontId="1" type="noConversion"/>
  </si>
  <si>
    <t>笨拙</t>
  </si>
  <si>
    <t>粗心</t>
  </si>
  <si>
    <t>精英</t>
  </si>
  <si>
    <t>天才</t>
  </si>
  <si>
    <t>損壞</t>
  </si>
  <si>
    <t>改裝</t>
  </si>
  <si>
    <t>通訊兵</t>
  </si>
  <si>
    <t>將軍</t>
  </si>
  <si>
    <t>護盾</t>
  </si>
  <si>
    <t>噩夢</t>
  </si>
  <si>
    <t>詛咒</t>
  </si>
  <si>
    <t>低調</t>
    <phoneticPr fontId="1" type="noConversion"/>
  </si>
  <si>
    <t>醒目</t>
    <phoneticPr fontId="1" type="noConversion"/>
  </si>
  <si>
    <t>無</t>
  </si>
  <si>
    <t>雙重護盾</t>
    <phoneticPr fontId="1" type="noConversion"/>
  </si>
  <si>
    <t>Doctors</t>
  </si>
  <si>
    <t>Clumsy</t>
  </si>
  <si>
    <t>Careless</t>
  </si>
  <si>
    <t>Elite</t>
  </si>
  <si>
    <t>Genius</t>
  </si>
  <si>
    <t>Modified</t>
  </si>
  <si>
    <t>Corrupted</t>
  </si>
  <si>
    <t>General</t>
  </si>
  <si>
    <t>Nightmare</t>
  </si>
  <si>
    <t>Curse</t>
  </si>
  <si>
    <t>Signaller</t>
    <phoneticPr fontId="1" type="noConversion"/>
  </si>
  <si>
    <t>Dual shield</t>
    <phoneticPr fontId="1" type="noConversion"/>
  </si>
  <si>
    <t>雙重護盾</t>
  </si>
  <si>
    <t>低調</t>
  </si>
  <si>
    <t>醒目</t>
  </si>
  <si>
    <t>Shield</t>
    <phoneticPr fontId="1" type="noConversion"/>
  </si>
  <si>
    <t>黑暗啟動</t>
    <phoneticPr fontId="1" type="noConversion"/>
  </si>
  <si>
    <t>黑暗啟動</t>
  </si>
  <si>
    <t>幽靈1</t>
    <phoneticPr fontId="1" type="noConversion"/>
  </si>
  <si>
    <t>幽靈2</t>
    <phoneticPr fontId="1" type="noConversion"/>
  </si>
  <si>
    <t>蜘蛛1</t>
    <phoneticPr fontId="1" type="noConversion"/>
  </si>
  <si>
    <t>蜘蛛2</t>
  </si>
  <si>
    <t>蜘蛛4</t>
  </si>
  <si>
    <t>蜘蛛5</t>
  </si>
  <si>
    <t>綁人</t>
  </si>
  <si>
    <t>綁人</t>
    <phoneticPr fontId="1" type="noConversion"/>
  </si>
  <si>
    <t>Low-key</t>
    <phoneticPr fontId="1" type="noConversion"/>
  </si>
  <si>
    <t>High-profile</t>
    <phoneticPr fontId="1" type="noConversion"/>
  </si>
  <si>
    <t>魔王</t>
  </si>
  <si>
    <t>魔王</t>
    <phoneticPr fontId="1" type="noConversion"/>
  </si>
  <si>
    <t>魔王1</t>
    <phoneticPr fontId="1" type="noConversion"/>
  </si>
  <si>
    <t>魔王2</t>
  </si>
  <si>
    <t>魔王3</t>
  </si>
  <si>
    <t>魔王4</t>
  </si>
  <si>
    <t>魔王5</t>
  </si>
  <si>
    <t>魔王6</t>
  </si>
  <si>
    <t>魔王7</t>
  </si>
  <si>
    <t>魔王8</t>
  </si>
  <si>
    <t>魔王9</t>
  </si>
  <si>
    <t>D:\Project\project_acg\Client\Assets\Resources\DBF\</t>
    <phoneticPr fontId="1" type="noConversion"/>
  </si>
  <si>
    <t>GUID</t>
    <phoneticPr fontId="1" type="noConversion"/>
  </si>
  <si>
    <t>獎勵(Reward)</t>
    <phoneticPr fontId="1" type="noConversion"/>
  </si>
  <si>
    <t>無</t>
    <phoneticPr fontId="1" type="noConversion"/>
  </si>
  <si>
    <t>單輪通過關卡數量</t>
  </si>
  <si>
    <t>累積拾取金幣數量</t>
  </si>
  <si>
    <t>累積擊敗怪物數量</t>
  </si>
  <si>
    <t>Name</t>
    <phoneticPr fontId="1" type="noConversion"/>
  </si>
  <si>
    <t>Reward</t>
    <phoneticPr fontId="1" type="noConversion"/>
  </si>
  <si>
    <t>角色外觀</t>
  </si>
  <si>
    <t>初始金錢</t>
  </si>
  <si>
    <t>初始電池</t>
  </si>
  <si>
    <t>初始輕型彈藥</t>
  </si>
  <si>
    <t>初始重型彈藥</t>
    <phoneticPr fontId="1" type="noConversion"/>
  </si>
  <si>
    <t>初始絕招</t>
  </si>
  <si>
    <t>單輪救援隊員數量</t>
  </si>
  <si>
    <t>單輪解雇隊員數量</t>
  </si>
  <si>
    <t>累積通過關卡數量</t>
  </si>
  <si>
    <t>累積拾取水晶數量</t>
  </si>
  <si>
    <t>累積拾取電池數量</t>
  </si>
  <si>
    <t>累積拾取輕型彈藥數量</t>
  </si>
  <si>
    <t>累積拾取重型彈藥數量</t>
  </si>
  <si>
    <t>累積拾取絕招數量</t>
  </si>
  <si>
    <t>Lv1Value</t>
    <phoneticPr fontId="1" type="noConversion"/>
  </si>
  <si>
    <t>Lv2Value</t>
    <phoneticPr fontId="1" type="noConversion"/>
  </si>
  <si>
    <t>Lv3Value</t>
    <phoneticPr fontId="1" type="noConversion"/>
  </si>
  <si>
    <t>Lv4Value</t>
    <phoneticPr fontId="1" type="noConversion"/>
  </si>
  <si>
    <t>Lv5Value</t>
    <phoneticPr fontId="1" type="noConversion"/>
  </si>
  <si>
    <t>Lv6Value</t>
    <phoneticPr fontId="1" type="noConversion"/>
  </si>
  <si>
    <t>Lv1Reward</t>
    <phoneticPr fontId="1" type="noConversion"/>
  </si>
  <si>
    <t>Lv2Reward</t>
  </si>
  <si>
    <t>Lv3Reward</t>
  </si>
  <si>
    <t>Lv4Reward</t>
  </si>
  <si>
    <t>Lv5Reward</t>
  </si>
  <si>
    <t>Lv6Reward</t>
  </si>
  <si>
    <t>Lv1Reward</t>
    <phoneticPr fontId="1" type="noConversion"/>
  </si>
  <si>
    <t>成就(Achievement)</t>
    <phoneticPr fontId="1" type="noConversion"/>
  </si>
  <si>
    <t>Value</t>
    <phoneticPr fontId="1" type="noConversion"/>
  </si>
  <si>
    <t>GUID</t>
    <phoneticPr fontId="1" type="noConversion"/>
  </si>
  <si>
    <t>Note</t>
    <phoneticPr fontId="1" type="noConversion"/>
  </si>
  <si>
    <t>小刀</t>
    <phoneticPr fontId="1" type="noConversion"/>
  </si>
  <si>
    <t>MaxLevel</t>
    <phoneticPr fontId="1" type="noConversion"/>
  </si>
  <si>
    <t>備註</t>
    <phoneticPr fontId="1" type="noConversion"/>
  </si>
  <si>
    <t>舊角色(10)</t>
    <phoneticPr fontId="1" type="noConversion"/>
  </si>
  <si>
    <t>舊角色(11)</t>
  </si>
  <si>
    <t>舊角色(12)</t>
  </si>
  <si>
    <t>舊角色(13)</t>
  </si>
  <si>
    <t>舊角色(14)</t>
  </si>
  <si>
    <t>舊角色(25)</t>
    <phoneticPr fontId="1" type="noConversion"/>
  </si>
  <si>
    <t>舊角色(26)</t>
  </si>
  <si>
    <t>舊角色(27)</t>
  </si>
  <si>
    <t>舊角色(28)</t>
  </si>
  <si>
    <t>舊角色(29)</t>
  </si>
  <si>
    <t>初始重型彈藥</t>
  </si>
  <si>
    <t>小史萊姆</t>
    <phoneticPr fontId="1" type="noConversion"/>
  </si>
  <si>
    <t>Pistol</t>
    <phoneticPr fontId="1" type="noConversion"/>
  </si>
  <si>
    <t>Revolver</t>
    <phoneticPr fontId="1" type="noConversion"/>
  </si>
  <si>
    <t>Desert Eagle</t>
    <phoneticPr fontId="1" type="noConversion"/>
  </si>
  <si>
    <t>Burn</t>
  </si>
  <si>
    <t>Quickly</t>
  </si>
  <si>
    <t>Freeze</t>
    <phoneticPr fontId="1" type="noConversion"/>
  </si>
  <si>
    <t>Chain</t>
  </si>
  <si>
    <t>Headshot</t>
  </si>
  <si>
    <t>Grenade</t>
  </si>
  <si>
    <t>Spiked</t>
  </si>
  <si>
    <t>Plasma</t>
  </si>
  <si>
    <t>Knife can throw faster</t>
  </si>
  <si>
    <t>Pistol can freeze monster</t>
  </si>
  <si>
    <t>Revolver can attack multiple monster</t>
  </si>
  <si>
    <t>Desert Eagle's deal more critical damage</t>
  </si>
  <si>
    <t>Submachine now shoot grenade</t>
  </si>
  <si>
    <t>Assault rifle can attack monster on the line</t>
  </si>
  <si>
    <t>Light machine gun now use battery to shoot plasma</t>
  </si>
  <si>
    <t>[ffed00]sta cap[546ef2]+4[-][-]</t>
  </si>
  <si>
    <t>[ffed00]sta cap[546ef2]+8[-][-]</t>
  </si>
  <si>
    <t>[ffed00]sta cap[e92121]-4[-][-]</t>
  </si>
  <si>
    <t>[ffed00]sta cap[e92121]-8[-][-]</t>
  </si>
  <si>
    <t>[ffed00]regain[546ef2]+2[-][-]</t>
  </si>
  <si>
    <t>[ffed00]regain[546ef2]+3[-][-]</t>
  </si>
  <si>
    <t>[ffed00]regain[e92121]-2[-][-]</t>
  </si>
  <si>
    <t>[ffed00]regain[e92121]-3[-][-]</t>
  </si>
  <si>
    <t>[ffed00]crit[e92121]-20%[-][-]</t>
  </si>
  <si>
    <t>[ffed00]crit[e92121]-10%[-][-]</t>
  </si>
  <si>
    <t>[ffed00]crit[546ef2]+10%[-][-]</t>
  </si>
  <si>
    <t>[ffed00]crit[546ef2]+20%[-][-]</t>
  </si>
  <si>
    <t>[ffed00]damage[546ef2]+10[-][-]</t>
  </si>
  <si>
    <t>[ffed00]damage[e92121]-10[-][-]</t>
  </si>
  <si>
    <t>[ffed00]bomb[546ef2]+1[-][-]</t>
  </si>
  <si>
    <t>[ffed00]bomb[546ef2]+2[-][-]</t>
  </si>
  <si>
    <t>[ffed00]shield[546ef2]+2[-][-]</t>
  </si>
  <si>
    <t>[ffed00]shield[546ef2]+4[-][-]</t>
  </si>
  <si>
    <t>[ffed00]monster[e92121]+3%[-][-]</t>
  </si>
  <si>
    <t>[ffed00]monster[e92121]+6%[-][-]</t>
  </si>
  <si>
    <t>[ffed00]More safe[-]</t>
  </si>
  <si>
    <t>[ffed00]More danger[-]</t>
  </si>
  <si>
    <t>Flashligh can burn monster</t>
    <phoneticPr fontId="1" type="noConversion"/>
  </si>
  <si>
    <t>Deal [FFFF00]{0}[-] damage / 2 sec</t>
  </si>
  <si>
    <t>Knife attack every [FFFF00]{0}[-] second</t>
  </si>
  <si>
    <t>Reduction [FFFF00]{0}%[-] move speed on hit</t>
  </si>
  <si>
    <t>Extra attack [FFFF00]{0}[-] target\nreduction 2 damage when hit</t>
  </si>
  <si>
    <t>[FFFF00]{0}%[-] critical damage</t>
  </si>
  <si>
    <t>Deal [FFFF00]{0}[-] area damage</t>
  </si>
  <si>
    <t>Extar attack [FFFF00]{0}[-] target</t>
  </si>
  <si>
    <t>[FFFF00]+{0}[-] bonus damage</t>
    <phoneticPr fontId="1" type="noConversion"/>
  </si>
  <si>
    <t>Stage clear in single round</t>
  </si>
  <si>
    <t>Save member in single round</t>
  </si>
  <si>
    <t>Fire member in single round</t>
  </si>
  <si>
    <t>Total stage clear</t>
  </si>
  <si>
    <t>Total crystal</t>
  </si>
  <si>
    <t>Total gold</t>
  </si>
  <si>
    <t>Total battery</t>
  </si>
  <si>
    <t>Total light ammo</t>
  </si>
  <si>
    <t>Total heavy ammo</t>
  </si>
  <si>
    <t>Total bomb</t>
  </si>
  <si>
    <t>Total monster kill</t>
  </si>
  <si>
    <t>Get new member look</t>
  </si>
  <si>
    <t>Start gold [FFFF00]+{0}[-]</t>
  </si>
  <si>
    <t>Start battery [FFFF00]+{0}[-]</t>
  </si>
  <si>
    <t>Start light ammo [FFFF00]+{0}[-]</t>
  </si>
  <si>
    <t>Start heavy ammo [FFFF00]+{0}[-]</t>
  </si>
  <si>
    <t>Start bomb [FFFF00]+{0}[-]</t>
  </si>
  <si>
    <t>Achievement2</t>
  </si>
  <si>
    <t>Achievement3</t>
  </si>
  <si>
    <t>Achievement4</t>
  </si>
  <si>
    <t>Achievement5</t>
  </si>
  <si>
    <t>Achievement6</t>
  </si>
  <si>
    <t>Achievement7</t>
  </si>
  <si>
    <t>Achievement8</t>
  </si>
  <si>
    <t>Achievement9</t>
  </si>
  <si>
    <t>Achievement10</t>
  </si>
  <si>
    <t>Achievement11</t>
  </si>
  <si>
    <t>Achievement1</t>
    <phoneticPr fontId="1" type="noConversion"/>
  </si>
  <si>
    <t>不動</t>
  </si>
  <si>
    <t>不動</t>
    <phoneticPr fontId="1" type="noConversion"/>
  </si>
  <si>
    <t>魅魔</t>
    <phoneticPr fontId="1" type="noConversion"/>
  </si>
  <si>
    <t>狸貓地藏王1</t>
    <phoneticPr fontId="1" type="noConversion"/>
  </si>
  <si>
    <t>狸貓地藏王2</t>
    <phoneticPr fontId="1" type="noConversion"/>
  </si>
  <si>
    <t>史萊姆4</t>
    <phoneticPr fontId="1" type="noConversion"/>
  </si>
  <si>
    <t>蜘蛛3</t>
    <phoneticPr fontId="1" type="noConversion"/>
  </si>
  <si>
    <t>迷住</t>
  </si>
  <si>
    <t>迷住</t>
    <phoneticPr fontId="1" type="noConversion"/>
  </si>
  <si>
    <t>迷惑盾</t>
  </si>
  <si>
    <t>迷惑盾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</si>
</sst>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9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sz val="12"/>
      <color rgb="FF000000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3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1" xfId="0" applyFill="1" applyBorder="1" applyAlignment="1">
      <alignment horizontal="left" vertical="center"/>
    </xf>
    <xf numFmtId="0" fontId="0" fillId="0" borderId="2" xfId="0" applyFill="1" applyBorder="1">
      <alignment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176" fontId="0" fillId="0" borderId="1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9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0" fillId="6" borderId="0" xfId="0" applyFont="1" applyFill="1" applyBorder="1" applyAlignment="1">
      <alignment horizontal="center" vertical="center"/>
    </xf>
    <xf numFmtId="0" fontId="0" fillId="5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6" xfId="0" applyBorder="1" applyAlignment="1">
      <alignment horizontal="right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Border="1" applyAlignment="1">
      <alignment horizontal="right" vertical="center"/>
    </xf>
    <xf numFmtId="0" fontId="0" fillId="0" borderId="5" xfId="0" applyNumberFormat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4" fillId="0" borderId="1" xfId="0" applyFont="1" applyBorder="1">
      <alignment vertical="center"/>
    </xf>
    <xf numFmtId="0" fontId="3" fillId="0" borderId="1" xfId="0" applyFont="1" applyBorder="1">
      <alignment vertical="center"/>
    </xf>
    <xf numFmtId="0" fontId="0" fillId="0" borderId="7" xfId="0" applyNumberFormat="1" applyBorder="1" applyAlignment="1">
      <alignment horizontal="center" vertical="center"/>
    </xf>
    <xf numFmtId="0" fontId="0" fillId="0" borderId="5" xfId="0" applyNumberFormat="1" applyBorder="1" applyAlignment="1">
      <alignment horizontal="right" vertical="center"/>
    </xf>
    <xf numFmtId="0" fontId="0" fillId="0" borderId="7" xfId="0" applyNumberFormat="1" applyBorder="1">
      <alignment vertical="center"/>
    </xf>
    <xf numFmtId="0" fontId="0" fillId="0" borderId="1" xfId="0" applyNumberFormat="1" applyBorder="1">
      <alignment vertical="center"/>
    </xf>
    <xf numFmtId="0" fontId="0" fillId="0" borderId="4" xfId="0" applyNumberFormat="1" applyBorder="1" applyAlignment="1">
      <alignment horizontal="right" vertical="center"/>
    </xf>
    <xf numFmtId="0" fontId="0" fillId="0" borderId="6" xfId="0" applyNumberFormat="1" applyBorder="1">
      <alignment vertical="center"/>
    </xf>
    <xf numFmtId="0" fontId="0" fillId="0" borderId="0" xfId="0" applyNumberFormat="1" applyAlignment="1">
      <alignment horizontal="center" vertical="center"/>
    </xf>
    <xf numFmtId="0" fontId="0" fillId="0" borderId="0" xfId="0" applyNumberFormat="1">
      <alignment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</cellXfs>
  <cellStyles count="1">
    <cellStyle name="一般" xfId="0" builtinId="0"/>
  </cellStyles>
  <dxfs count="72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</dxf>
    <dxf>
      <border outline="0"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105" totalsRowShown="0" headerRowDxfId="71">
  <autoFilter ref="A1:C105"/>
  <tableColumns count="3">
    <tableColumn id="1" name="GUID" dataDxfId="70"/>
    <tableColumn id="2" name="enUS" dataDxfId="69"/>
    <tableColumn id="3" name="zhTW" dataDxfId="6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J101" totalsRowShown="0" headerRowDxfId="67" headerRowBorderDxfId="66" tableBorderDxfId="65" totalsRowBorderDxfId="64">
  <autoFilter ref="A1:J101"/>
  <tableColumns count="10">
    <tableColumn id="1" name="GUID" dataDxfId="63"/>
    <tableColumn id="2" name="StrID" dataDxfId="62"/>
    <tableColumn id="3" name="Mode" dataDxfId="61"/>
    <tableColumn id="9" name="Threat" dataDxfId="60"/>
    <tableColumn id="10" name="Gain" dataDxfId="59"/>
    <tableColumn id="4" name="Damage" dataDxfId="58"/>
    <tableColumn id="8" name="CriticalStrike" dataDxfId="57"/>
    <tableColumn id="5" name="FireRate" dataDxfId="56"/>
    <tableColumn id="6" name="Range" dataDxfId="55"/>
    <tableColumn id="7" name="Resource" dataDxfId="5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H100" totalsRowShown="0" headerRowDxfId="53">
  <autoFilter ref="A1:H100"/>
  <tableColumns count="8">
    <tableColumn id="1" name="GUID" dataDxfId="52"/>
    <tableColumn id="2" name="StrID" dataDxfId="51"/>
    <tableColumn id="3" name="Mode" dataDxfId="50"/>
    <tableColumn id="5" name="Threat" dataDxfId="49"/>
    <tableColumn id="9" name="Gain" dataDxfId="48"/>
    <tableColumn id="4" name="Group" dataDxfId="47"/>
    <tableColumn id="8" name="Value" dataDxfId="46"/>
    <tableColumn id="11" name="Description" dataDxfId="4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G103" totalsRowShown="0" headerRowDxfId="44" dataDxfId="43">
  <autoFilter ref="A1:G103"/>
  <tableColumns count="7">
    <tableColumn id="1" name="GUID" dataDxfId="42"/>
    <tableColumn id="3" name="Mode" dataDxfId="41"/>
    <tableColumn id="6" name="Threat" dataDxfId="40"/>
    <tableColumn id="7" name="StageID" dataDxfId="39"/>
    <tableColumn id="2" name="Enegry" dataDxfId="38"/>
    <tableColumn id="4" name="HP" dataDxfId="37"/>
    <tableColumn id="5" name="MoveSpeed" dataDxfId="3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表格5" displayName="表格5" ref="A1:O100" totalsRowShown="0" headerRowDxfId="35" headerRowBorderDxfId="34" tableBorderDxfId="33" totalsRowBorderDxfId="32">
  <autoFilter ref="A1:O100"/>
  <tableColumns count="15">
    <tableColumn id="1" name="GUID" dataDxfId="31"/>
    <tableColumn id="2" name="Name" dataDxfId="30"/>
    <tableColumn id="15" name="MaxLevel" dataDxfId="29"/>
    <tableColumn id="3" name="Lv1Value" dataDxfId="28"/>
    <tableColumn id="4" name="Lv2Value" dataDxfId="27"/>
    <tableColumn id="5" name="Lv3Value" dataDxfId="26"/>
    <tableColumn id="6" name="Lv4Value" dataDxfId="25"/>
    <tableColumn id="7" name="Lv5Value" dataDxfId="24"/>
    <tableColumn id="8" name="Lv6Value" dataDxfId="23"/>
    <tableColumn id="9" name="Lv1Reward" dataDxfId="22"/>
    <tableColumn id="10" name="Lv2Reward" dataDxfId="21"/>
    <tableColumn id="11" name="Lv3Reward" dataDxfId="20"/>
    <tableColumn id="12" name="Lv4Reward" dataDxfId="19"/>
    <tableColumn id="13" name="Lv5Reward" dataDxfId="18"/>
    <tableColumn id="14" name="Lv6Reward" dataDxfId="1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7" name="表格7" displayName="表格7" ref="A1:G101" totalsRowShown="0" headerRowDxfId="16" dataDxfId="14" headerRowBorderDxfId="15" tableBorderDxfId="13" totalsRowBorderDxfId="12">
  <autoFilter ref="A1:G101"/>
  <tableColumns count="7">
    <tableColumn id="1" name="GUID" dataDxfId="11"/>
    <tableColumn id="9" name="Lv1Reward" dataDxfId="10"/>
    <tableColumn id="10" name="Lv2Reward" dataDxfId="9"/>
    <tableColumn id="11" name="Lv3Reward" dataDxfId="8"/>
    <tableColumn id="12" name="Lv4Reward" dataDxfId="7"/>
    <tableColumn id="13" name="Lv5Reward" dataDxfId="6"/>
    <tableColumn id="14" name="Lv6Reward" dataDxfId="5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6" name="表格6" displayName="表格6" ref="A1:D101" totalsRowShown="0" headerRowDxfId="4">
  <autoFilter ref="A1:D101"/>
  <tableColumns count="4">
    <tableColumn id="1" name="GUID" dataDxfId="3"/>
    <tableColumn id="4" name="Note" dataDxfId="2"/>
    <tableColumn id="2" name="Reward" dataDxfId="1"/>
    <tableColumn id="3" name="Valu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workbookViewId="0">
      <selection activeCell="B5" sqref="B5"/>
    </sheetView>
  </sheetViews>
  <sheetFormatPr defaultRowHeight="16.5"/>
  <cols>
    <col min="1" max="1" width="15.625" customWidth="1"/>
    <col min="2" max="2" width="80.625" customWidth="1"/>
  </cols>
  <sheetData>
    <row r="1" spans="1:2">
      <c r="A1" s="10" t="s">
        <v>48</v>
      </c>
      <c r="B1" s="3" t="s">
        <v>164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105"/>
  <sheetViews>
    <sheetView workbookViewId="0">
      <pane ySplit="1" topLeftCell="A2" activePane="bottomLeft" state="frozen"/>
      <selection pane="bottomLeft" activeCell="B91" sqref="B91"/>
    </sheetView>
  </sheetViews>
  <sheetFormatPr defaultRowHeight="16.5"/>
  <cols>
    <col min="1" max="1" width="15.625" style="3" customWidth="1"/>
    <col min="2" max="3" width="40.625" style="3" customWidth="1"/>
    <col min="4" max="16384" width="9" style="3"/>
  </cols>
  <sheetData>
    <row r="1" spans="1:3" s="2" customFormat="1">
      <c r="A1" s="1" t="s">
        <v>0</v>
      </c>
      <c r="B1" s="1" t="s">
        <v>1</v>
      </c>
      <c r="C1" s="1" t="s">
        <v>2</v>
      </c>
    </row>
    <row r="2" spans="1:3">
      <c r="A2" s="3">
        <v>1001</v>
      </c>
      <c r="B2" s="3" t="s">
        <v>24</v>
      </c>
      <c r="C2" s="3" t="s">
        <v>25</v>
      </c>
    </row>
    <row r="3" spans="1:3">
      <c r="A3" s="3">
        <v>1002</v>
      </c>
      <c r="B3" s="3" t="s">
        <v>53</v>
      </c>
      <c r="C3" s="3" t="s">
        <v>26</v>
      </c>
    </row>
    <row r="4" spans="1:3">
      <c r="A4" s="3">
        <v>1003</v>
      </c>
      <c r="B4" s="3" t="s">
        <v>219</v>
      </c>
      <c r="C4" s="14" t="s">
        <v>27</v>
      </c>
    </row>
    <row r="5" spans="1:3">
      <c r="A5" s="3">
        <v>1004</v>
      </c>
      <c r="B5" s="3" t="s">
        <v>220</v>
      </c>
      <c r="C5" s="14" t="s">
        <v>54</v>
      </c>
    </row>
    <row r="6" spans="1:3">
      <c r="A6" s="3">
        <v>1005</v>
      </c>
      <c r="B6" s="3" t="s">
        <v>221</v>
      </c>
      <c r="C6" s="14" t="s">
        <v>55</v>
      </c>
    </row>
    <row r="7" spans="1:3">
      <c r="A7" s="3">
        <v>1006</v>
      </c>
      <c r="B7" s="3" t="s">
        <v>56</v>
      </c>
      <c r="C7" s="14" t="s">
        <v>57</v>
      </c>
    </row>
    <row r="8" spans="1:3">
      <c r="A8" s="3">
        <v>1007</v>
      </c>
      <c r="B8" s="3" t="s">
        <v>61</v>
      </c>
      <c r="C8" s="14" t="s">
        <v>58</v>
      </c>
    </row>
    <row r="9" spans="1:3">
      <c r="A9" s="3">
        <v>1008</v>
      </c>
      <c r="B9" s="3" t="s">
        <v>59</v>
      </c>
      <c r="C9" s="14" t="s">
        <v>60</v>
      </c>
    </row>
    <row r="10" spans="1:3">
      <c r="A10" s="3">
        <v>2001</v>
      </c>
      <c r="B10" s="3" t="s">
        <v>72</v>
      </c>
      <c r="C10" s="18" t="s">
        <v>64</v>
      </c>
    </row>
    <row r="11" spans="1:3">
      <c r="A11" s="3">
        <v>2002</v>
      </c>
      <c r="B11" s="3" t="s">
        <v>125</v>
      </c>
      <c r="C11" s="18" t="s">
        <v>65</v>
      </c>
    </row>
    <row r="12" spans="1:3">
      <c r="A12" s="3">
        <v>2003</v>
      </c>
      <c r="B12" s="3" t="s">
        <v>73</v>
      </c>
      <c r="C12" s="18" t="s">
        <v>66</v>
      </c>
    </row>
    <row r="13" spans="1:3">
      <c r="A13" s="3">
        <v>2004</v>
      </c>
      <c r="B13" s="3" t="s">
        <v>74</v>
      </c>
      <c r="C13" s="18" t="s">
        <v>67</v>
      </c>
    </row>
    <row r="14" spans="1:3">
      <c r="A14" s="3">
        <v>2005</v>
      </c>
      <c r="B14" s="3" t="s">
        <v>79</v>
      </c>
      <c r="C14" s="18" t="s">
        <v>68</v>
      </c>
    </row>
    <row r="15" spans="1:3">
      <c r="A15" s="3">
        <v>2006</v>
      </c>
      <c r="B15" s="3" t="s">
        <v>75</v>
      </c>
      <c r="C15" s="18" t="s">
        <v>69</v>
      </c>
    </row>
    <row r="16" spans="1:3">
      <c r="A16" s="3">
        <v>2007</v>
      </c>
      <c r="B16" s="3" t="s">
        <v>76</v>
      </c>
      <c r="C16" s="18" t="s">
        <v>70</v>
      </c>
    </row>
    <row r="17" spans="1:3">
      <c r="A17" s="3">
        <v>2008</v>
      </c>
      <c r="B17" s="3" t="s">
        <v>77</v>
      </c>
      <c r="C17" s="18" t="s">
        <v>71</v>
      </c>
    </row>
    <row r="18" spans="1:3">
      <c r="A18" s="3">
        <v>2009</v>
      </c>
      <c r="B18" s="3" t="s">
        <v>126</v>
      </c>
      <c r="C18" s="18" t="s">
        <v>110</v>
      </c>
    </row>
    <row r="19" spans="1:3">
      <c r="A19" s="3">
        <v>2010</v>
      </c>
      <c r="B19" s="3" t="s">
        <v>127</v>
      </c>
      <c r="C19" s="18" t="s">
        <v>111</v>
      </c>
    </row>
    <row r="20" spans="1:3">
      <c r="A20" s="3">
        <v>2011</v>
      </c>
      <c r="B20" s="3" t="s">
        <v>128</v>
      </c>
      <c r="C20" s="18" t="s">
        <v>112</v>
      </c>
    </row>
    <row r="21" spans="1:3">
      <c r="A21" s="3">
        <v>2012</v>
      </c>
      <c r="B21" s="3" t="s">
        <v>129</v>
      </c>
      <c r="C21" s="18" t="s">
        <v>113</v>
      </c>
    </row>
    <row r="22" spans="1:3">
      <c r="A22" s="3">
        <v>2013</v>
      </c>
      <c r="B22" s="3" t="s">
        <v>130</v>
      </c>
      <c r="C22" s="18" t="s">
        <v>115</v>
      </c>
    </row>
    <row r="23" spans="1:3">
      <c r="A23" s="3">
        <v>2014</v>
      </c>
      <c r="B23" s="3" t="s">
        <v>131</v>
      </c>
      <c r="C23" s="14" t="s">
        <v>114</v>
      </c>
    </row>
    <row r="24" spans="1:3">
      <c r="A24" s="3">
        <v>2015</v>
      </c>
      <c r="B24" s="3" t="s">
        <v>135</v>
      </c>
      <c r="C24" s="14" t="s">
        <v>116</v>
      </c>
    </row>
    <row r="25" spans="1:3">
      <c r="A25" s="3">
        <v>2016</v>
      </c>
      <c r="B25" s="3" t="s">
        <v>132</v>
      </c>
      <c r="C25" s="14" t="s">
        <v>117</v>
      </c>
    </row>
    <row r="26" spans="1:3">
      <c r="A26" s="3">
        <v>2017</v>
      </c>
      <c r="B26" s="3" t="s">
        <v>140</v>
      </c>
      <c r="C26" s="14" t="s">
        <v>118</v>
      </c>
    </row>
    <row r="27" spans="1:3">
      <c r="A27" s="3">
        <v>2018</v>
      </c>
      <c r="B27" s="3" t="s">
        <v>136</v>
      </c>
      <c r="C27" s="14" t="s">
        <v>137</v>
      </c>
    </row>
    <row r="28" spans="1:3">
      <c r="A28" s="3">
        <v>2019</v>
      </c>
      <c r="B28" s="3" t="s">
        <v>133</v>
      </c>
      <c r="C28" s="14" t="s">
        <v>119</v>
      </c>
    </row>
    <row r="29" spans="1:3">
      <c r="A29" s="3">
        <v>2020</v>
      </c>
      <c r="B29" s="3" t="s">
        <v>134</v>
      </c>
      <c r="C29" s="14" t="s">
        <v>120</v>
      </c>
    </row>
    <row r="30" spans="1:3">
      <c r="A30" s="3">
        <v>2021</v>
      </c>
      <c r="B30" s="3" t="s">
        <v>151</v>
      </c>
      <c r="C30" s="14" t="s">
        <v>138</v>
      </c>
    </row>
    <row r="31" spans="1:3">
      <c r="A31" s="3">
        <v>2022</v>
      </c>
      <c r="B31" s="3" t="s">
        <v>152</v>
      </c>
      <c r="C31" s="14" t="s">
        <v>139</v>
      </c>
    </row>
    <row r="32" spans="1:3">
      <c r="A32" s="19">
        <v>3001</v>
      </c>
      <c r="B32" s="3" t="s">
        <v>237</v>
      </c>
      <c r="C32" s="22"/>
    </row>
    <row r="33" spans="1:3">
      <c r="A33" s="19">
        <v>3002</v>
      </c>
      <c r="B33" s="3" t="s">
        <v>238</v>
      </c>
      <c r="C33" s="22"/>
    </row>
    <row r="34" spans="1:3">
      <c r="A34" s="19">
        <v>3003</v>
      </c>
      <c r="B34" s="3" t="s">
        <v>239</v>
      </c>
      <c r="C34" s="22"/>
    </row>
    <row r="35" spans="1:3">
      <c r="A35" s="19">
        <v>3004</v>
      </c>
      <c r="B35" s="3" t="s">
        <v>240</v>
      </c>
      <c r="C35" s="22"/>
    </row>
    <row r="36" spans="1:3">
      <c r="A36" s="19">
        <v>3005</v>
      </c>
      <c r="B36" s="3" t="s">
        <v>241</v>
      </c>
      <c r="C36" s="22"/>
    </row>
    <row r="37" spans="1:3">
      <c r="A37" s="19">
        <v>3006</v>
      </c>
      <c r="B37" s="3" t="s">
        <v>242</v>
      </c>
      <c r="C37" s="18"/>
    </row>
    <row r="38" spans="1:3">
      <c r="A38" s="19">
        <v>3007</v>
      </c>
      <c r="B38" s="3" t="s">
        <v>243</v>
      </c>
      <c r="C38" s="18"/>
    </row>
    <row r="39" spans="1:3">
      <c r="A39" s="19">
        <v>3008</v>
      </c>
      <c r="B39" s="3" t="s">
        <v>244</v>
      </c>
      <c r="C39" s="18"/>
    </row>
    <row r="40" spans="1:3">
      <c r="A40" s="19">
        <v>3009</v>
      </c>
      <c r="B40" s="3" t="s">
        <v>245</v>
      </c>
      <c r="C40" s="18"/>
    </row>
    <row r="41" spans="1:3">
      <c r="A41" s="19">
        <v>3010</v>
      </c>
      <c r="B41" s="3" t="s">
        <v>246</v>
      </c>
      <c r="C41" s="18"/>
    </row>
    <row r="42" spans="1:3">
      <c r="A42" s="19">
        <v>3011</v>
      </c>
      <c r="B42" s="3" t="s">
        <v>247</v>
      </c>
      <c r="C42" s="18"/>
    </row>
    <row r="43" spans="1:3">
      <c r="A43" s="19">
        <v>3012</v>
      </c>
      <c r="B43" s="3" t="s">
        <v>248</v>
      </c>
      <c r="C43" s="18"/>
    </row>
    <row r="44" spans="1:3">
      <c r="A44" s="19">
        <v>3013</v>
      </c>
      <c r="B44" s="3" t="s">
        <v>249</v>
      </c>
      <c r="C44" s="18"/>
    </row>
    <row r="45" spans="1:3">
      <c r="A45" s="19">
        <v>3014</v>
      </c>
      <c r="B45" s="3" t="s">
        <v>250</v>
      </c>
      <c r="C45" s="18"/>
    </row>
    <row r="46" spans="1:3">
      <c r="A46" s="19">
        <v>3015</v>
      </c>
      <c r="B46" s="3" t="s">
        <v>251</v>
      </c>
      <c r="C46" s="18"/>
    </row>
    <row r="47" spans="1:3">
      <c r="A47" s="19">
        <v>3016</v>
      </c>
      <c r="B47" s="3" t="s">
        <v>252</v>
      </c>
      <c r="C47" s="14"/>
    </row>
    <row r="48" spans="1:3">
      <c r="A48" s="19">
        <v>3017</v>
      </c>
      <c r="B48" s="3" t="s">
        <v>253</v>
      </c>
      <c r="C48" s="14"/>
    </row>
    <row r="49" spans="1:3">
      <c r="A49" s="19">
        <v>3018</v>
      </c>
      <c r="B49" s="3" t="s">
        <v>254</v>
      </c>
      <c r="C49" s="14"/>
    </row>
    <row r="50" spans="1:3">
      <c r="A50" s="19">
        <v>3019</v>
      </c>
      <c r="B50" s="3" t="s">
        <v>255</v>
      </c>
      <c r="C50" s="14"/>
    </row>
    <row r="51" spans="1:3">
      <c r="A51" s="19">
        <v>3020</v>
      </c>
      <c r="B51" s="3" t="s">
        <v>256</v>
      </c>
      <c r="C51" s="14"/>
    </row>
    <row r="52" spans="1:3">
      <c r="A52" s="19">
        <v>3021</v>
      </c>
      <c r="B52" s="3" t="s">
        <v>257</v>
      </c>
      <c r="C52" s="14"/>
    </row>
    <row r="53" spans="1:3">
      <c r="A53" s="19">
        <v>3022</v>
      </c>
      <c r="B53" s="3" t="s">
        <v>258</v>
      </c>
      <c r="C53" s="14"/>
    </row>
    <row r="54" spans="1:3">
      <c r="A54" s="19">
        <v>4001</v>
      </c>
      <c r="B54" s="3" t="s">
        <v>222</v>
      </c>
      <c r="C54" s="14"/>
    </row>
    <row r="55" spans="1:3">
      <c r="A55" s="19">
        <v>4002</v>
      </c>
      <c r="B55" s="3" t="s">
        <v>223</v>
      </c>
      <c r="C55" s="14"/>
    </row>
    <row r="56" spans="1:3">
      <c r="A56" s="19">
        <v>4003</v>
      </c>
      <c r="B56" s="3" t="s">
        <v>224</v>
      </c>
      <c r="C56" s="14"/>
    </row>
    <row r="57" spans="1:3">
      <c r="A57" s="19">
        <v>4004</v>
      </c>
      <c r="B57" s="3" t="s">
        <v>225</v>
      </c>
      <c r="C57" s="14"/>
    </row>
    <row r="58" spans="1:3">
      <c r="A58" s="19">
        <v>4005</v>
      </c>
      <c r="B58" s="3" t="s">
        <v>226</v>
      </c>
      <c r="C58" s="14"/>
    </row>
    <row r="59" spans="1:3">
      <c r="A59" s="19">
        <v>4006</v>
      </c>
      <c r="B59" s="3" t="s">
        <v>227</v>
      </c>
      <c r="C59" s="14"/>
    </row>
    <row r="60" spans="1:3">
      <c r="A60" s="19">
        <v>4007</v>
      </c>
      <c r="B60" s="3" t="s">
        <v>228</v>
      </c>
      <c r="C60" s="14"/>
    </row>
    <row r="61" spans="1:3">
      <c r="A61" s="19">
        <v>4008</v>
      </c>
      <c r="B61" s="3" t="s">
        <v>229</v>
      </c>
      <c r="C61" s="14"/>
    </row>
    <row r="62" spans="1:3">
      <c r="A62" s="19">
        <v>5001</v>
      </c>
      <c r="B62" s="3" t="s">
        <v>259</v>
      </c>
      <c r="C62" s="14"/>
    </row>
    <row r="63" spans="1:3">
      <c r="A63" s="19">
        <v>5002</v>
      </c>
      <c r="B63" s="3" t="s">
        <v>230</v>
      </c>
      <c r="C63" s="14"/>
    </row>
    <row r="64" spans="1:3">
      <c r="A64" s="19">
        <v>5003</v>
      </c>
      <c r="B64" s="3" t="s">
        <v>231</v>
      </c>
      <c r="C64" s="14"/>
    </row>
    <row r="65" spans="1:3">
      <c r="A65" s="19">
        <v>5004</v>
      </c>
      <c r="B65" s="3" t="s">
        <v>232</v>
      </c>
      <c r="C65" s="14"/>
    </row>
    <row r="66" spans="1:3">
      <c r="A66" s="19">
        <v>5005</v>
      </c>
      <c r="B66" s="3" t="s">
        <v>233</v>
      </c>
      <c r="C66" s="14"/>
    </row>
    <row r="67" spans="1:3">
      <c r="A67" s="19">
        <v>5006</v>
      </c>
      <c r="B67" s="3" t="s">
        <v>234</v>
      </c>
      <c r="C67" s="14"/>
    </row>
    <row r="68" spans="1:3">
      <c r="A68" s="19">
        <v>5007</v>
      </c>
      <c r="B68" s="3" t="s">
        <v>235</v>
      </c>
      <c r="C68" s="14"/>
    </row>
    <row r="69" spans="1:3">
      <c r="A69" s="19">
        <v>5008</v>
      </c>
      <c r="B69" s="3" t="s">
        <v>236</v>
      </c>
      <c r="C69" s="14"/>
    </row>
    <row r="70" spans="1:3">
      <c r="A70" s="19">
        <v>6001</v>
      </c>
      <c r="B70" s="3" t="s">
        <v>260</v>
      </c>
      <c r="C70" s="14"/>
    </row>
    <row r="71" spans="1:3">
      <c r="A71" s="19">
        <v>6002</v>
      </c>
      <c r="B71" s="3" t="s">
        <v>261</v>
      </c>
      <c r="C71" s="14"/>
    </row>
    <row r="72" spans="1:3">
      <c r="A72" s="19">
        <v>6003</v>
      </c>
      <c r="B72" s="3" t="s">
        <v>262</v>
      </c>
      <c r="C72" s="14"/>
    </row>
    <row r="73" spans="1:3">
      <c r="A73" s="19">
        <v>6004</v>
      </c>
      <c r="B73" s="3" t="s">
        <v>263</v>
      </c>
      <c r="C73" s="14"/>
    </row>
    <row r="74" spans="1:3">
      <c r="A74" s="19">
        <v>6005</v>
      </c>
      <c r="B74" s="3" t="s">
        <v>264</v>
      </c>
      <c r="C74" s="14"/>
    </row>
    <row r="75" spans="1:3">
      <c r="A75" s="19">
        <v>6006</v>
      </c>
      <c r="B75" s="3" t="s">
        <v>265</v>
      </c>
      <c r="C75" s="14"/>
    </row>
    <row r="76" spans="1:3">
      <c r="A76" s="19">
        <v>6007</v>
      </c>
      <c r="B76" s="3" t="s">
        <v>266</v>
      </c>
      <c r="C76" s="14"/>
    </row>
    <row r="77" spans="1:3">
      <c r="A77" s="19">
        <v>6008</v>
      </c>
      <c r="B77" s="3" t="s">
        <v>267</v>
      </c>
      <c r="C77" s="14"/>
    </row>
    <row r="78" spans="1:3">
      <c r="A78" s="19">
        <v>7001</v>
      </c>
      <c r="B78" s="3" t="s">
        <v>295</v>
      </c>
      <c r="C78" s="14"/>
    </row>
    <row r="79" spans="1:3">
      <c r="A79" s="19">
        <v>7002</v>
      </c>
      <c r="B79" s="3" t="s">
        <v>285</v>
      </c>
      <c r="C79" s="14"/>
    </row>
    <row r="80" spans="1:3">
      <c r="A80" s="19">
        <v>7003</v>
      </c>
      <c r="B80" s="3" t="s">
        <v>286</v>
      </c>
      <c r="C80" s="14"/>
    </row>
    <row r="81" spans="1:3">
      <c r="A81" s="19">
        <v>7004</v>
      </c>
      <c r="B81" s="3" t="s">
        <v>287</v>
      </c>
      <c r="C81" s="14"/>
    </row>
    <row r="82" spans="1:3">
      <c r="A82" s="19">
        <v>7005</v>
      </c>
      <c r="B82" s="3" t="s">
        <v>288</v>
      </c>
      <c r="C82" s="14"/>
    </row>
    <row r="83" spans="1:3">
      <c r="A83" s="19">
        <v>7006</v>
      </c>
      <c r="B83" s="3" t="s">
        <v>289</v>
      </c>
      <c r="C83" s="14"/>
    </row>
    <row r="84" spans="1:3">
      <c r="A84" s="19">
        <v>7007</v>
      </c>
      <c r="B84" s="3" t="s">
        <v>290</v>
      </c>
      <c r="C84" s="14"/>
    </row>
    <row r="85" spans="1:3">
      <c r="A85" s="19">
        <v>7008</v>
      </c>
      <c r="B85" s="3" t="s">
        <v>291</v>
      </c>
      <c r="C85" s="14"/>
    </row>
    <row r="86" spans="1:3">
      <c r="A86" s="19">
        <v>7009</v>
      </c>
      <c r="B86" s="3" t="s">
        <v>292</v>
      </c>
      <c r="C86" s="14"/>
    </row>
    <row r="87" spans="1:3">
      <c r="A87" s="19">
        <v>7010</v>
      </c>
      <c r="B87" s="3" t="s">
        <v>293</v>
      </c>
      <c r="C87" s="14"/>
    </row>
    <row r="88" spans="1:3">
      <c r="A88" s="19">
        <v>7011</v>
      </c>
      <c r="B88" s="3" t="s">
        <v>294</v>
      </c>
      <c r="C88" s="14"/>
    </row>
    <row r="89" spans="1:3">
      <c r="A89" s="19">
        <v>8001</v>
      </c>
      <c r="B89" s="3" t="s">
        <v>268</v>
      </c>
      <c r="C89" s="14"/>
    </row>
    <row r="90" spans="1:3">
      <c r="A90" s="19">
        <v>8002</v>
      </c>
      <c r="B90" s="3" t="s">
        <v>269</v>
      </c>
      <c r="C90" s="14"/>
    </row>
    <row r="91" spans="1:3">
      <c r="A91" s="19">
        <v>8003</v>
      </c>
      <c r="B91" s="3" t="s">
        <v>270</v>
      </c>
      <c r="C91" s="14"/>
    </row>
    <row r="92" spans="1:3">
      <c r="A92" s="19">
        <v>8004</v>
      </c>
      <c r="B92" s="3" t="s">
        <v>271</v>
      </c>
      <c r="C92" s="14"/>
    </row>
    <row r="93" spans="1:3">
      <c r="A93" s="19">
        <v>8005</v>
      </c>
      <c r="B93" s="3" t="s">
        <v>272</v>
      </c>
      <c r="C93" s="14"/>
    </row>
    <row r="94" spans="1:3">
      <c r="A94" s="19">
        <v>8006</v>
      </c>
      <c r="B94" s="3" t="s">
        <v>273</v>
      </c>
      <c r="C94" s="14"/>
    </row>
    <row r="95" spans="1:3">
      <c r="A95" s="19">
        <v>8007</v>
      </c>
      <c r="B95" s="3" t="s">
        <v>274</v>
      </c>
      <c r="C95" s="14"/>
    </row>
    <row r="96" spans="1:3">
      <c r="A96" s="19">
        <v>8008</v>
      </c>
      <c r="B96" s="20" t="s">
        <v>275</v>
      </c>
      <c r="C96" s="15"/>
    </row>
    <row r="97" spans="1:3">
      <c r="A97" s="19">
        <v>8009</v>
      </c>
      <c r="B97" s="3" t="s">
        <v>276</v>
      </c>
      <c r="C97" s="14"/>
    </row>
    <row r="98" spans="1:3">
      <c r="A98" s="19">
        <v>8010</v>
      </c>
      <c r="B98" s="3" t="s">
        <v>277</v>
      </c>
      <c r="C98" s="14"/>
    </row>
    <row r="99" spans="1:3">
      <c r="A99" s="19">
        <v>8011</v>
      </c>
      <c r="B99" s="3" t="s">
        <v>278</v>
      </c>
      <c r="C99" s="14"/>
    </row>
    <row r="100" spans="1:3">
      <c r="A100" s="16">
        <v>9001</v>
      </c>
      <c r="B100" s="20" t="s">
        <v>279</v>
      </c>
      <c r="C100" s="15"/>
    </row>
    <row r="101" spans="1:3">
      <c r="A101" s="19">
        <v>9002</v>
      </c>
      <c r="B101" s="3" t="s">
        <v>280</v>
      </c>
      <c r="C101" s="14"/>
    </row>
    <row r="102" spans="1:3">
      <c r="A102" s="16">
        <v>9003</v>
      </c>
      <c r="B102" s="3" t="s">
        <v>281</v>
      </c>
      <c r="C102" s="14"/>
    </row>
    <row r="103" spans="1:3">
      <c r="A103" s="19">
        <v>9004</v>
      </c>
      <c r="B103" s="3" t="s">
        <v>282</v>
      </c>
      <c r="C103" s="14"/>
    </row>
    <row r="104" spans="1:3">
      <c r="A104" s="16">
        <v>9005</v>
      </c>
      <c r="B104" s="3" t="s">
        <v>283</v>
      </c>
      <c r="C104" s="14"/>
    </row>
    <row r="105" spans="1:3">
      <c r="A105" s="19">
        <v>9006</v>
      </c>
      <c r="B105" s="3" t="s">
        <v>284</v>
      </c>
      <c r="C105" s="14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P101"/>
  <sheetViews>
    <sheetView topLeftCell="B1" workbookViewId="0">
      <pane ySplit="1" topLeftCell="A2" activePane="bottomLeft" state="frozen"/>
      <selection pane="bottomLeft" activeCell="G13" sqref="G13"/>
    </sheetView>
  </sheetViews>
  <sheetFormatPr defaultRowHeight="16.5"/>
  <cols>
    <col min="1" max="10" width="15.625" style="3" customWidth="1"/>
    <col min="11" max="11" width="3.125" style="3" customWidth="1"/>
    <col min="12" max="12" width="40.625" style="3" customWidth="1"/>
    <col min="13" max="13" width="9" style="13" customWidth="1"/>
    <col min="14" max="14" width="9" style="13"/>
    <col min="15" max="15" width="9" style="3"/>
    <col min="16" max="16" width="9" style="13"/>
    <col min="17" max="16384" width="9" style="3"/>
  </cols>
  <sheetData>
    <row r="1" spans="1:16" s="2" customFormat="1">
      <c r="A1" s="2" t="s">
        <v>0</v>
      </c>
      <c r="B1" s="2" t="s">
        <v>3</v>
      </c>
      <c r="C1" s="2" t="s">
        <v>4</v>
      </c>
      <c r="D1" s="2" t="s">
        <v>108</v>
      </c>
      <c r="E1" s="2" t="s">
        <v>78</v>
      </c>
      <c r="F1" s="2" t="s">
        <v>5</v>
      </c>
      <c r="G1" s="2" t="s">
        <v>49</v>
      </c>
      <c r="H1" s="2" t="s">
        <v>6</v>
      </c>
      <c r="I1" s="2" t="s">
        <v>7</v>
      </c>
      <c r="J1" s="2" t="s">
        <v>8</v>
      </c>
      <c r="L1" s="2" t="s">
        <v>9</v>
      </c>
      <c r="M1" s="12" t="s">
        <v>62</v>
      </c>
      <c r="N1" s="12" t="s">
        <v>50</v>
      </c>
      <c r="O1" s="11" t="s">
        <v>52</v>
      </c>
      <c r="P1" s="12" t="s">
        <v>51</v>
      </c>
    </row>
    <row r="2" spans="1:16">
      <c r="A2" s="3">
        <v>1</v>
      </c>
      <c r="B2" s="3">
        <v>1001</v>
      </c>
      <c r="C2" s="3" t="s">
        <v>28</v>
      </c>
      <c r="D2" s="3">
        <v>3</v>
      </c>
      <c r="E2" s="3">
        <v>1</v>
      </c>
      <c r="F2" s="3">
        <v>0</v>
      </c>
      <c r="G2" s="3">
        <v>0</v>
      </c>
      <c r="H2" s="3">
        <v>0</v>
      </c>
      <c r="I2" s="3" t="s">
        <v>14</v>
      </c>
      <c r="J2" s="3" t="s">
        <v>22</v>
      </c>
      <c r="M2" s="13">
        <f>IF(裝備!H2&gt;0,1/裝備!H2,0)</f>
        <v>0</v>
      </c>
      <c r="N2" s="13">
        <f>IF(裝備!H2&gt;0, (((1 - 裝備!G2) * 裝備!F2) + (裝備!G2 * 裝備!F2 * 2)) / 裝備!H2, 0)</f>
        <v>0</v>
      </c>
      <c r="O2" s="3">
        <v>0</v>
      </c>
      <c r="P2" s="13">
        <f>IF(裝備!N2&gt;0,裝備!O2/裝備!N2,0)</f>
        <v>0</v>
      </c>
    </row>
    <row r="3" spans="1:16">
      <c r="A3" s="19">
        <v>2</v>
      </c>
      <c r="B3" s="3">
        <v>1002</v>
      </c>
      <c r="C3" s="3" t="s">
        <v>29</v>
      </c>
      <c r="D3" s="3">
        <v>4</v>
      </c>
      <c r="E3" s="3">
        <v>8</v>
      </c>
      <c r="F3" s="3">
        <v>25</v>
      </c>
      <c r="G3" s="3">
        <v>0</v>
      </c>
      <c r="H3" s="3">
        <v>2</v>
      </c>
      <c r="I3" s="3" t="s">
        <v>14</v>
      </c>
      <c r="J3" s="14" t="s">
        <v>123</v>
      </c>
      <c r="L3" s="3" t="s">
        <v>204</v>
      </c>
      <c r="M3" s="13">
        <f>IF(裝備!H3&gt;0,1/裝備!H3,0)</f>
        <v>0.5</v>
      </c>
      <c r="N3" s="13">
        <f>IF(裝備!H3&gt;0, (((1 - 裝備!G3) * 裝備!F3) + (裝備!G3 * 裝備!F3 * 2)) / 裝備!H3, 0)</f>
        <v>12.5</v>
      </c>
      <c r="O3" s="3">
        <v>25</v>
      </c>
      <c r="P3" s="13">
        <f>IF(裝備!N3&gt;0,裝備!O3/裝備!N3,0)</f>
        <v>2</v>
      </c>
    </row>
    <row r="4" spans="1:16">
      <c r="A4" s="3">
        <v>3</v>
      </c>
      <c r="B4" s="3">
        <v>1003</v>
      </c>
      <c r="C4" s="3" t="s">
        <v>29</v>
      </c>
      <c r="D4" s="3">
        <v>6</v>
      </c>
      <c r="E4" s="3">
        <v>12</v>
      </c>
      <c r="F4" s="3">
        <v>30</v>
      </c>
      <c r="G4" s="3">
        <v>0</v>
      </c>
      <c r="H4" s="3">
        <v>1</v>
      </c>
      <c r="I4" s="3" t="s">
        <v>14</v>
      </c>
      <c r="J4" s="3" t="s">
        <v>18</v>
      </c>
      <c r="L4" s="3" t="s">
        <v>27</v>
      </c>
      <c r="M4" s="13">
        <f>IF(裝備!H4&gt;0,1/裝備!H4,0)</f>
        <v>1</v>
      </c>
      <c r="N4" s="13">
        <f>IF(裝備!H4&gt;0, (((1 - 裝備!G4) * 裝備!F4) + (裝備!G4 * 裝備!F4 * 2)) / 裝備!H4, 0)</f>
        <v>30</v>
      </c>
      <c r="O4" s="3">
        <v>25</v>
      </c>
      <c r="P4" s="13">
        <f>IF(裝備!N4&gt;0,裝備!O4/裝備!N4,0)</f>
        <v>0.83333333333333337</v>
      </c>
    </row>
    <row r="5" spans="1:16">
      <c r="A5" s="3">
        <v>4</v>
      </c>
      <c r="B5" s="3">
        <v>1004</v>
      </c>
      <c r="C5" s="3" t="s">
        <v>29</v>
      </c>
      <c r="D5" s="3">
        <v>8</v>
      </c>
      <c r="E5" s="3">
        <v>10</v>
      </c>
      <c r="F5" s="3">
        <v>30</v>
      </c>
      <c r="G5" s="3">
        <v>0.2</v>
      </c>
      <c r="H5" s="3">
        <v>1</v>
      </c>
      <c r="I5" s="3" t="s">
        <v>14</v>
      </c>
      <c r="J5" s="3" t="s">
        <v>18</v>
      </c>
      <c r="L5" s="3" t="s">
        <v>54</v>
      </c>
      <c r="M5" s="13">
        <f>IF(裝備!H5&gt;0,1/裝備!H5,0)</f>
        <v>1</v>
      </c>
      <c r="N5" s="13">
        <f>IF(裝備!H5&gt;0, (((1 - 裝備!G5) * 裝備!F5) + (裝備!G5 * 裝備!F5 * 2)) / 裝備!H5, 0)</f>
        <v>36</v>
      </c>
      <c r="O5" s="3">
        <v>25</v>
      </c>
      <c r="P5" s="13">
        <f>IF(裝備!N5&gt;0,裝備!O5/裝備!N5,0)</f>
        <v>0.69444444444444442</v>
      </c>
    </row>
    <row r="6" spans="1:16">
      <c r="A6" s="3">
        <v>5</v>
      </c>
      <c r="B6" s="3">
        <v>1005</v>
      </c>
      <c r="C6" s="3" t="s">
        <v>29</v>
      </c>
      <c r="D6" s="3">
        <v>10</v>
      </c>
      <c r="E6" s="3">
        <v>8</v>
      </c>
      <c r="F6" s="3">
        <v>60</v>
      </c>
      <c r="G6" s="3">
        <v>0.75</v>
      </c>
      <c r="H6" s="3">
        <v>2.5</v>
      </c>
      <c r="I6" s="3" t="s">
        <v>14</v>
      </c>
      <c r="J6" s="3" t="s">
        <v>18</v>
      </c>
      <c r="L6" s="3" t="s">
        <v>55</v>
      </c>
      <c r="M6" s="13">
        <f>IF(裝備!H6&gt;0,1/裝備!H6,0)</f>
        <v>0.4</v>
      </c>
      <c r="N6" s="13">
        <f>IF(裝備!H6&gt;0, (((1 - 裝備!G6) * 裝備!F6) + (裝備!G6 * 裝備!F6 * 2)) / 裝備!H6, 0)</f>
        <v>42</v>
      </c>
      <c r="O6" s="3">
        <v>25</v>
      </c>
      <c r="P6" s="13">
        <f>IF(裝備!N6&gt;0,裝備!O6/裝備!N6,0)</f>
        <v>0.59523809523809523</v>
      </c>
    </row>
    <row r="7" spans="1:16">
      <c r="A7" s="3">
        <v>6</v>
      </c>
      <c r="B7" s="3">
        <v>1006</v>
      </c>
      <c r="C7" s="3" t="s">
        <v>29</v>
      </c>
      <c r="D7" s="3">
        <v>12</v>
      </c>
      <c r="E7" s="3">
        <v>8</v>
      </c>
      <c r="F7" s="3">
        <v>40</v>
      </c>
      <c r="G7" s="3">
        <v>0.2</v>
      </c>
      <c r="H7" s="3">
        <v>1</v>
      </c>
      <c r="I7" s="3" t="s">
        <v>14</v>
      </c>
      <c r="J7" s="3" t="s">
        <v>20</v>
      </c>
      <c r="L7" s="3" t="s">
        <v>57</v>
      </c>
      <c r="M7" s="13">
        <f>IF(裝備!H7&gt;0,1/裝備!H7,0)</f>
        <v>1</v>
      </c>
      <c r="N7" s="13">
        <f>IF(裝備!H7&gt;0, (((1 - 裝備!G7) * 裝備!F7) + (裝備!G7 * 裝備!F7 * 2)) / 裝備!H7, 0)</f>
        <v>48</v>
      </c>
      <c r="O7" s="3">
        <v>25</v>
      </c>
      <c r="P7" s="13">
        <f>IF(裝備!N7&gt;0,裝備!O7/裝備!N7,0)</f>
        <v>0.52083333333333337</v>
      </c>
    </row>
    <row r="8" spans="1:16">
      <c r="A8" s="3">
        <v>7</v>
      </c>
      <c r="B8" s="3">
        <v>1007</v>
      </c>
      <c r="C8" s="3" t="s">
        <v>29</v>
      </c>
      <c r="D8" s="3">
        <v>14</v>
      </c>
      <c r="E8" s="3">
        <v>10</v>
      </c>
      <c r="F8" s="3">
        <v>20</v>
      </c>
      <c r="G8" s="3">
        <v>0.35</v>
      </c>
      <c r="H8" s="3">
        <v>0.5</v>
      </c>
      <c r="I8" s="3" t="s">
        <v>14</v>
      </c>
      <c r="J8" s="3" t="s">
        <v>20</v>
      </c>
      <c r="L8" s="3" t="s">
        <v>58</v>
      </c>
      <c r="M8" s="13">
        <f>IF(裝備!H8&gt;0,1/裝備!H8,0)</f>
        <v>2</v>
      </c>
      <c r="N8" s="13">
        <f>IF(裝備!H8&gt;0, (((1 - 裝備!G8) * 裝備!F8) + (裝備!G8 * 裝備!F8 * 2)) / 裝備!H8, 0)</f>
        <v>54</v>
      </c>
      <c r="O8" s="3">
        <v>25</v>
      </c>
      <c r="P8" s="13">
        <f>IF(裝備!N8&gt;0,裝備!O8/裝備!N8,0)</f>
        <v>0.46296296296296297</v>
      </c>
    </row>
    <row r="9" spans="1:16">
      <c r="A9" s="3">
        <v>8</v>
      </c>
      <c r="B9" s="3">
        <v>1008</v>
      </c>
      <c r="C9" s="3" t="s">
        <v>29</v>
      </c>
      <c r="D9" s="3">
        <v>16</v>
      </c>
      <c r="E9" s="3">
        <v>6</v>
      </c>
      <c r="F9" s="3">
        <v>15</v>
      </c>
      <c r="G9" s="3">
        <v>0</v>
      </c>
      <c r="H9" s="3">
        <v>0.25</v>
      </c>
      <c r="I9" s="3" t="s">
        <v>14</v>
      </c>
      <c r="J9" s="3" t="s">
        <v>20</v>
      </c>
      <c r="L9" s="3" t="s">
        <v>60</v>
      </c>
      <c r="M9" s="13">
        <f>IF(裝備!H9&gt;0,1/裝備!H9,0)</f>
        <v>4</v>
      </c>
      <c r="N9" s="13">
        <f>IF(裝備!H9&gt;0, (((1 - 裝備!G9) * 裝備!F9) + (裝備!G9 * 裝備!F9 * 2)) / 裝備!H9, 0)</f>
        <v>60</v>
      </c>
      <c r="O9" s="3">
        <v>25</v>
      </c>
      <c r="P9" s="13">
        <f>IF(裝備!N9&gt;0,裝備!O9/裝備!N9,0)</f>
        <v>0.41666666666666669</v>
      </c>
    </row>
    <row r="10" spans="1:16">
      <c r="M10" s="13">
        <f>IF(裝備!H10&gt;0,1/裝備!H10,0)</f>
        <v>0</v>
      </c>
      <c r="N10" s="13">
        <f>IF(裝備!H10&gt;0, (((1 - 裝備!G10) * 裝備!F10) + (裝備!G10 * 裝備!F10 * 2)) / 裝備!H10, 0)</f>
        <v>0</v>
      </c>
      <c r="O10" s="3">
        <v>25</v>
      </c>
      <c r="P10" s="13">
        <f>IF(裝備!N10&gt;0,裝備!O10/裝備!N10,0)</f>
        <v>0</v>
      </c>
    </row>
    <row r="11" spans="1:16">
      <c r="M11" s="13">
        <f>IF(裝備!H11&gt;0,1/裝備!H11,0)</f>
        <v>0</v>
      </c>
      <c r="N11" s="13">
        <f>IF(裝備!H11&gt;0, (((1 - 裝備!G11) * 裝備!F11) + (裝備!G11 * 裝備!F11 * 2)) / 裝備!H11, 0)</f>
        <v>0</v>
      </c>
      <c r="O11" s="3">
        <v>25</v>
      </c>
      <c r="P11" s="13">
        <f>IF(裝備!N11&gt;0,裝備!O11/裝備!N11,0)</f>
        <v>0</v>
      </c>
    </row>
    <row r="12" spans="1:16">
      <c r="M12" s="13">
        <f>IF(裝備!H12&gt;0,1/裝備!H12,0)</f>
        <v>0</v>
      </c>
      <c r="N12" s="13">
        <f>IF(裝備!H12&gt;0, (((1 - 裝備!G12) * 裝備!F12) + (裝備!G12 * 裝備!F12 * 2)) / 裝備!H12, 0)</f>
        <v>0</v>
      </c>
      <c r="O12" s="3">
        <v>25</v>
      </c>
      <c r="P12" s="13">
        <f>IF(裝備!N12&gt;0,裝備!O12/裝備!N12,0)</f>
        <v>0</v>
      </c>
    </row>
    <row r="13" spans="1:16">
      <c r="M13" s="13">
        <f>IF(裝備!H13&gt;0,1/裝備!H13,0)</f>
        <v>0</v>
      </c>
      <c r="N13" s="13">
        <f>IF(裝備!H13&gt;0, (((1 - 裝備!G13) * 裝備!F13) + (裝備!G13 * 裝備!F13 * 2)) / 裝備!H13, 0)</f>
        <v>0</v>
      </c>
      <c r="O13" s="3">
        <v>25</v>
      </c>
      <c r="P13" s="13">
        <f>IF(裝備!N13&gt;0,裝備!O13/裝備!N13,0)</f>
        <v>0</v>
      </c>
    </row>
    <row r="14" spans="1:16">
      <c r="M14" s="13">
        <f>IF(裝備!H14&gt;0,1/裝備!H14,0)</f>
        <v>0</v>
      </c>
      <c r="N14" s="13">
        <f>IF(裝備!H14&gt;0, (((1 - 裝備!G14) * 裝備!F14) + (裝備!G14 * 裝備!F14 * 2)) / 裝備!H14, 0)</f>
        <v>0</v>
      </c>
      <c r="O14" s="3">
        <v>25</v>
      </c>
      <c r="P14" s="13">
        <f>IF(裝備!N14&gt;0,裝備!O14/裝備!N14,0)</f>
        <v>0</v>
      </c>
    </row>
    <row r="15" spans="1:16">
      <c r="M15" s="13">
        <f>IF(裝備!H15&gt;0,1/裝備!H15,0)</f>
        <v>0</v>
      </c>
      <c r="N15" s="13">
        <f>IF(裝備!H15&gt;0, (((1 - 裝備!G15) * 裝備!F15) + (裝備!G15 * 裝備!F15 * 2)) / 裝備!H15, 0)</f>
        <v>0</v>
      </c>
      <c r="O15" s="3">
        <v>25</v>
      </c>
      <c r="P15" s="13">
        <f>IF(裝備!N15&gt;0,裝備!O15/裝備!N15,0)</f>
        <v>0</v>
      </c>
    </row>
    <row r="16" spans="1:16">
      <c r="M16" s="13">
        <f>IF(裝備!H16&gt;0,1/裝備!H16,0)</f>
        <v>0</v>
      </c>
      <c r="N16" s="13">
        <f>IF(裝備!H16&gt;0, (((1 - 裝備!G16) * 裝備!F16) + (裝備!G16 * 裝備!F16 * 2)) / 裝備!H16, 0)</f>
        <v>0</v>
      </c>
      <c r="O16" s="3">
        <v>25</v>
      </c>
      <c r="P16" s="13">
        <f>IF(裝備!N16&gt;0,裝備!O16/裝備!N16,0)</f>
        <v>0</v>
      </c>
    </row>
    <row r="17" spans="13:16">
      <c r="M17" s="13">
        <f>IF(裝備!H17&gt;0,1/裝備!H17,0)</f>
        <v>0</v>
      </c>
      <c r="N17" s="13">
        <f>IF(裝備!H17&gt;0, (((1 - 裝備!G17) * 裝備!F17) + (裝備!G17 * 裝備!F17 * 2)) / 裝備!H17, 0)</f>
        <v>0</v>
      </c>
      <c r="O17" s="3">
        <v>25</v>
      </c>
      <c r="P17" s="13">
        <f>IF(裝備!N17&gt;0,裝備!O17/裝備!N17,0)</f>
        <v>0</v>
      </c>
    </row>
    <row r="18" spans="13:16">
      <c r="M18" s="13">
        <f>IF(裝備!H18&gt;0,1/裝備!H18,0)</f>
        <v>0</v>
      </c>
      <c r="N18" s="13">
        <f>IF(裝備!H18&gt;0, (((1 - 裝備!G18) * 裝備!F18) + (裝備!G18 * 裝備!F18 * 2)) / 裝備!H18, 0)</f>
        <v>0</v>
      </c>
      <c r="O18" s="3">
        <v>25</v>
      </c>
      <c r="P18" s="13">
        <f>IF(裝備!N18&gt;0,裝備!O18/裝備!N18,0)</f>
        <v>0</v>
      </c>
    </row>
    <row r="19" spans="13:16">
      <c r="M19" s="13">
        <f>IF(裝備!H19&gt;0,1/裝備!H19,0)</f>
        <v>0</v>
      </c>
      <c r="N19" s="13">
        <f>IF(裝備!H19&gt;0, (((1 - 裝備!G19) * 裝備!F19) + (裝備!G19 * 裝備!F19 * 2)) / 裝備!H19, 0)</f>
        <v>0</v>
      </c>
      <c r="O19" s="3">
        <v>25</v>
      </c>
      <c r="P19" s="13">
        <f>IF(裝備!N19&gt;0,裝備!O19/裝備!N19,0)</f>
        <v>0</v>
      </c>
    </row>
    <row r="20" spans="13:16">
      <c r="M20" s="13">
        <f>IF(裝備!H20&gt;0,1/裝備!H20,0)</f>
        <v>0</v>
      </c>
      <c r="N20" s="13">
        <f>IF(裝備!H20&gt;0, (((1 - 裝備!G20) * 裝備!F20) + (裝備!G20 * 裝備!F20 * 2)) / 裝備!H20, 0)</f>
        <v>0</v>
      </c>
      <c r="O20" s="3">
        <v>25</v>
      </c>
      <c r="P20" s="13">
        <f>IF(裝備!N20&gt;0,裝備!O20/裝備!N20,0)</f>
        <v>0</v>
      </c>
    </row>
    <row r="21" spans="13:16">
      <c r="M21" s="13">
        <f>IF(裝備!H21&gt;0,1/裝備!H21,0)</f>
        <v>0</v>
      </c>
      <c r="N21" s="13">
        <f>IF(裝備!H21&gt;0, (((1 - 裝備!G21) * 裝備!F21) + (裝備!G21 * 裝備!F21 * 2)) / 裝備!H21, 0)</f>
        <v>0</v>
      </c>
      <c r="O21" s="3">
        <v>25</v>
      </c>
      <c r="P21" s="13">
        <f>IF(裝備!N21&gt;0,裝備!O21/裝備!N21,0)</f>
        <v>0</v>
      </c>
    </row>
    <row r="22" spans="13:16">
      <c r="M22" s="13">
        <f>IF(裝備!H22&gt;0,1/裝備!H22,0)</f>
        <v>0</v>
      </c>
      <c r="N22" s="13">
        <f>IF(裝備!H22&gt;0, (((1 - 裝備!G22) * 裝備!F22) + (裝備!G22 * 裝備!F22 * 2)) / 裝備!H22, 0)</f>
        <v>0</v>
      </c>
      <c r="O22" s="3">
        <v>25</v>
      </c>
      <c r="P22" s="13">
        <f>IF(裝備!N22&gt;0,裝備!O22/裝備!N22,0)</f>
        <v>0</v>
      </c>
    </row>
    <row r="23" spans="13:16">
      <c r="M23" s="13">
        <f>IF(裝備!H23&gt;0,1/裝備!H23,0)</f>
        <v>0</v>
      </c>
      <c r="N23" s="13">
        <f>IF(裝備!H23&gt;0, (((1 - 裝備!G23) * 裝備!F23) + (裝備!G23 * 裝備!F23 * 2)) / 裝備!H23, 0)</f>
        <v>0</v>
      </c>
      <c r="O23" s="3">
        <v>25</v>
      </c>
      <c r="P23" s="13">
        <f>IF(裝備!N23&gt;0,裝備!O23/裝備!N23,0)</f>
        <v>0</v>
      </c>
    </row>
    <row r="24" spans="13:16">
      <c r="M24" s="13">
        <f>IF(裝備!H24&gt;0,1/裝備!H24,0)</f>
        <v>0</v>
      </c>
      <c r="N24" s="13">
        <f>IF(裝備!H24&gt;0, (((1 - 裝備!G24) * 裝備!F24) + (裝備!G24 * 裝備!F24 * 2)) / 裝備!H24, 0)</f>
        <v>0</v>
      </c>
      <c r="O24" s="3">
        <v>25</v>
      </c>
      <c r="P24" s="13">
        <f>IF(裝備!N24&gt;0,裝備!O24/裝備!N24,0)</f>
        <v>0</v>
      </c>
    </row>
    <row r="25" spans="13:16">
      <c r="M25" s="13">
        <f>IF(裝備!H25&gt;0,1/裝備!H25,0)</f>
        <v>0</v>
      </c>
      <c r="N25" s="13">
        <f>IF(裝備!H25&gt;0, (((1 - 裝備!G25) * 裝備!F25) + (裝備!G25 * 裝備!F25 * 2)) / 裝備!H25, 0)</f>
        <v>0</v>
      </c>
      <c r="O25" s="3">
        <v>25</v>
      </c>
      <c r="P25" s="13">
        <f>IF(裝備!N25&gt;0,裝備!O25/裝備!N25,0)</f>
        <v>0</v>
      </c>
    </row>
    <row r="26" spans="13:16">
      <c r="M26" s="13">
        <f>IF(裝備!H26&gt;0,1/裝備!H26,0)</f>
        <v>0</v>
      </c>
      <c r="N26" s="13">
        <f>IF(裝備!H26&gt;0, (((1 - 裝備!G26) * 裝備!F26) + (裝備!G26 * 裝備!F26 * 2)) / 裝備!H26, 0)</f>
        <v>0</v>
      </c>
      <c r="O26" s="3">
        <v>25</v>
      </c>
      <c r="P26" s="13">
        <f>IF(裝備!N26&gt;0,裝備!O26/裝備!N26,0)</f>
        <v>0</v>
      </c>
    </row>
    <row r="27" spans="13:16">
      <c r="M27" s="13">
        <f>IF(裝備!H27&gt;0,1/裝備!H27,0)</f>
        <v>0</v>
      </c>
      <c r="N27" s="13">
        <f>IF(裝備!H27&gt;0, (((1 - 裝備!G27) * 裝備!F27) + (裝備!G27 * 裝備!F27 * 2)) / 裝備!H27, 0)</f>
        <v>0</v>
      </c>
      <c r="O27" s="3">
        <v>25</v>
      </c>
      <c r="P27" s="13">
        <f>IF(裝備!N27&gt;0,裝備!O27/裝備!N27,0)</f>
        <v>0</v>
      </c>
    </row>
    <row r="28" spans="13:16">
      <c r="M28" s="13">
        <f>IF(裝備!H28&gt;0,1/裝備!H28,0)</f>
        <v>0</v>
      </c>
      <c r="N28" s="13">
        <f>IF(裝備!H28&gt;0, (((1 - 裝備!G28) * 裝備!F28) + (裝備!G28 * 裝備!F28 * 2)) / 裝備!H28, 0)</f>
        <v>0</v>
      </c>
      <c r="O28" s="3">
        <v>25</v>
      </c>
      <c r="P28" s="13">
        <f>IF(裝備!N28&gt;0,裝備!O28/裝備!N28,0)</f>
        <v>0</v>
      </c>
    </row>
    <row r="29" spans="13:16">
      <c r="M29" s="13">
        <f>IF(裝備!H29&gt;0,1/裝備!H29,0)</f>
        <v>0</v>
      </c>
      <c r="N29" s="13">
        <f>IF(裝備!H29&gt;0, (((1 - 裝備!G29) * 裝備!F29) + (裝備!G29 * 裝備!F29 * 2)) / 裝備!H29, 0)</f>
        <v>0</v>
      </c>
      <c r="O29" s="3">
        <v>25</v>
      </c>
      <c r="P29" s="13">
        <f>IF(裝備!N29&gt;0,裝備!O29/裝備!N29,0)</f>
        <v>0</v>
      </c>
    </row>
    <row r="30" spans="13:16">
      <c r="M30" s="13">
        <f>IF(裝備!H30&gt;0,1/裝備!H30,0)</f>
        <v>0</v>
      </c>
      <c r="N30" s="13">
        <f>IF(裝備!H30&gt;0, (((1 - 裝備!G30) * 裝備!F30) + (裝備!G30 * 裝備!F30 * 2)) / 裝備!H30, 0)</f>
        <v>0</v>
      </c>
      <c r="O30" s="3">
        <v>25</v>
      </c>
      <c r="P30" s="13">
        <f>IF(裝備!N30&gt;0,裝備!O30/裝備!N30,0)</f>
        <v>0</v>
      </c>
    </row>
    <row r="31" spans="13:16">
      <c r="M31" s="13">
        <f>IF(裝備!H31&gt;0,1/裝備!H31,0)</f>
        <v>0</v>
      </c>
      <c r="N31" s="13">
        <f>IF(裝備!H31&gt;0, (((1 - 裝備!G31) * 裝備!F31) + (裝備!G31 * 裝備!F31 * 2)) / 裝備!H31, 0)</f>
        <v>0</v>
      </c>
      <c r="O31" s="3">
        <v>25</v>
      </c>
      <c r="P31" s="13">
        <f>IF(裝備!N31&gt;0,裝備!O31/裝備!N31,0)</f>
        <v>0</v>
      </c>
    </row>
    <row r="32" spans="13:16">
      <c r="M32" s="13">
        <f>IF(裝備!H32&gt;0,1/裝備!H32,0)</f>
        <v>0</v>
      </c>
      <c r="N32" s="13">
        <f>IF(裝備!H32&gt;0, (((1 - 裝備!G32) * 裝備!F32) + (裝備!G32 * 裝備!F32 * 2)) / 裝備!H32, 0)</f>
        <v>0</v>
      </c>
      <c r="O32" s="3">
        <v>25</v>
      </c>
      <c r="P32" s="13">
        <f>IF(裝備!N32&gt;0,裝備!O32/裝備!N32,0)</f>
        <v>0</v>
      </c>
    </row>
    <row r="33" spans="13:16">
      <c r="M33" s="13">
        <f>IF(裝備!H33&gt;0,1/裝備!H33,0)</f>
        <v>0</v>
      </c>
      <c r="N33" s="13">
        <f>IF(裝備!H33&gt;0, (((1 - 裝備!G33) * 裝備!F33) + (裝備!G33 * 裝備!F33 * 2)) / 裝備!H33, 0)</f>
        <v>0</v>
      </c>
      <c r="O33" s="3">
        <v>25</v>
      </c>
      <c r="P33" s="13">
        <f>IF(裝備!N33&gt;0,裝備!O33/裝備!N33,0)</f>
        <v>0</v>
      </c>
    </row>
    <row r="34" spans="13:16">
      <c r="M34" s="13">
        <f>IF(裝備!H34&gt;0,1/裝備!H34,0)</f>
        <v>0</v>
      </c>
      <c r="N34" s="13">
        <f>IF(裝備!H34&gt;0, (((1 - 裝備!G34) * 裝備!F34) + (裝備!G34 * 裝備!F34 * 2)) / 裝備!H34, 0)</f>
        <v>0</v>
      </c>
      <c r="O34" s="3">
        <v>25</v>
      </c>
      <c r="P34" s="13">
        <f>IF(裝備!N34&gt;0,裝備!O34/裝備!N34,0)</f>
        <v>0</v>
      </c>
    </row>
    <row r="35" spans="13:16">
      <c r="M35" s="13">
        <f>IF(裝備!H35&gt;0,1/裝備!H35,0)</f>
        <v>0</v>
      </c>
      <c r="N35" s="13">
        <f>IF(裝備!H35&gt;0, (((1 - 裝備!G35) * 裝備!F35) + (裝備!G35 * 裝備!F35 * 2)) / 裝備!H35, 0)</f>
        <v>0</v>
      </c>
      <c r="O35" s="3">
        <v>25</v>
      </c>
      <c r="P35" s="13">
        <f>IF(裝備!N35&gt;0,裝備!O35/裝備!N35,0)</f>
        <v>0</v>
      </c>
    </row>
    <row r="36" spans="13:16">
      <c r="M36" s="13">
        <f>IF(裝備!H36&gt;0,1/裝備!H36,0)</f>
        <v>0</v>
      </c>
      <c r="N36" s="13">
        <f>IF(裝備!H36&gt;0, (((1 - 裝備!G36) * 裝備!F36) + (裝備!G36 * 裝備!F36 * 2)) / 裝備!H36, 0)</f>
        <v>0</v>
      </c>
      <c r="O36" s="3">
        <v>25</v>
      </c>
      <c r="P36" s="13">
        <f>IF(裝備!N36&gt;0,裝備!O36/裝備!N36,0)</f>
        <v>0</v>
      </c>
    </row>
    <row r="37" spans="13:16">
      <c r="M37" s="13">
        <f>IF(裝備!H37&gt;0,1/裝備!H37,0)</f>
        <v>0</v>
      </c>
      <c r="N37" s="13">
        <f>IF(裝備!H37&gt;0, (((1 - 裝備!G37) * 裝備!F37) + (裝備!G37 * 裝備!F37 * 2)) / 裝備!H37, 0)</f>
        <v>0</v>
      </c>
      <c r="O37" s="3">
        <v>25</v>
      </c>
      <c r="P37" s="13">
        <f>IF(裝備!N37&gt;0,裝備!O37/裝備!N37,0)</f>
        <v>0</v>
      </c>
    </row>
    <row r="38" spans="13:16">
      <c r="M38" s="13">
        <f>IF(裝備!H38&gt;0,1/裝備!H38,0)</f>
        <v>0</v>
      </c>
      <c r="N38" s="13">
        <f>IF(裝備!H38&gt;0, (((1 - 裝備!G38) * 裝備!F38) + (裝備!G38 * 裝備!F38 * 2)) / 裝備!H38, 0)</f>
        <v>0</v>
      </c>
      <c r="O38" s="3">
        <v>25</v>
      </c>
      <c r="P38" s="13">
        <f>IF(裝備!N38&gt;0,裝備!O38/裝備!N38,0)</f>
        <v>0</v>
      </c>
    </row>
    <row r="39" spans="13:16">
      <c r="M39" s="13">
        <f>IF(裝備!H39&gt;0,1/裝備!H39,0)</f>
        <v>0</v>
      </c>
      <c r="N39" s="13">
        <f>IF(裝備!H39&gt;0, (((1 - 裝備!G39) * 裝備!F39) + (裝備!G39 * 裝備!F39 * 2)) / 裝備!H39, 0)</f>
        <v>0</v>
      </c>
      <c r="O39" s="3">
        <v>25</v>
      </c>
      <c r="P39" s="13">
        <f>IF(裝備!N39&gt;0,裝備!O39/裝備!N39,0)</f>
        <v>0</v>
      </c>
    </row>
    <row r="40" spans="13:16">
      <c r="M40" s="13">
        <f>IF(裝備!H40&gt;0,1/裝備!H40,0)</f>
        <v>0</v>
      </c>
      <c r="N40" s="13">
        <f>IF(裝備!H40&gt;0, (((1 - 裝備!G40) * 裝備!F40) + (裝備!G40 * 裝備!F40 * 2)) / 裝備!H40, 0)</f>
        <v>0</v>
      </c>
      <c r="O40" s="3">
        <v>25</v>
      </c>
      <c r="P40" s="13">
        <f>IF(裝備!N40&gt;0,裝備!O40/裝備!N40,0)</f>
        <v>0</v>
      </c>
    </row>
    <row r="41" spans="13:16">
      <c r="M41" s="13">
        <f>IF(裝備!H41&gt;0,1/裝備!H41,0)</f>
        <v>0</v>
      </c>
      <c r="N41" s="13">
        <f>IF(裝備!H41&gt;0, (((1 - 裝備!G41) * 裝備!F41) + (裝備!G41 * 裝備!F41 * 2)) / 裝備!H41, 0)</f>
        <v>0</v>
      </c>
      <c r="O41" s="3">
        <v>25</v>
      </c>
      <c r="P41" s="13">
        <f>IF(裝備!N41&gt;0,裝備!O41/裝備!N41,0)</f>
        <v>0</v>
      </c>
    </row>
    <row r="42" spans="13:16">
      <c r="M42" s="13">
        <f>IF(裝備!H42&gt;0,1/裝備!H42,0)</f>
        <v>0</v>
      </c>
      <c r="N42" s="13">
        <f>IF(裝備!H42&gt;0, (((1 - 裝備!G42) * 裝備!F42) + (裝備!G42 * 裝備!F42 * 2)) / 裝備!H42, 0)</f>
        <v>0</v>
      </c>
      <c r="O42" s="3">
        <v>25</v>
      </c>
      <c r="P42" s="13">
        <f>IF(裝備!N42&gt;0,裝備!O42/裝備!N42,0)</f>
        <v>0</v>
      </c>
    </row>
    <row r="43" spans="13:16">
      <c r="M43" s="13">
        <f>IF(裝備!H43&gt;0,1/裝備!H43,0)</f>
        <v>0</v>
      </c>
      <c r="N43" s="13">
        <f>IF(裝備!H43&gt;0, (((1 - 裝備!G43) * 裝備!F43) + (裝備!G43 * 裝備!F43 * 2)) / 裝備!H43, 0)</f>
        <v>0</v>
      </c>
      <c r="O43" s="3">
        <v>25</v>
      </c>
      <c r="P43" s="13">
        <f>IF(裝備!N43&gt;0,裝備!O43/裝備!N43,0)</f>
        <v>0</v>
      </c>
    </row>
    <row r="44" spans="13:16">
      <c r="M44" s="13">
        <f>IF(裝備!H44&gt;0,1/裝備!H44,0)</f>
        <v>0</v>
      </c>
      <c r="N44" s="13">
        <f>IF(裝備!H44&gt;0, (((1 - 裝備!G44) * 裝備!F44) + (裝備!G44 * 裝備!F44 * 2)) / 裝備!H44, 0)</f>
        <v>0</v>
      </c>
      <c r="O44" s="3">
        <v>25</v>
      </c>
      <c r="P44" s="13">
        <f>IF(裝備!N44&gt;0,裝備!O44/裝備!N44,0)</f>
        <v>0</v>
      </c>
    </row>
    <row r="45" spans="13:16">
      <c r="M45" s="13">
        <f>IF(裝備!H45&gt;0,1/裝備!H45,0)</f>
        <v>0</v>
      </c>
      <c r="N45" s="13">
        <f>IF(裝備!H45&gt;0, (((1 - 裝備!G45) * 裝備!F45) + (裝備!G45 * 裝備!F45 * 2)) / 裝備!H45, 0)</f>
        <v>0</v>
      </c>
      <c r="O45" s="3">
        <v>25</v>
      </c>
      <c r="P45" s="13">
        <f>IF(裝備!N45&gt;0,裝備!O45/裝備!N45,0)</f>
        <v>0</v>
      </c>
    </row>
    <row r="46" spans="13:16">
      <c r="M46" s="13">
        <f>IF(裝備!H46&gt;0,1/裝備!H46,0)</f>
        <v>0</v>
      </c>
      <c r="N46" s="13">
        <f>IF(裝備!H46&gt;0, (((1 - 裝備!G46) * 裝備!F46) + (裝備!G46 * 裝備!F46 * 2)) / 裝備!H46, 0)</f>
        <v>0</v>
      </c>
      <c r="O46" s="3">
        <v>25</v>
      </c>
      <c r="P46" s="13">
        <f>IF(裝備!N46&gt;0,裝備!O46/裝備!N46,0)</f>
        <v>0</v>
      </c>
    </row>
    <row r="47" spans="13:16">
      <c r="M47" s="13">
        <f>IF(裝備!H47&gt;0,1/裝備!H47,0)</f>
        <v>0</v>
      </c>
      <c r="N47" s="13">
        <f>IF(裝備!H47&gt;0, (((1 - 裝備!G47) * 裝備!F47) + (裝備!G47 * 裝備!F47 * 2)) / 裝備!H47, 0)</f>
        <v>0</v>
      </c>
      <c r="O47" s="3">
        <v>25</v>
      </c>
      <c r="P47" s="13">
        <f>IF(裝備!N47&gt;0,裝備!O47/裝備!N47,0)</f>
        <v>0</v>
      </c>
    </row>
    <row r="48" spans="13:16">
      <c r="M48" s="13">
        <f>IF(裝備!H48&gt;0,1/裝備!H48,0)</f>
        <v>0</v>
      </c>
      <c r="N48" s="13">
        <f>IF(裝備!H48&gt;0, (((1 - 裝備!G48) * 裝備!F48) + (裝備!G48 * 裝備!F48 * 2)) / 裝備!H48, 0)</f>
        <v>0</v>
      </c>
      <c r="O48" s="3">
        <v>25</v>
      </c>
      <c r="P48" s="13">
        <f>IF(裝備!N48&gt;0,裝備!O48/裝備!N48,0)</f>
        <v>0</v>
      </c>
    </row>
    <row r="49" spans="13:16">
      <c r="M49" s="13">
        <f>IF(裝備!H49&gt;0,1/裝備!H49,0)</f>
        <v>0</v>
      </c>
      <c r="N49" s="13">
        <f>IF(裝備!H49&gt;0, (((1 - 裝備!G49) * 裝備!F49) + (裝備!G49 * 裝備!F49 * 2)) / 裝備!H49, 0)</f>
        <v>0</v>
      </c>
      <c r="O49" s="3">
        <v>25</v>
      </c>
      <c r="P49" s="13">
        <f>IF(裝備!N49&gt;0,裝備!O49/裝備!N49,0)</f>
        <v>0</v>
      </c>
    </row>
    <row r="50" spans="13:16">
      <c r="M50" s="13">
        <f>IF(裝備!H50&gt;0,1/裝備!H50,0)</f>
        <v>0</v>
      </c>
      <c r="N50" s="13">
        <f>IF(裝備!H50&gt;0, (((1 - 裝備!G50) * 裝備!F50) + (裝備!G50 * 裝備!F50 * 2)) / 裝備!H50, 0)</f>
        <v>0</v>
      </c>
      <c r="O50" s="3">
        <v>25</v>
      </c>
      <c r="P50" s="13">
        <f>IF(裝備!N50&gt;0,裝備!O50/裝備!N50,0)</f>
        <v>0</v>
      </c>
    </row>
    <row r="51" spans="13:16">
      <c r="M51" s="13">
        <f>IF(裝備!H51&gt;0,1/裝備!H51,0)</f>
        <v>0</v>
      </c>
      <c r="N51" s="13">
        <f>IF(裝備!H51&gt;0, (((1 - 裝備!G51) * 裝備!F51) + (裝備!G51 * 裝備!F51 * 2)) / 裝備!H51, 0)</f>
        <v>0</v>
      </c>
      <c r="O51" s="3">
        <v>25</v>
      </c>
      <c r="P51" s="13">
        <f>IF(裝備!N51&gt;0,裝備!O51/裝備!N51,0)</f>
        <v>0</v>
      </c>
    </row>
    <row r="52" spans="13:16">
      <c r="M52" s="13">
        <f>IF(裝備!H52&gt;0,1/裝備!H52,0)</f>
        <v>0</v>
      </c>
      <c r="N52" s="13">
        <f>IF(裝備!H52&gt;0, (((1 - 裝備!G52) * 裝備!F52) + (裝備!G52 * 裝備!F52 * 2)) / 裝備!H52, 0)</f>
        <v>0</v>
      </c>
      <c r="O52" s="3">
        <v>25</v>
      </c>
      <c r="P52" s="13">
        <f>IF(裝備!N52&gt;0,裝備!O52/裝備!N52,0)</f>
        <v>0</v>
      </c>
    </row>
    <row r="53" spans="13:16">
      <c r="M53" s="13">
        <f>IF(裝備!H53&gt;0,1/裝備!H53,0)</f>
        <v>0</v>
      </c>
      <c r="N53" s="13">
        <f>IF(裝備!H53&gt;0, (((1 - 裝備!G53) * 裝備!F53) + (裝備!G53 * 裝備!F53 * 2)) / 裝備!H53, 0)</f>
        <v>0</v>
      </c>
      <c r="O53" s="3">
        <v>25</v>
      </c>
      <c r="P53" s="13">
        <f>IF(裝備!N53&gt;0,裝備!O53/裝備!N53,0)</f>
        <v>0</v>
      </c>
    </row>
    <row r="54" spans="13:16">
      <c r="M54" s="13">
        <f>IF(裝備!H54&gt;0,1/裝備!H54,0)</f>
        <v>0</v>
      </c>
      <c r="N54" s="13">
        <f>IF(裝備!H54&gt;0, (((1 - 裝備!G54) * 裝備!F54) + (裝備!G54 * 裝備!F54 * 2)) / 裝備!H54, 0)</f>
        <v>0</v>
      </c>
      <c r="O54" s="3">
        <v>25</v>
      </c>
      <c r="P54" s="13">
        <f>IF(裝備!N54&gt;0,裝備!O54/裝備!N54,0)</f>
        <v>0</v>
      </c>
    </row>
    <row r="55" spans="13:16">
      <c r="M55" s="13">
        <f>IF(裝備!H55&gt;0,1/裝備!H55,0)</f>
        <v>0</v>
      </c>
      <c r="N55" s="13">
        <f>IF(裝備!H55&gt;0, (((1 - 裝備!G55) * 裝備!F55) + (裝備!G55 * 裝備!F55 * 2)) / 裝備!H55, 0)</f>
        <v>0</v>
      </c>
      <c r="O55" s="3">
        <v>25</v>
      </c>
      <c r="P55" s="13">
        <f>IF(裝備!N55&gt;0,裝備!O55/裝備!N55,0)</f>
        <v>0</v>
      </c>
    </row>
    <row r="56" spans="13:16">
      <c r="M56" s="13">
        <f>IF(裝備!H56&gt;0,1/裝備!H56,0)</f>
        <v>0</v>
      </c>
      <c r="N56" s="13">
        <f>IF(裝備!H56&gt;0, (((1 - 裝備!G56) * 裝備!F56) + (裝備!G56 * 裝備!F56 * 2)) / 裝備!H56, 0)</f>
        <v>0</v>
      </c>
      <c r="O56" s="3">
        <v>25</v>
      </c>
      <c r="P56" s="13">
        <f>IF(裝備!N56&gt;0,裝備!O56/裝備!N56,0)</f>
        <v>0</v>
      </c>
    </row>
    <row r="57" spans="13:16">
      <c r="M57" s="13">
        <f>IF(裝備!H57&gt;0,1/裝備!H57,0)</f>
        <v>0</v>
      </c>
      <c r="N57" s="13">
        <f>IF(裝備!H57&gt;0, (((1 - 裝備!G57) * 裝備!F57) + (裝備!G57 * 裝備!F57 * 2)) / 裝備!H57, 0)</f>
        <v>0</v>
      </c>
      <c r="O57" s="3">
        <v>25</v>
      </c>
      <c r="P57" s="13">
        <f>IF(裝備!N57&gt;0,裝備!O57/裝備!N57,0)</f>
        <v>0</v>
      </c>
    </row>
    <row r="58" spans="13:16">
      <c r="M58" s="13">
        <f>IF(裝備!H58&gt;0,1/裝備!H58,0)</f>
        <v>0</v>
      </c>
      <c r="N58" s="13">
        <f>IF(裝備!H58&gt;0, (((1 - 裝備!G58) * 裝備!F58) + (裝備!G58 * 裝備!F58 * 2)) / 裝備!H58, 0)</f>
        <v>0</v>
      </c>
      <c r="O58" s="3">
        <v>25</v>
      </c>
      <c r="P58" s="13">
        <f>IF(裝備!N58&gt;0,裝備!O58/裝備!N58,0)</f>
        <v>0</v>
      </c>
    </row>
    <row r="59" spans="13:16">
      <c r="M59" s="13">
        <f>IF(裝備!H59&gt;0,1/裝備!H59,0)</f>
        <v>0</v>
      </c>
      <c r="N59" s="13">
        <f>IF(裝備!H59&gt;0, (((1 - 裝備!G59) * 裝備!F59) + (裝備!G59 * 裝備!F59 * 2)) / 裝備!H59, 0)</f>
        <v>0</v>
      </c>
      <c r="O59" s="3">
        <v>25</v>
      </c>
      <c r="P59" s="13">
        <f>IF(裝備!N59&gt;0,裝備!O59/裝備!N59,0)</f>
        <v>0</v>
      </c>
    </row>
    <row r="60" spans="13:16">
      <c r="M60" s="13">
        <f>IF(裝備!H60&gt;0,1/裝備!H60,0)</f>
        <v>0</v>
      </c>
      <c r="N60" s="13">
        <f>IF(裝備!H60&gt;0, (((1 - 裝備!G60) * 裝備!F60) + (裝備!G60 * 裝備!F60 * 2)) / 裝備!H60, 0)</f>
        <v>0</v>
      </c>
      <c r="O60" s="3">
        <v>25</v>
      </c>
      <c r="P60" s="13">
        <f>IF(裝備!N60&gt;0,裝備!O60/裝備!N60,0)</f>
        <v>0</v>
      </c>
    </row>
    <row r="61" spans="13:16">
      <c r="M61" s="13">
        <f>IF(裝備!H61&gt;0,1/裝備!H61,0)</f>
        <v>0</v>
      </c>
      <c r="N61" s="13">
        <f>IF(裝備!H61&gt;0, (((1 - 裝備!G61) * 裝備!F61) + (裝備!G61 * 裝備!F61 * 2)) / 裝備!H61, 0)</f>
        <v>0</v>
      </c>
      <c r="O61" s="3">
        <v>25</v>
      </c>
      <c r="P61" s="13">
        <f>IF(裝備!N61&gt;0,裝備!O61/裝備!N61,0)</f>
        <v>0</v>
      </c>
    </row>
    <row r="62" spans="13:16">
      <c r="M62" s="13">
        <f>IF(裝備!H62&gt;0,1/裝備!H62,0)</f>
        <v>0</v>
      </c>
      <c r="N62" s="13">
        <f>IF(裝備!H62&gt;0, (((1 - 裝備!G62) * 裝備!F62) + (裝備!G62 * 裝備!F62 * 2)) / 裝備!H62, 0)</f>
        <v>0</v>
      </c>
      <c r="O62" s="3">
        <v>25</v>
      </c>
      <c r="P62" s="13">
        <f>IF(裝備!N62&gt;0,裝備!O62/裝備!N62,0)</f>
        <v>0</v>
      </c>
    </row>
    <row r="63" spans="13:16">
      <c r="M63" s="13">
        <f>IF(裝備!H63&gt;0,1/裝備!H63,0)</f>
        <v>0</v>
      </c>
      <c r="N63" s="13">
        <f>IF(裝備!H63&gt;0, (((1 - 裝備!G63) * 裝備!F63) + (裝備!G63 * 裝備!F63 * 2)) / 裝備!H63, 0)</f>
        <v>0</v>
      </c>
      <c r="O63" s="3">
        <v>25</v>
      </c>
      <c r="P63" s="13">
        <f>IF(裝備!N63&gt;0,裝備!O63/裝備!N63,0)</f>
        <v>0</v>
      </c>
    </row>
    <row r="64" spans="13:16">
      <c r="M64" s="13">
        <f>IF(裝備!H64&gt;0,1/裝備!H64,0)</f>
        <v>0</v>
      </c>
      <c r="N64" s="13">
        <f>IF(裝備!H64&gt;0, (((1 - 裝備!G64) * 裝備!F64) + (裝備!G64 * 裝備!F64 * 2)) / 裝備!H64, 0)</f>
        <v>0</v>
      </c>
      <c r="O64" s="3">
        <v>25</v>
      </c>
      <c r="P64" s="13">
        <f>IF(裝備!N64&gt;0,裝備!O64/裝備!N64,0)</f>
        <v>0</v>
      </c>
    </row>
    <row r="65" spans="13:16">
      <c r="M65" s="13">
        <f>IF(裝備!H65&gt;0,1/裝備!H65,0)</f>
        <v>0</v>
      </c>
      <c r="N65" s="13">
        <f>IF(裝備!H65&gt;0, (((1 - 裝備!G65) * 裝備!F65) + (裝備!G65 * 裝備!F65 * 2)) / 裝備!H65, 0)</f>
        <v>0</v>
      </c>
      <c r="O65" s="3">
        <v>25</v>
      </c>
      <c r="P65" s="13">
        <f>IF(裝備!N65&gt;0,裝備!O65/裝備!N65,0)</f>
        <v>0</v>
      </c>
    </row>
    <row r="66" spans="13:16">
      <c r="M66" s="13">
        <f>IF(裝備!H66&gt;0,1/裝備!H66,0)</f>
        <v>0</v>
      </c>
      <c r="N66" s="13">
        <f>IF(裝備!H66&gt;0, (((1 - 裝備!G66) * 裝備!F66) + (裝備!G66 * 裝備!F66 * 2)) / 裝備!H66, 0)</f>
        <v>0</v>
      </c>
      <c r="O66" s="3">
        <v>25</v>
      </c>
      <c r="P66" s="13">
        <f>IF(裝備!N66&gt;0,裝備!O66/裝備!N66,0)</f>
        <v>0</v>
      </c>
    </row>
    <row r="67" spans="13:16">
      <c r="M67" s="13">
        <f>IF(裝備!H67&gt;0,1/裝備!H67,0)</f>
        <v>0</v>
      </c>
      <c r="N67" s="13">
        <f>IF(裝備!H67&gt;0, (((1 - 裝備!G67) * 裝備!F67) + (裝備!G67 * 裝備!F67 * 2)) / 裝備!H67, 0)</f>
        <v>0</v>
      </c>
      <c r="O67" s="3">
        <v>25</v>
      </c>
      <c r="P67" s="13">
        <f>IF(裝備!N67&gt;0,裝備!O67/裝備!N67,0)</f>
        <v>0</v>
      </c>
    </row>
    <row r="68" spans="13:16">
      <c r="M68" s="13">
        <f>IF(裝備!H68&gt;0,1/裝備!H68,0)</f>
        <v>0</v>
      </c>
      <c r="N68" s="13">
        <f>IF(裝備!H68&gt;0, (((1 - 裝備!G68) * 裝備!F68) + (裝備!G68 * 裝備!F68 * 2)) / 裝備!H68, 0)</f>
        <v>0</v>
      </c>
      <c r="O68" s="3">
        <v>25</v>
      </c>
      <c r="P68" s="13">
        <f>IF(裝備!N68&gt;0,裝備!O68/裝備!N68,0)</f>
        <v>0</v>
      </c>
    </row>
    <row r="69" spans="13:16">
      <c r="M69" s="13">
        <f>IF(裝備!H69&gt;0,1/裝備!H69,0)</f>
        <v>0</v>
      </c>
      <c r="N69" s="13">
        <f>IF(裝備!H69&gt;0, (((1 - 裝備!G69) * 裝備!F69) + (裝備!G69 * 裝備!F69 * 2)) / 裝備!H69, 0)</f>
        <v>0</v>
      </c>
      <c r="O69" s="3">
        <v>25</v>
      </c>
      <c r="P69" s="13">
        <f>IF(裝備!N69&gt;0,裝備!O69/裝備!N69,0)</f>
        <v>0</v>
      </c>
    </row>
    <row r="70" spans="13:16">
      <c r="M70" s="13">
        <f>IF(裝備!H70&gt;0,1/裝備!H70,0)</f>
        <v>0</v>
      </c>
      <c r="N70" s="13">
        <f>IF(裝備!H70&gt;0, (((1 - 裝備!G70) * 裝備!F70) + (裝備!G70 * 裝備!F70 * 2)) / 裝備!H70, 0)</f>
        <v>0</v>
      </c>
      <c r="O70" s="3">
        <v>25</v>
      </c>
      <c r="P70" s="13">
        <f>IF(裝備!N70&gt;0,裝備!O70/裝備!N70,0)</f>
        <v>0</v>
      </c>
    </row>
    <row r="71" spans="13:16">
      <c r="M71" s="13">
        <f>IF(裝備!H71&gt;0,1/裝備!H71,0)</f>
        <v>0</v>
      </c>
      <c r="N71" s="13">
        <f>IF(裝備!H71&gt;0, (((1 - 裝備!G71) * 裝備!F71) + (裝備!G71 * 裝備!F71 * 2)) / 裝備!H71, 0)</f>
        <v>0</v>
      </c>
      <c r="O71" s="3">
        <v>25</v>
      </c>
      <c r="P71" s="13">
        <f>IF(裝備!N71&gt;0,裝備!O71/裝備!N71,0)</f>
        <v>0</v>
      </c>
    </row>
    <row r="72" spans="13:16">
      <c r="M72" s="13">
        <f>IF(裝備!H72&gt;0,1/裝備!H72,0)</f>
        <v>0</v>
      </c>
      <c r="N72" s="13">
        <f>IF(裝備!H72&gt;0, (((1 - 裝備!G72) * 裝備!F72) + (裝備!G72 * 裝備!F72 * 2)) / 裝備!H72, 0)</f>
        <v>0</v>
      </c>
      <c r="O72" s="3">
        <v>25</v>
      </c>
      <c r="P72" s="13">
        <f>IF(裝備!N72&gt;0,裝備!O72/裝備!N72,0)</f>
        <v>0</v>
      </c>
    </row>
    <row r="73" spans="13:16">
      <c r="M73" s="13">
        <f>IF(裝備!H73&gt;0,1/裝備!H73,0)</f>
        <v>0</v>
      </c>
      <c r="N73" s="13">
        <f>IF(裝備!H73&gt;0, (((1 - 裝備!G73) * 裝備!F73) + (裝備!G73 * 裝備!F73 * 2)) / 裝備!H73, 0)</f>
        <v>0</v>
      </c>
      <c r="O73" s="3">
        <v>25</v>
      </c>
      <c r="P73" s="13">
        <f>IF(裝備!N73&gt;0,裝備!O73/裝備!N73,0)</f>
        <v>0</v>
      </c>
    </row>
    <row r="74" spans="13:16">
      <c r="M74" s="13">
        <f>IF(裝備!H74&gt;0,1/裝備!H74,0)</f>
        <v>0</v>
      </c>
      <c r="N74" s="13">
        <f>IF(裝備!H74&gt;0, (((1 - 裝備!G74) * 裝備!F74) + (裝備!G74 * 裝備!F74 * 2)) / 裝備!H74, 0)</f>
        <v>0</v>
      </c>
      <c r="O74" s="3">
        <v>25</v>
      </c>
      <c r="P74" s="13">
        <f>IF(裝備!N74&gt;0,裝備!O74/裝備!N74,0)</f>
        <v>0</v>
      </c>
    </row>
    <row r="75" spans="13:16">
      <c r="M75" s="13">
        <f>IF(裝備!H75&gt;0,1/裝備!H75,0)</f>
        <v>0</v>
      </c>
      <c r="N75" s="13">
        <f>IF(裝備!H75&gt;0, (((1 - 裝備!G75) * 裝備!F75) + (裝備!G75 * 裝備!F75 * 2)) / 裝備!H75, 0)</f>
        <v>0</v>
      </c>
      <c r="O75" s="3">
        <v>25</v>
      </c>
      <c r="P75" s="13">
        <f>IF(裝備!N75&gt;0,裝備!O75/裝備!N75,0)</f>
        <v>0</v>
      </c>
    </row>
    <row r="76" spans="13:16">
      <c r="M76" s="13">
        <f>IF(裝備!H76&gt;0,1/裝備!H76,0)</f>
        <v>0</v>
      </c>
      <c r="N76" s="13">
        <f>IF(裝備!H76&gt;0, (((1 - 裝備!G76) * 裝備!F76) + (裝備!G76 * 裝備!F76 * 2)) / 裝備!H76, 0)</f>
        <v>0</v>
      </c>
      <c r="O76" s="3">
        <v>25</v>
      </c>
      <c r="P76" s="13">
        <f>IF(裝備!N76&gt;0,裝備!O76/裝備!N76,0)</f>
        <v>0</v>
      </c>
    </row>
    <row r="77" spans="13:16">
      <c r="M77" s="13">
        <f>IF(裝備!H77&gt;0,1/裝備!H77,0)</f>
        <v>0</v>
      </c>
      <c r="N77" s="13">
        <f>IF(裝備!H77&gt;0, (((1 - 裝備!G77) * 裝備!F77) + (裝備!G77 * 裝備!F77 * 2)) / 裝備!H77, 0)</f>
        <v>0</v>
      </c>
      <c r="O77" s="3">
        <v>25</v>
      </c>
      <c r="P77" s="13">
        <f>IF(裝備!N77&gt;0,裝備!O77/裝備!N77,0)</f>
        <v>0</v>
      </c>
    </row>
    <row r="78" spans="13:16">
      <c r="M78" s="13">
        <f>IF(裝備!H78&gt;0,1/裝備!H78,0)</f>
        <v>0</v>
      </c>
      <c r="N78" s="13">
        <f>IF(裝備!H78&gt;0, (((1 - 裝備!G78) * 裝備!F78) + (裝備!G78 * 裝備!F78 * 2)) / 裝備!H78, 0)</f>
        <v>0</v>
      </c>
      <c r="O78" s="3">
        <v>25</v>
      </c>
      <c r="P78" s="13">
        <f>IF(裝備!N78&gt;0,裝備!O78/裝備!N78,0)</f>
        <v>0</v>
      </c>
    </row>
    <row r="79" spans="13:16">
      <c r="M79" s="13">
        <f>IF(裝備!H79&gt;0,1/裝備!H79,0)</f>
        <v>0</v>
      </c>
      <c r="N79" s="13">
        <f>IF(裝備!H79&gt;0, (((1 - 裝備!G79) * 裝備!F79) + (裝備!G79 * 裝備!F79 * 2)) / 裝備!H79, 0)</f>
        <v>0</v>
      </c>
      <c r="O79" s="3">
        <v>25</v>
      </c>
      <c r="P79" s="13">
        <f>IF(裝備!N79&gt;0,裝備!O79/裝備!N79,0)</f>
        <v>0</v>
      </c>
    </row>
    <row r="80" spans="13:16">
      <c r="M80" s="13">
        <f>IF(裝備!H80&gt;0,1/裝備!H80,0)</f>
        <v>0</v>
      </c>
      <c r="N80" s="13">
        <f>IF(裝備!H80&gt;0, (((1 - 裝備!G80) * 裝備!F80) + (裝備!G80 * 裝備!F80 * 2)) / 裝備!H80, 0)</f>
        <v>0</v>
      </c>
      <c r="O80" s="3">
        <v>25</v>
      </c>
      <c r="P80" s="13">
        <f>IF(裝備!N80&gt;0,裝備!O80/裝備!N80,0)</f>
        <v>0</v>
      </c>
    </row>
    <row r="81" spans="13:16">
      <c r="M81" s="13">
        <f>IF(裝備!H81&gt;0,1/裝備!H81,0)</f>
        <v>0</v>
      </c>
      <c r="N81" s="13">
        <f>IF(裝備!H81&gt;0, (((1 - 裝備!G81) * 裝備!F81) + (裝備!G81 * 裝備!F81 * 2)) / 裝備!H81, 0)</f>
        <v>0</v>
      </c>
      <c r="O81" s="3">
        <v>25</v>
      </c>
      <c r="P81" s="13">
        <f>IF(裝備!N81&gt;0,裝備!O81/裝備!N81,0)</f>
        <v>0</v>
      </c>
    </row>
    <row r="82" spans="13:16">
      <c r="M82" s="13">
        <f>IF(裝備!H82&gt;0,1/裝備!H82,0)</f>
        <v>0</v>
      </c>
      <c r="N82" s="13">
        <f>IF(裝備!H82&gt;0, (((1 - 裝備!G82) * 裝備!F82) + (裝備!G82 * 裝備!F82 * 2)) / 裝備!H82, 0)</f>
        <v>0</v>
      </c>
      <c r="O82" s="3">
        <v>25</v>
      </c>
      <c r="P82" s="13">
        <f>IF(裝備!N82&gt;0,裝備!O82/裝備!N82,0)</f>
        <v>0</v>
      </c>
    </row>
    <row r="83" spans="13:16">
      <c r="M83" s="13">
        <f>IF(裝備!H83&gt;0,1/裝備!H83,0)</f>
        <v>0</v>
      </c>
      <c r="N83" s="13">
        <f>IF(裝備!H83&gt;0, (((1 - 裝備!G83) * 裝備!F83) + (裝備!G83 * 裝備!F83 * 2)) / 裝備!H83, 0)</f>
        <v>0</v>
      </c>
      <c r="O83" s="3">
        <v>25</v>
      </c>
      <c r="P83" s="13">
        <f>IF(裝備!N83&gt;0,裝備!O83/裝備!N83,0)</f>
        <v>0</v>
      </c>
    </row>
    <row r="84" spans="13:16">
      <c r="M84" s="13">
        <f>IF(裝備!H84&gt;0,1/裝備!H84,0)</f>
        <v>0</v>
      </c>
      <c r="N84" s="13">
        <f>IF(裝備!H84&gt;0, (((1 - 裝備!G84) * 裝備!F84) + (裝備!G84 * 裝備!F84 * 2)) / 裝備!H84, 0)</f>
        <v>0</v>
      </c>
      <c r="O84" s="3">
        <v>25</v>
      </c>
      <c r="P84" s="13">
        <f>IF(裝備!N84&gt;0,裝備!O84/裝備!N84,0)</f>
        <v>0</v>
      </c>
    </row>
    <row r="85" spans="13:16">
      <c r="M85" s="13">
        <f>IF(裝備!H85&gt;0,1/裝備!H85,0)</f>
        <v>0</v>
      </c>
      <c r="N85" s="13">
        <f>IF(裝備!H85&gt;0, (((1 - 裝備!G85) * 裝備!F85) + (裝備!G85 * 裝備!F85 * 2)) / 裝備!H85, 0)</f>
        <v>0</v>
      </c>
      <c r="O85" s="3">
        <v>25</v>
      </c>
      <c r="P85" s="13">
        <f>IF(裝備!N85&gt;0,裝備!O85/裝備!N85,0)</f>
        <v>0</v>
      </c>
    </row>
    <row r="86" spans="13:16">
      <c r="M86" s="13">
        <f>IF(裝備!H86&gt;0,1/裝備!H86,0)</f>
        <v>0</v>
      </c>
      <c r="N86" s="13">
        <f>IF(裝備!H86&gt;0, (((1 - 裝備!G86) * 裝備!F86) + (裝備!G86 * 裝備!F86 * 2)) / 裝備!H86, 0)</f>
        <v>0</v>
      </c>
      <c r="O86" s="3">
        <v>25</v>
      </c>
      <c r="P86" s="13">
        <f>IF(裝備!N86&gt;0,裝備!O86/裝備!N86,0)</f>
        <v>0</v>
      </c>
    </row>
    <row r="87" spans="13:16">
      <c r="M87" s="13">
        <f>IF(裝備!H87&gt;0,1/裝備!H87,0)</f>
        <v>0</v>
      </c>
      <c r="N87" s="13">
        <f>IF(裝備!H87&gt;0, (((1 - 裝備!G87) * 裝備!F87) + (裝備!G87 * 裝備!F87 * 2)) / 裝備!H87, 0)</f>
        <v>0</v>
      </c>
      <c r="O87" s="3">
        <v>25</v>
      </c>
      <c r="P87" s="13">
        <f>IF(裝備!N87&gt;0,裝備!O87/裝備!N87,0)</f>
        <v>0</v>
      </c>
    </row>
    <row r="88" spans="13:16">
      <c r="M88" s="13">
        <f>IF(裝備!H88&gt;0,1/裝備!H88,0)</f>
        <v>0</v>
      </c>
      <c r="N88" s="13">
        <f>IF(裝備!H88&gt;0, (((1 - 裝備!G88) * 裝備!F88) + (裝備!G88 * 裝備!F88 * 2)) / 裝備!H88, 0)</f>
        <v>0</v>
      </c>
      <c r="O88" s="3">
        <v>25</v>
      </c>
      <c r="P88" s="13">
        <f>IF(裝備!N88&gt;0,裝備!O88/裝備!N88,0)</f>
        <v>0</v>
      </c>
    </row>
    <row r="89" spans="13:16">
      <c r="M89" s="13">
        <f>IF(裝備!H89&gt;0,1/裝備!H89,0)</f>
        <v>0</v>
      </c>
      <c r="N89" s="13">
        <f>IF(裝備!H89&gt;0, (((1 - 裝備!G89) * 裝備!F89) + (裝備!G89 * 裝備!F89 * 2)) / 裝備!H89, 0)</f>
        <v>0</v>
      </c>
      <c r="O89" s="3">
        <v>25</v>
      </c>
      <c r="P89" s="13">
        <f>IF(裝備!N89&gt;0,裝備!O89/裝備!N89,0)</f>
        <v>0</v>
      </c>
    </row>
    <row r="90" spans="13:16">
      <c r="M90" s="13">
        <f>IF(裝備!H90&gt;0,1/裝備!H90,0)</f>
        <v>0</v>
      </c>
      <c r="N90" s="13">
        <f>IF(裝備!H90&gt;0, (((1 - 裝備!G90) * 裝備!F90) + (裝備!G90 * 裝備!F90 * 2)) / 裝備!H90, 0)</f>
        <v>0</v>
      </c>
      <c r="O90" s="3">
        <v>25</v>
      </c>
      <c r="P90" s="13">
        <f>IF(裝備!N90&gt;0,裝備!O90/裝備!N90,0)</f>
        <v>0</v>
      </c>
    </row>
    <row r="91" spans="13:16">
      <c r="M91" s="13">
        <f>IF(裝備!H91&gt;0,1/裝備!H91,0)</f>
        <v>0</v>
      </c>
      <c r="N91" s="13">
        <f>IF(裝備!H91&gt;0, (((1 - 裝備!G91) * 裝備!F91) + (裝備!G91 * 裝備!F91 * 2)) / 裝備!H91, 0)</f>
        <v>0</v>
      </c>
      <c r="O91" s="3">
        <v>25</v>
      </c>
      <c r="P91" s="13">
        <f>IF(裝備!N91&gt;0,裝備!O91/裝備!N91,0)</f>
        <v>0</v>
      </c>
    </row>
    <row r="92" spans="13:16">
      <c r="M92" s="13">
        <f>IF(裝備!H92&gt;0,1/裝備!H92,0)</f>
        <v>0</v>
      </c>
      <c r="N92" s="13">
        <f>IF(裝備!H92&gt;0, (((1 - 裝備!G92) * 裝備!F92) + (裝備!G92 * 裝備!F92 * 2)) / 裝備!H92, 0)</f>
        <v>0</v>
      </c>
      <c r="O92" s="3">
        <v>25</v>
      </c>
      <c r="P92" s="13">
        <f>IF(裝備!N92&gt;0,裝備!O92/裝備!N92,0)</f>
        <v>0</v>
      </c>
    </row>
    <row r="93" spans="13:16">
      <c r="M93" s="13">
        <f>IF(裝備!H93&gt;0,1/裝備!H93,0)</f>
        <v>0</v>
      </c>
      <c r="N93" s="13">
        <f>IF(裝備!H93&gt;0, (((1 - 裝備!G93) * 裝備!F93) + (裝備!G93 * 裝備!F93 * 2)) / 裝備!H93, 0)</f>
        <v>0</v>
      </c>
      <c r="O93" s="3">
        <v>25</v>
      </c>
      <c r="P93" s="13">
        <f>IF(裝備!N93&gt;0,裝備!O93/裝備!N93,0)</f>
        <v>0</v>
      </c>
    </row>
    <row r="94" spans="13:16">
      <c r="M94" s="13">
        <f>IF(裝備!H94&gt;0,1/裝備!H94,0)</f>
        <v>0</v>
      </c>
      <c r="N94" s="13">
        <f>IF(裝備!H94&gt;0, (((1 - 裝備!G94) * 裝備!F94) + (裝備!G94 * 裝備!F94 * 2)) / 裝備!H94, 0)</f>
        <v>0</v>
      </c>
      <c r="O94" s="3">
        <v>25</v>
      </c>
      <c r="P94" s="13">
        <f>IF(裝備!N94&gt;0,裝備!O94/裝備!N94,0)</f>
        <v>0</v>
      </c>
    </row>
    <row r="95" spans="13:16">
      <c r="M95" s="13">
        <f>IF(裝備!H95&gt;0,1/裝備!H95,0)</f>
        <v>0</v>
      </c>
      <c r="N95" s="13">
        <f>IF(裝備!H95&gt;0, (((1 - 裝備!G95) * 裝備!F95) + (裝備!G95 * 裝備!F95 * 2)) / 裝備!H95, 0)</f>
        <v>0</v>
      </c>
      <c r="O95" s="3">
        <v>25</v>
      </c>
      <c r="P95" s="13">
        <f>IF(裝備!N95&gt;0,裝備!O95/裝備!N95,0)</f>
        <v>0</v>
      </c>
    </row>
    <row r="96" spans="13:16">
      <c r="M96" s="13">
        <f>IF(裝備!H96&gt;0,1/裝備!H96,0)</f>
        <v>0</v>
      </c>
      <c r="N96" s="13">
        <f>IF(裝備!H96&gt;0, (((1 - 裝備!G96) * 裝備!F96) + (裝備!G96 * 裝備!F96 * 2)) / 裝備!H96, 0)</f>
        <v>0</v>
      </c>
      <c r="O96" s="3">
        <v>25</v>
      </c>
      <c r="P96" s="13">
        <f>IF(裝備!N96&gt;0,裝備!O96/裝備!N96,0)</f>
        <v>0</v>
      </c>
    </row>
    <row r="97" spans="13:16">
      <c r="M97" s="13">
        <f>IF(裝備!H97&gt;0,1/裝備!H97,0)</f>
        <v>0</v>
      </c>
      <c r="N97" s="13">
        <f>IF(裝備!H97&gt;0, (((1 - 裝備!G97) * 裝備!F97) + (裝備!G97 * 裝備!F97 * 2)) / 裝備!H97, 0)</f>
        <v>0</v>
      </c>
      <c r="O97" s="3">
        <v>25</v>
      </c>
      <c r="P97" s="13">
        <f>IF(裝備!N97&gt;0,裝備!O97/裝備!N97,0)</f>
        <v>0</v>
      </c>
    </row>
    <row r="98" spans="13:16">
      <c r="M98" s="13">
        <f>IF(裝備!H98&gt;0,1/裝備!H98,0)</f>
        <v>0</v>
      </c>
      <c r="N98" s="13">
        <f>IF(裝備!H98&gt;0, (((1 - 裝備!G98) * 裝備!F98) + (裝備!G98 * 裝備!F98 * 2)) / 裝備!H98, 0)</f>
        <v>0</v>
      </c>
      <c r="O98" s="3">
        <v>25</v>
      </c>
      <c r="P98" s="13">
        <f>IF(裝備!N98&gt;0,裝備!O98/裝備!N98,0)</f>
        <v>0</v>
      </c>
    </row>
    <row r="99" spans="13:16">
      <c r="M99" s="13">
        <f>IF(裝備!H99&gt;0,1/裝備!H99,0)</f>
        <v>0</v>
      </c>
      <c r="N99" s="13">
        <f>IF(裝備!H99&gt;0, (((1 - 裝備!G99) * 裝備!F99) + (裝備!G99 * 裝備!F99 * 2)) / 裝備!H99, 0)</f>
        <v>0</v>
      </c>
      <c r="O99" s="3">
        <v>25</v>
      </c>
      <c r="P99" s="13">
        <f>IF(裝備!N99&gt;0,裝備!O99/裝備!N99,0)</f>
        <v>0</v>
      </c>
    </row>
    <row r="100" spans="13:16">
      <c r="M100" s="13">
        <f>IF(裝備!H100&gt;0,1/裝備!H100,0)</f>
        <v>0</v>
      </c>
      <c r="N100" s="13">
        <f>IF(裝備!H100&gt;0, (((1 - 裝備!G100) * 裝備!F100) + (裝備!G100 * 裝備!F100 * 2)) / 裝備!H100, 0)</f>
        <v>0</v>
      </c>
      <c r="O100" s="3">
        <v>25</v>
      </c>
      <c r="P100" s="13">
        <f>IF(裝備!N100&gt;0,裝備!O100/裝備!N100,0)</f>
        <v>0</v>
      </c>
    </row>
    <row r="101" spans="13:16">
      <c r="M101" s="13">
        <f>IF(裝備!H101&gt;0,1/裝備!H101,0)</f>
        <v>0</v>
      </c>
      <c r="N101" s="13">
        <f>IF(裝備!H101&gt;0, (((1 - 裝備!G101) * 裝備!F101) + (裝備!G101 * 裝備!F101 * 2)) / 裝備!H101, 0)</f>
        <v>0</v>
      </c>
      <c r="O101" s="3">
        <v>25</v>
      </c>
      <c r="P101" s="13">
        <f>IF(裝備!N101&gt;0,裝備!O101/裝備!N101,0)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選項清單!$E$2:$E$5</xm:f>
          </x14:formula1>
          <xm:sqref>J1:J1048576</xm:sqref>
        </x14:dataValidation>
        <x14:dataValidation type="list" allowBlank="1" showInputMessage="1" showErrorMessage="1">
          <x14:formula1>
            <xm:f>選項清單!$C$3:$C$4</xm:f>
          </x14:formula1>
          <xm:sqref>I1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I1:I1048576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J100"/>
  <sheetViews>
    <sheetView workbookViewId="0">
      <pane ySplit="1" topLeftCell="A2" activePane="bottomLeft" state="frozen"/>
      <selection pane="bottomLeft" activeCell="J2" sqref="J2:J23"/>
    </sheetView>
  </sheetViews>
  <sheetFormatPr defaultRowHeight="16.5"/>
  <cols>
    <col min="1" max="8" width="15.625" style="3" customWidth="1"/>
    <col min="9" max="9" width="3.125" style="3" customWidth="1"/>
    <col min="10" max="10" width="40.625" style="18" customWidth="1"/>
    <col min="11" max="16384" width="9" style="3"/>
  </cols>
  <sheetData>
    <row r="1" spans="1:10" s="2" customFormat="1">
      <c r="A1" s="2" t="s">
        <v>30</v>
      </c>
      <c r="B1" s="2" t="s">
        <v>31</v>
      </c>
      <c r="C1" s="2" t="s">
        <v>32</v>
      </c>
      <c r="D1" s="2" t="s">
        <v>108</v>
      </c>
      <c r="E1" s="2" t="s">
        <v>78</v>
      </c>
      <c r="F1" s="2" t="s">
        <v>37</v>
      </c>
      <c r="G1" s="2" t="s">
        <v>33</v>
      </c>
      <c r="H1" s="26" t="s">
        <v>94</v>
      </c>
      <c r="J1" s="17" t="s">
        <v>34</v>
      </c>
    </row>
    <row r="2" spans="1:10">
      <c r="A2" s="3">
        <v>1</v>
      </c>
      <c r="B2" s="3">
        <v>2001</v>
      </c>
      <c r="C2" s="3" t="s">
        <v>96</v>
      </c>
      <c r="D2" s="3">
        <v>4</v>
      </c>
      <c r="E2" s="3">
        <v>3</v>
      </c>
      <c r="F2" s="3">
        <v>1</v>
      </c>
      <c r="G2" s="3">
        <v>4</v>
      </c>
      <c r="H2" s="25">
        <v>3001</v>
      </c>
      <c r="J2" s="18" t="s">
        <v>64</v>
      </c>
    </row>
    <row r="3" spans="1:10">
      <c r="A3" s="3">
        <v>2</v>
      </c>
      <c r="B3" s="3">
        <v>2002</v>
      </c>
      <c r="C3" s="3" t="s">
        <v>96</v>
      </c>
      <c r="D3" s="3">
        <v>6</v>
      </c>
      <c r="E3" s="3">
        <v>3</v>
      </c>
      <c r="F3" s="3">
        <v>1</v>
      </c>
      <c r="G3" s="3">
        <v>8</v>
      </c>
      <c r="H3" s="25">
        <v>3002</v>
      </c>
      <c r="J3" s="18" t="s">
        <v>65</v>
      </c>
    </row>
    <row r="4" spans="1:10">
      <c r="A4" s="3">
        <v>3</v>
      </c>
      <c r="B4" s="3">
        <v>2003</v>
      </c>
      <c r="C4" s="3" t="s">
        <v>96</v>
      </c>
      <c r="D4" s="3">
        <v>0</v>
      </c>
      <c r="E4" s="3">
        <v>3</v>
      </c>
      <c r="F4" s="3">
        <v>2</v>
      </c>
      <c r="G4" s="3">
        <v>-4</v>
      </c>
      <c r="H4" s="25">
        <v>3003</v>
      </c>
      <c r="J4" s="18" t="s">
        <v>66</v>
      </c>
    </row>
    <row r="5" spans="1:10">
      <c r="A5" s="3">
        <v>4</v>
      </c>
      <c r="B5" s="3">
        <v>2004</v>
      </c>
      <c r="C5" s="3" t="s">
        <v>96</v>
      </c>
      <c r="D5" s="3">
        <v>0</v>
      </c>
      <c r="E5" s="3">
        <v>3</v>
      </c>
      <c r="F5" s="3">
        <v>2</v>
      </c>
      <c r="G5" s="3">
        <v>-8</v>
      </c>
      <c r="H5" s="25">
        <v>3004</v>
      </c>
      <c r="J5" s="18" t="s">
        <v>67</v>
      </c>
    </row>
    <row r="6" spans="1:10">
      <c r="A6" s="3">
        <v>5</v>
      </c>
      <c r="B6" s="3">
        <v>2005</v>
      </c>
      <c r="C6" s="3" t="s">
        <v>98</v>
      </c>
      <c r="D6" s="3">
        <v>8</v>
      </c>
      <c r="E6" s="3">
        <v>3</v>
      </c>
      <c r="F6" s="3">
        <v>3</v>
      </c>
      <c r="G6" s="3">
        <v>2</v>
      </c>
      <c r="H6" s="25">
        <v>3005</v>
      </c>
      <c r="J6" s="18" t="s">
        <v>68</v>
      </c>
    </row>
    <row r="7" spans="1:10">
      <c r="A7" s="3">
        <v>6</v>
      </c>
      <c r="B7" s="3">
        <v>2006</v>
      </c>
      <c r="C7" s="3" t="s">
        <v>98</v>
      </c>
      <c r="D7" s="3">
        <v>10</v>
      </c>
      <c r="E7" s="3">
        <v>3</v>
      </c>
      <c r="F7" s="3">
        <v>3</v>
      </c>
      <c r="G7" s="3">
        <v>3</v>
      </c>
      <c r="H7" s="25">
        <v>3006</v>
      </c>
      <c r="J7" s="18" t="s">
        <v>69</v>
      </c>
    </row>
    <row r="8" spans="1:10">
      <c r="A8" s="3">
        <v>7</v>
      </c>
      <c r="B8" s="3">
        <v>2007</v>
      </c>
      <c r="C8" s="3" t="s">
        <v>98</v>
      </c>
      <c r="D8" s="3">
        <v>0</v>
      </c>
      <c r="E8" s="3">
        <v>3</v>
      </c>
      <c r="F8" s="3">
        <v>3</v>
      </c>
      <c r="G8" s="3">
        <v>-2</v>
      </c>
      <c r="H8" s="25">
        <v>3007</v>
      </c>
      <c r="J8" s="18" t="s">
        <v>70</v>
      </c>
    </row>
    <row r="9" spans="1:10">
      <c r="A9" s="3">
        <v>8</v>
      </c>
      <c r="B9" s="3">
        <v>2008</v>
      </c>
      <c r="C9" s="3" t="s">
        <v>98</v>
      </c>
      <c r="D9" s="3">
        <v>0</v>
      </c>
      <c r="E9" s="3">
        <v>3</v>
      </c>
      <c r="F9" s="3">
        <v>3</v>
      </c>
      <c r="G9" s="3">
        <v>-3</v>
      </c>
      <c r="H9" s="25">
        <v>3008</v>
      </c>
      <c r="J9" s="18" t="s">
        <v>71</v>
      </c>
    </row>
    <row r="10" spans="1:10">
      <c r="A10" s="3">
        <v>9</v>
      </c>
      <c r="B10" s="3">
        <v>2009</v>
      </c>
      <c r="C10" s="3" t="s">
        <v>100</v>
      </c>
      <c r="D10" s="3">
        <v>0</v>
      </c>
      <c r="E10" s="3">
        <v>3</v>
      </c>
      <c r="F10" s="3">
        <v>4</v>
      </c>
      <c r="G10" s="14">
        <v>-0.2</v>
      </c>
      <c r="H10" s="25">
        <v>3009</v>
      </c>
      <c r="J10" s="18" t="s">
        <v>110</v>
      </c>
    </row>
    <row r="11" spans="1:10">
      <c r="A11" s="3">
        <v>10</v>
      </c>
      <c r="B11" s="3">
        <v>2010</v>
      </c>
      <c r="C11" s="3" t="s">
        <v>100</v>
      </c>
      <c r="D11" s="3">
        <v>0</v>
      </c>
      <c r="E11" s="3">
        <v>3</v>
      </c>
      <c r="F11" s="3">
        <v>4</v>
      </c>
      <c r="G11" s="14">
        <v>-0.1</v>
      </c>
      <c r="H11" s="25">
        <v>3010</v>
      </c>
      <c r="J11" s="18" t="s">
        <v>111</v>
      </c>
    </row>
    <row r="12" spans="1:10">
      <c r="A12" s="3">
        <v>11</v>
      </c>
      <c r="B12" s="3">
        <v>2011</v>
      </c>
      <c r="C12" s="3" t="s">
        <v>100</v>
      </c>
      <c r="D12" s="3">
        <v>4</v>
      </c>
      <c r="E12" s="3">
        <v>3</v>
      </c>
      <c r="F12" s="3">
        <v>4</v>
      </c>
      <c r="G12" s="14">
        <v>0.1</v>
      </c>
      <c r="H12" s="25">
        <v>3011</v>
      </c>
      <c r="J12" s="18" t="s">
        <v>112</v>
      </c>
    </row>
    <row r="13" spans="1:10">
      <c r="A13" s="3">
        <v>12</v>
      </c>
      <c r="B13" s="3">
        <v>2012</v>
      </c>
      <c r="C13" s="3" t="s">
        <v>100</v>
      </c>
      <c r="D13" s="3">
        <v>6</v>
      </c>
      <c r="E13" s="3">
        <v>3</v>
      </c>
      <c r="F13" s="3">
        <v>4</v>
      </c>
      <c r="G13" s="14">
        <v>0.2</v>
      </c>
      <c r="H13" s="25">
        <v>3012</v>
      </c>
      <c r="J13" s="18" t="s">
        <v>113</v>
      </c>
    </row>
    <row r="14" spans="1:10">
      <c r="A14" s="3">
        <v>13</v>
      </c>
      <c r="B14" s="3">
        <v>2013</v>
      </c>
      <c r="C14" s="3" t="s">
        <v>102</v>
      </c>
      <c r="D14" s="3">
        <v>4</v>
      </c>
      <c r="E14" s="3">
        <v>3</v>
      </c>
      <c r="F14" s="3">
        <v>5</v>
      </c>
      <c r="G14" s="14">
        <v>10</v>
      </c>
      <c r="H14" s="25">
        <v>3013</v>
      </c>
      <c r="J14" s="18" t="s">
        <v>115</v>
      </c>
    </row>
    <row r="15" spans="1:10">
      <c r="A15" s="3">
        <v>14</v>
      </c>
      <c r="B15" s="3">
        <v>2014</v>
      </c>
      <c r="C15" s="3" t="s">
        <v>102</v>
      </c>
      <c r="D15" s="3">
        <v>0</v>
      </c>
      <c r="E15" s="3">
        <v>3</v>
      </c>
      <c r="F15" s="3">
        <v>5</v>
      </c>
      <c r="G15" s="14">
        <v>-10</v>
      </c>
      <c r="H15" s="25">
        <v>3014</v>
      </c>
      <c r="J15" s="18" t="s">
        <v>114</v>
      </c>
    </row>
    <row r="16" spans="1:10">
      <c r="A16" s="3">
        <v>15</v>
      </c>
      <c r="B16" s="3">
        <v>2015</v>
      </c>
      <c r="C16" s="3" t="s">
        <v>104</v>
      </c>
      <c r="D16" s="3">
        <v>14</v>
      </c>
      <c r="E16" s="3">
        <v>2</v>
      </c>
      <c r="F16" s="3">
        <v>6</v>
      </c>
      <c r="G16" s="14">
        <v>1</v>
      </c>
      <c r="H16" s="25">
        <v>3015</v>
      </c>
      <c r="J16" s="18" t="s">
        <v>116</v>
      </c>
    </row>
    <row r="17" spans="1:10">
      <c r="A17" s="3">
        <v>16</v>
      </c>
      <c r="B17" s="3">
        <v>2016</v>
      </c>
      <c r="C17" s="3" t="s">
        <v>104</v>
      </c>
      <c r="D17" s="3">
        <v>16</v>
      </c>
      <c r="E17" s="3">
        <v>1</v>
      </c>
      <c r="F17" s="3">
        <v>6</v>
      </c>
      <c r="G17" s="3">
        <v>2</v>
      </c>
      <c r="H17" s="25">
        <v>3016</v>
      </c>
      <c r="J17" s="18" t="s">
        <v>117</v>
      </c>
    </row>
    <row r="18" spans="1:10">
      <c r="A18" s="3">
        <v>17</v>
      </c>
      <c r="B18" s="3">
        <v>2017</v>
      </c>
      <c r="C18" s="3" t="s">
        <v>105</v>
      </c>
      <c r="D18" s="3">
        <v>4</v>
      </c>
      <c r="E18" s="3">
        <v>2</v>
      </c>
      <c r="F18" s="3">
        <v>7</v>
      </c>
      <c r="G18" s="3">
        <v>2</v>
      </c>
      <c r="H18" s="25">
        <v>3017</v>
      </c>
      <c r="J18" s="18" t="s">
        <v>118</v>
      </c>
    </row>
    <row r="19" spans="1:10">
      <c r="A19" s="3">
        <v>18</v>
      </c>
      <c r="B19" s="3">
        <v>2018</v>
      </c>
      <c r="C19" s="3" t="s">
        <v>105</v>
      </c>
      <c r="D19" s="3">
        <v>8</v>
      </c>
      <c r="E19" s="3">
        <v>1</v>
      </c>
      <c r="F19" s="3">
        <v>7</v>
      </c>
      <c r="G19" s="3">
        <v>4</v>
      </c>
      <c r="H19" s="25">
        <v>3018</v>
      </c>
      <c r="J19" s="18" t="s">
        <v>124</v>
      </c>
    </row>
    <row r="20" spans="1:10">
      <c r="A20" s="3">
        <v>19</v>
      </c>
      <c r="B20" s="3">
        <v>2019</v>
      </c>
      <c r="C20" s="3" t="s">
        <v>106</v>
      </c>
      <c r="D20" s="3">
        <v>2</v>
      </c>
      <c r="E20" s="3">
        <v>3</v>
      </c>
      <c r="F20" s="3">
        <v>8</v>
      </c>
      <c r="G20" s="3">
        <v>0.03</v>
      </c>
      <c r="H20" s="25">
        <v>3019</v>
      </c>
      <c r="J20" s="18" t="s">
        <v>119</v>
      </c>
    </row>
    <row r="21" spans="1:10">
      <c r="A21" s="3">
        <v>20</v>
      </c>
      <c r="B21" s="3">
        <v>2020</v>
      </c>
      <c r="C21" s="3" t="s">
        <v>106</v>
      </c>
      <c r="D21" s="3">
        <v>2</v>
      </c>
      <c r="E21" s="3">
        <v>2</v>
      </c>
      <c r="F21" s="3">
        <v>8</v>
      </c>
      <c r="G21" s="3">
        <v>0.06</v>
      </c>
      <c r="H21" s="25">
        <v>3020</v>
      </c>
      <c r="J21" s="18" t="s">
        <v>120</v>
      </c>
    </row>
    <row r="22" spans="1:10">
      <c r="A22" s="3">
        <v>21</v>
      </c>
      <c r="B22" s="3">
        <v>2021</v>
      </c>
      <c r="C22" s="3" t="s">
        <v>123</v>
      </c>
      <c r="D22" s="3">
        <v>-10</v>
      </c>
      <c r="E22" s="3">
        <v>3</v>
      </c>
      <c r="F22" s="3">
        <v>10</v>
      </c>
      <c r="G22" s="3">
        <v>0</v>
      </c>
      <c r="H22" s="25">
        <v>3021</v>
      </c>
      <c r="J22" s="18" t="s">
        <v>121</v>
      </c>
    </row>
    <row r="23" spans="1:10">
      <c r="A23" s="3">
        <v>22</v>
      </c>
      <c r="B23" s="3">
        <v>2022</v>
      </c>
      <c r="C23" s="3" t="s">
        <v>123</v>
      </c>
      <c r="D23" s="3">
        <v>20</v>
      </c>
      <c r="E23" s="3">
        <v>3</v>
      </c>
      <c r="F23" s="3">
        <v>10</v>
      </c>
      <c r="G23" s="3">
        <v>0</v>
      </c>
      <c r="H23" s="25">
        <v>3022</v>
      </c>
      <c r="J23" s="18" t="s">
        <v>122</v>
      </c>
    </row>
    <row r="24" spans="1:10">
      <c r="H24" s="25"/>
    </row>
    <row r="25" spans="1:10">
      <c r="G25" s="14"/>
    </row>
    <row r="26" spans="1:10">
      <c r="G26" s="14"/>
    </row>
    <row r="27" spans="1:10">
      <c r="G27" s="14"/>
    </row>
    <row r="28" spans="1:10">
      <c r="G28" s="14"/>
    </row>
    <row r="29" spans="1:10">
      <c r="G29" s="14"/>
    </row>
    <row r="30" spans="1:10">
      <c r="G30" s="14"/>
    </row>
    <row r="31" spans="1:10">
      <c r="G31" s="14"/>
    </row>
    <row r="32" spans="1:10">
      <c r="G32" s="14"/>
    </row>
    <row r="33" spans="1:7">
      <c r="G33" s="14"/>
    </row>
    <row r="34" spans="1:7">
      <c r="A34" s="19"/>
      <c r="G34" s="14"/>
    </row>
    <row r="35" spans="1:7">
      <c r="A35" s="19"/>
      <c r="G35" s="14"/>
    </row>
    <row r="36" spans="1:7">
      <c r="A36" s="19"/>
      <c r="G36" s="14"/>
    </row>
    <row r="37" spans="1:7">
      <c r="A37" s="19"/>
      <c r="G37" s="14"/>
    </row>
    <row r="38" spans="1:7">
      <c r="A38" s="19"/>
      <c r="G38" s="14"/>
    </row>
    <row r="39" spans="1:7">
      <c r="A39" s="19"/>
      <c r="G39" s="14"/>
    </row>
    <row r="40" spans="1:7">
      <c r="A40" s="19"/>
      <c r="G40" s="14"/>
    </row>
    <row r="41" spans="1:7">
      <c r="A41" s="19"/>
      <c r="G41" s="14"/>
    </row>
    <row r="42" spans="1:7">
      <c r="A42" s="19"/>
      <c r="G42" s="14"/>
    </row>
    <row r="43" spans="1:7">
      <c r="A43" s="19"/>
      <c r="G43" s="14"/>
    </row>
    <row r="44" spans="1:7">
      <c r="A44" s="19"/>
      <c r="G44" s="14"/>
    </row>
    <row r="45" spans="1:7">
      <c r="A45" s="19"/>
      <c r="G45" s="14"/>
    </row>
    <row r="46" spans="1:7">
      <c r="A46" s="19"/>
      <c r="G46" s="14"/>
    </row>
    <row r="47" spans="1:7">
      <c r="A47" s="19"/>
      <c r="G47" s="14"/>
    </row>
    <row r="48" spans="1:7">
      <c r="A48" s="19"/>
      <c r="G48" s="14"/>
    </row>
    <row r="49" spans="1:7">
      <c r="A49" s="19"/>
      <c r="G49" s="14"/>
    </row>
    <row r="50" spans="1:7">
      <c r="A50" s="19"/>
      <c r="G50" s="14"/>
    </row>
    <row r="51" spans="1:7">
      <c r="A51" s="19"/>
      <c r="G51" s="14"/>
    </row>
    <row r="52" spans="1:7">
      <c r="A52" s="19"/>
      <c r="G52" s="14"/>
    </row>
    <row r="53" spans="1:7">
      <c r="A53" s="19"/>
      <c r="G53" s="14"/>
    </row>
    <row r="54" spans="1:7">
      <c r="A54" s="19"/>
      <c r="G54" s="14"/>
    </row>
    <row r="55" spans="1:7">
      <c r="A55" s="19"/>
      <c r="G55" s="14"/>
    </row>
    <row r="56" spans="1:7">
      <c r="A56" s="19"/>
      <c r="G56" s="14"/>
    </row>
    <row r="57" spans="1:7">
      <c r="A57" s="19"/>
      <c r="G57" s="14"/>
    </row>
    <row r="58" spans="1:7">
      <c r="A58" s="19"/>
      <c r="G58" s="14"/>
    </row>
    <row r="59" spans="1:7">
      <c r="A59" s="19"/>
      <c r="G59" s="14"/>
    </row>
    <row r="60" spans="1:7">
      <c r="A60" s="19"/>
      <c r="G60" s="14"/>
    </row>
    <row r="61" spans="1:7">
      <c r="A61" s="19"/>
      <c r="G61" s="14"/>
    </row>
    <row r="62" spans="1:7">
      <c r="A62" s="19"/>
      <c r="G62" s="14"/>
    </row>
    <row r="63" spans="1:7">
      <c r="A63" s="19"/>
      <c r="G63" s="14"/>
    </row>
    <row r="64" spans="1:7">
      <c r="A64" s="19"/>
      <c r="G64" s="14"/>
    </row>
    <row r="65" spans="1:7">
      <c r="A65" s="19"/>
      <c r="G65" s="14"/>
    </row>
    <row r="66" spans="1:7">
      <c r="A66" s="19"/>
      <c r="G66" s="14"/>
    </row>
    <row r="67" spans="1:7">
      <c r="A67" s="19"/>
      <c r="G67" s="14"/>
    </row>
    <row r="68" spans="1:7">
      <c r="A68" s="19"/>
      <c r="G68" s="14"/>
    </row>
    <row r="69" spans="1:7">
      <c r="A69" s="19"/>
      <c r="G69" s="14"/>
    </row>
    <row r="70" spans="1:7">
      <c r="A70" s="19"/>
      <c r="G70" s="14"/>
    </row>
    <row r="71" spans="1:7">
      <c r="A71" s="19"/>
      <c r="G71" s="14"/>
    </row>
    <row r="72" spans="1:7">
      <c r="A72" s="19"/>
      <c r="G72" s="14"/>
    </row>
    <row r="73" spans="1:7">
      <c r="A73" s="19"/>
      <c r="G73" s="14"/>
    </row>
    <row r="74" spans="1:7">
      <c r="A74" s="19"/>
      <c r="G74" s="14"/>
    </row>
    <row r="75" spans="1:7">
      <c r="A75" s="19"/>
      <c r="G75" s="14"/>
    </row>
    <row r="76" spans="1:7">
      <c r="A76" s="19"/>
      <c r="G76" s="14"/>
    </row>
    <row r="77" spans="1:7">
      <c r="A77" s="19"/>
      <c r="G77" s="14"/>
    </row>
    <row r="78" spans="1:7">
      <c r="A78" s="19"/>
      <c r="G78" s="14"/>
    </row>
    <row r="79" spans="1:7">
      <c r="A79" s="19"/>
      <c r="G79" s="14"/>
    </row>
    <row r="80" spans="1:7">
      <c r="A80" s="19"/>
      <c r="G80" s="14"/>
    </row>
    <row r="81" spans="1:7">
      <c r="A81" s="19"/>
      <c r="G81" s="14"/>
    </row>
    <row r="82" spans="1:7">
      <c r="A82" s="19"/>
      <c r="G82" s="14"/>
    </row>
    <row r="83" spans="1:7">
      <c r="A83" s="19"/>
      <c r="G83" s="14"/>
    </row>
    <row r="84" spans="1:7">
      <c r="A84" s="19"/>
      <c r="G84" s="14"/>
    </row>
    <row r="85" spans="1:7">
      <c r="A85" s="19"/>
      <c r="G85" s="14"/>
    </row>
    <row r="86" spans="1:7">
      <c r="A86" s="19"/>
      <c r="G86" s="14"/>
    </row>
    <row r="87" spans="1:7">
      <c r="A87" s="19"/>
      <c r="G87" s="14"/>
    </row>
    <row r="88" spans="1:7">
      <c r="A88" s="19"/>
      <c r="G88" s="14"/>
    </row>
    <row r="89" spans="1:7">
      <c r="A89" s="19"/>
      <c r="G89" s="14"/>
    </row>
    <row r="90" spans="1:7">
      <c r="A90" s="19"/>
      <c r="G90" s="14"/>
    </row>
    <row r="91" spans="1:7">
      <c r="A91" s="19"/>
      <c r="G91" s="14"/>
    </row>
    <row r="92" spans="1:7">
      <c r="A92" s="19"/>
      <c r="G92" s="14"/>
    </row>
    <row r="93" spans="1:7">
      <c r="A93" s="19"/>
      <c r="G93" s="14"/>
    </row>
    <row r="94" spans="1:7">
      <c r="A94" s="19"/>
      <c r="G94" s="14"/>
    </row>
    <row r="95" spans="1:7">
      <c r="A95" s="19"/>
      <c r="G95" s="14"/>
    </row>
    <row r="96" spans="1:7">
      <c r="A96" s="16"/>
      <c r="B96" s="20"/>
      <c r="C96" s="20"/>
      <c r="D96" s="20"/>
      <c r="E96" s="20"/>
      <c r="F96" s="20"/>
      <c r="G96" s="15"/>
    </row>
    <row r="97" spans="1:8">
      <c r="A97" s="19"/>
      <c r="G97" s="14"/>
    </row>
    <row r="98" spans="1:8">
      <c r="A98" s="19"/>
      <c r="G98" s="14"/>
    </row>
    <row r="99" spans="1:8">
      <c r="A99" s="16"/>
      <c r="B99" s="20"/>
      <c r="C99" s="20"/>
      <c r="D99" s="20"/>
      <c r="E99" s="20"/>
      <c r="F99" s="20"/>
      <c r="G99" s="15"/>
      <c r="H99" s="20"/>
    </row>
    <row r="100" spans="1:8">
      <c r="A100" s="16"/>
      <c r="B100" s="20"/>
      <c r="C100" s="20"/>
      <c r="D100" s="20"/>
      <c r="E100" s="20"/>
      <c r="F100" s="20"/>
      <c r="G100" s="15"/>
      <c r="H100" s="20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選項清單!$G$2:$G$10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K103"/>
  <sheetViews>
    <sheetView tabSelected="1" workbookViewId="0">
      <pane ySplit="1" topLeftCell="A2" activePane="bottomLeft" state="frozen"/>
      <selection pane="bottomLeft" activeCell="H10" sqref="H10"/>
    </sheetView>
  </sheetViews>
  <sheetFormatPr defaultRowHeight="16.5"/>
  <cols>
    <col min="1" max="1" width="15.625" style="7" customWidth="1"/>
    <col min="2" max="2" width="15.625" style="6" customWidth="1"/>
    <col min="3" max="7" width="15.625" style="9" customWidth="1"/>
    <col min="9" max="9" width="40.625" style="6" customWidth="1"/>
    <col min="10" max="10" width="9" style="27"/>
    <col min="11" max="16384" width="9" style="6"/>
  </cols>
  <sheetData>
    <row r="1" spans="1:11" s="2" customFormat="1">
      <c r="A1" s="8" t="s">
        <v>38</v>
      </c>
      <c r="B1" s="2" t="s">
        <v>39</v>
      </c>
      <c r="C1" s="2" t="s">
        <v>41</v>
      </c>
      <c r="D1" s="2" t="s">
        <v>42</v>
      </c>
      <c r="E1" s="2" t="s">
        <v>95</v>
      </c>
      <c r="F1" s="2" t="s">
        <v>40</v>
      </c>
      <c r="G1" s="2" t="s">
        <v>63</v>
      </c>
      <c r="I1" s="17" t="s">
        <v>43</v>
      </c>
      <c r="J1" s="23"/>
      <c r="K1" s="23"/>
    </row>
    <row r="2" spans="1:11">
      <c r="A2" s="7">
        <v>1</v>
      </c>
      <c r="B2" s="6" t="s">
        <v>46</v>
      </c>
      <c r="C2" s="9">
        <v>2</v>
      </c>
      <c r="D2" s="9">
        <v>1</v>
      </c>
      <c r="E2" s="9">
        <v>1</v>
      </c>
      <c r="F2" s="9">
        <v>30</v>
      </c>
      <c r="G2" s="9">
        <v>0.28000000000000003</v>
      </c>
      <c r="H2" s="21"/>
      <c r="I2" s="6" t="s">
        <v>80</v>
      </c>
      <c r="J2" s="24"/>
      <c r="K2" s="24"/>
    </row>
    <row r="3" spans="1:11">
      <c r="A3" s="7">
        <v>2</v>
      </c>
      <c r="B3" s="6" t="s">
        <v>46</v>
      </c>
      <c r="C3" s="9">
        <v>2</v>
      </c>
      <c r="D3" s="9">
        <v>11</v>
      </c>
      <c r="E3" s="9">
        <v>2</v>
      </c>
      <c r="F3" s="9">
        <v>60</v>
      </c>
      <c r="G3" s="9">
        <v>0.28000000000000003</v>
      </c>
      <c r="H3" s="21"/>
      <c r="I3" s="6" t="s">
        <v>81</v>
      </c>
      <c r="J3" s="24"/>
      <c r="K3" s="24"/>
    </row>
    <row r="4" spans="1:11">
      <c r="A4" s="7">
        <v>3</v>
      </c>
      <c r="B4" s="6" t="s">
        <v>46</v>
      </c>
      <c r="C4" s="9">
        <v>2</v>
      </c>
      <c r="D4" s="9">
        <v>21</v>
      </c>
      <c r="E4" s="9">
        <v>3</v>
      </c>
      <c r="F4" s="9">
        <v>90</v>
      </c>
      <c r="G4" s="9">
        <v>0.28000000000000003</v>
      </c>
      <c r="H4" s="21"/>
      <c r="I4" s="6" t="s">
        <v>82</v>
      </c>
      <c r="J4" s="24"/>
      <c r="K4" s="24"/>
    </row>
    <row r="5" spans="1:11">
      <c r="A5" s="7">
        <v>4</v>
      </c>
      <c r="B5" s="6" t="s">
        <v>46</v>
      </c>
      <c r="C5" s="9">
        <v>2</v>
      </c>
      <c r="D5" s="9">
        <v>31</v>
      </c>
      <c r="E5" s="9">
        <v>4</v>
      </c>
      <c r="F5" s="9">
        <v>120</v>
      </c>
      <c r="G5" s="9">
        <v>0.28000000000000003</v>
      </c>
      <c r="H5" s="21"/>
      <c r="I5" s="6" t="s">
        <v>83</v>
      </c>
      <c r="J5" s="24"/>
      <c r="K5" s="24"/>
    </row>
    <row r="6" spans="1:11">
      <c r="A6" s="7">
        <v>5</v>
      </c>
      <c r="B6" s="6" t="s">
        <v>46</v>
      </c>
      <c r="C6" s="9">
        <v>2</v>
      </c>
      <c r="D6" s="9">
        <v>41</v>
      </c>
      <c r="E6" s="9">
        <v>5</v>
      </c>
      <c r="F6" s="9">
        <v>150</v>
      </c>
      <c r="G6" s="9">
        <v>0.28000000000000003</v>
      </c>
      <c r="H6" s="21"/>
      <c r="I6" s="6" t="s">
        <v>84</v>
      </c>
      <c r="J6" s="24"/>
      <c r="K6" s="24"/>
    </row>
    <row r="7" spans="1:11">
      <c r="A7" s="7">
        <v>11</v>
      </c>
      <c r="B7" s="6" t="s">
        <v>46</v>
      </c>
      <c r="C7" s="9">
        <v>5</v>
      </c>
      <c r="D7" s="9">
        <v>2</v>
      </c>
      <c r="E7" s="9">
        <v>2</v>
      </c>
      <c r="F7" s="9">
        <v>60</v>
      </c>
      <c r="G7" s="9">
        <v>0.24</v>
      </c>
      <c r="H7" s="21"/>
      <c r="I7" s="6" t="s">
        <v>85</v>
      </c>
      <c r="J7" s="24"/>
      <c r="K7" s="24"/>
    </row>
    <row r="8" spans="1:11">
      <c r="A8" s="7">
        <v>12</v>
      </c>
      <c r="B8" s="6" t="s">
        <v>46</v>
      </c>
      <c r="C8" s="9">
        <v>5</v>
      </c>
      <c r="D8" s="9">
        <v>12</v>
      </c>
      <c r="E8" s="9">
        <v>3</v>
      </c>
      <c r="F8" s="9">
        <v>120</v>
      </c>
      <c r="G8" s="9">
        <v>0.24</v>
      </c>
      <c r="H8" s="21"/>
      <c r="I8" s="6" t="s">
        <v>86</v>
      </c>
      <c r="J8" s="24"/>
      <c r="K8" s="24"/>
    </row>
    <row r="9" spans="1:11">
      <c r="A9" s="7">
        <v>13</v>
      </c>
      <c r="B9" s="6" t="s">
        <v>46</v>
      </c>
      <c r="C9" s="9">
        <v>5</v>
      </c>
      <c r="D9" s="9">
        <v>22</v>
      </c>
      <c r="E9" s="9">
        <v>4</v>
      </c>
      <c r="F9" s="9">
        <v>180</v>
      </c>
      <c r="G9" s="9">
        <v>0.24</v>
      </c>
      <c r="H9" s="21"/>
      <c r="I9" s="6" t="s">
        <v>87</v>
      </c>
      <c r="J9" s="24"/>
      <c r="K9" s="24"/>
    </row>
    <row r="10" spans="1:11">
      <c r="A10" s="7">
        <v>14</v>
      </c>
      <c r="B10" s="6" t="s">
        <v>46</v>
      </c>
      <c r="C10" s="9">
        <v>5</v>
      </c>
      <c r="D10" s="9">
        <v>32</v>
      </c>
      <c r="E10" s="9">
        <v>5</v>
      </c>
      <c r="F10" s="9">
        <v>240</v>
      </c>
      <c r="G10" s="9">
        <v>0.24</v>
      </c>
      <c r="H10" s="21"/>
      <c r="I10" s="6" t="s">
        <v>301</v>
      </c>
      <c r="J10" s="24"/>
      <c r="K10" s="24"/>
    </row>
    <row r="11" spans="1:11">
      <c r="A11" s="7">
        <v>15</v>
      </c>
      <c r="B11" s="6" t="s">
        <v>46</v>
      </c>
      <c r="C11" s="9">
        <v>5</v>
      </c>
      <c r="D11" s="9">
        <v>42</v>
      </c>
      <c r="E11" s="9">
        <v>6</v>
      </c>
      <c r="F11" s="9">
        <v>300</v>
      </c>
      <c r="G11" s="9">
        <v>0.24</v>
      </c>
      <c r="H11" s="21"/>
      <c r="I11" s="6" t="s">
        <v>88</v>
      </c>
      <c r="J11" s="24"/>
      <c r="K11" s="24"/>
    </row>
    <row r="12" spans="1:11">
      <c r="A12" s="7">
        <v>21</v>
      </c>
      <c r="B12" s="6" t="s">
        <v>46</v>
      </c>
      <c r="C12" s="9">
        <v>4</v>
      </c>
      <c r="D12" s="9">
        <v>3</v>
      </c>
      <c r="E12" s="9">
        <v>2</v>
      </c>
      <c r="F12" s="9">
        <v>60</v>
      </c>
      <c r="G12" s="9">
        <v>0.6</v>
      </c>
      <c r="H12" s="21"/>
      <c r="I12" s="6" t="s">
        <v>89</v>
      </c>
      <c r="J12" s="24"/>
      <c r="K12" s="24"/>
    </row>
    <row r="13" spans="1:11">
      <c r="A13" s="7">
        <v>22</v>
      </c>
      <c r="B13" s="6" t="s">
        <v>46</v>
      </c>
      <c r="C13" s="9">
        <v>4</v>
      </c>
      <c r="D13" s="9">
        <v>13</v>
      </c>
      <c r="E13" s="9">
        <v>3</v>
      </c>
      <c r="F13" s="9">
        <v>80</v>
      </c>
      <c r="G13" s="9">
        <v>0.6</v>
      </c>
      <c r="H13" s="21"/>
      <c r="I13" s="6" t="s">
        <v>90</v>
      </c>
      <c r="J13" s="6"/>
    </row>
    <row r="14" spans="1:11">
      <c r="A14" s="7">
        <v>23</v>
      </c>
      <c r="B14" s="6" t="s">
        <v>46</v>
      </c>
      <c r="C14" s="9">
        <v>4</v>
      </c>
      <c r="D14" s="9">
        <v>23</v>
      </c>
      <c r="E14" s="9">
        <v>4</v>
      </c>
      <c r="F14" s="9">
        <v>100</v>
      </c>
      <c r="G14" s="9">
        <v>0.6</v>
      </c>
      <c r="H14" s="21"/>
      <c r="I14" s="6" t="s">
        <v>91</v>
      </c>
      <c r="J14" s="6"/>
    </row>
    <row r="15" spans="1:11">
      <c r="A15" s="7">
        <v>24</v>
      </c>
      <c r="B15" s="6" t="s">
        <v>46</v>
      </c>
      <c r="C15" s="9">
        <v>4</v>
      </c>
      <c r="D15" s="9">
        <v>33</v>
      </c>
      <c r="E15" s="9">
        <v>5</v>
      </c>
      <c r="F15" s="9">
        <v>120</v>
      </c>
      <c r="G15" s="9">
        <v>0.6</v>
      </c>
      <c r="H15" s="21"/>
      <c r="I15" s="6" t="s">
        <v>92</v>
      </c>
      <c r="J15" s="6"/>
    </row>
    <row r="16" spans="1:11">
      <c r="A16" s="7">
        <v>25</v>
      </c>
      <c r="B16" s="6" t="s">
        <v>46</v>
      </c>
      <c r="C16" s="9">
        <v>4</v>
      </c>
      <c r="D16" s="9">
        <v>43</v>
      </c>
      <c r="E16" s="9">
        <v>6</v>
      </c>
      <c r="F16" s="9">
        <v>140</v>
      </c>
      <c r="G16" s="9">
        <v>0.6</v>
      </c>
      <c r="H16" s="21"/>
      <c r="I16" s="6" t="s">
        <v>93</v>
      </c>
      <c r="J16" s="6"/>
    </row>
    <row r="17" spans="1:10">
      <c r="A17" s="7">
        <v>31</v>
      </c>
      <c r="B17" s="6" t="s">
        <v>142</v>
      </c>
      <c r="C17" s="9">
        <v>1</v>
      </c>
      <c r="D17" s="9">
        <v>6</v>
      </c>
      <c r="E17" s="9">
        <v>4</v>
      </c>
      <c r="F17" s="9">
        <v>180</v>
      </c>
      <c r="G17" s="9">
        <v>0.4</v>
      </c>
      <c r="H17" s="21"/>
      <c r="I17" s="6" t="s">
        <v>143</v>
      </c>
      <c r="J17" s="6"/>
    </row>
    <row r="18" spans="1:10">
      <c r="A18" s="7">
        <v>32</v>
      </c>
      <c r="B18" s="6" t="s">
        <v>142</v>
      </c>
      <c r="C18" s="9">
        <v>1</v>
      </c>
      <c r="D18" s="9">
        <v>26</v>
      </c>
      <c r="E18" s="9">
        <v>6</v>
      </c>
      <c r="F18" s="9">
        <v>240</v>
      </c>
      <c r="G18" s="9">
        <v>0.4</v>
      </c>
      <c r="H18" s="21"/>
      <c r="I18" s="6" t="s">
        <v>144</v>
      </c>
      <c r="J18" s="6"/>
    </row>
    <row r="19" spans="1:10">
      <c r="A19" s="7">
        <v>41</v>
      </c>
      <c r="B19" s="6" t="s">
        <v>149</v>
      </c>
      <c r="C19" s="9">
        <v>3</v>
      </c>
      <c r="D19" s="9">
        <v>4</v>
      </c>
      <c r="E19" s="9">
        <v>2</v>
      </c>
      <c r="F19" s="9">
        <v>60</v>
      </c>
      <c r="G19" s="9">
        <v>0.3</v>
      </c>
      <c r="H19" s="21"/>
      <c r="I19" s="6" t="s">
        <v>145</v>
      </c>
      <c r="J19" s="6"/>
    </row>
    <row r="20" spans="1:10">
      <c r="A20" s="7">
        <v>42</v>
      </c>
      <c r="B20" s="6" t="s">
        <v>149</v>
      </c>
      <c r="C20" s="9">
        <v>3</v>
      </c>
      <c r="D20" s="9">
        <v>14</v>
      </c>
      <c r="E20" s="9">
        <v>3</v>
      </c>
      <c r="F20" s="9">
        <v>100</v>
      </c>
      <c r="G20" s="9">
        <v>0.3</v>
      </c>
      <c r="H20" s="21"/>
      <c r="I20" s="6" t="s">
        <v>146</v>
      </c>
      <c r="J20" s="6"/>
    </row>
    <row r="21" spans="1:10">
      <c r="A21" s="7">
        <v>43</v>
      </c>
      <c r="B21" s="6" t="s">
        <v>149</v>
      </c>
      <c r="C21" s="9">
        <v>3</v>
      </c>
      <c r="D21" s="9">
        <v>24</v>
      </c>
      <c r="E21" s="9">
        <v>4</v>
      </c>
      <c r="F21" s="9">
        <v>140</v>
      </c>
      <c r="G21" s="9">
        <v>0.3</v>
      </c>
      <c r="H21" s="21"/>
      <c r="I21" s="6" t="s">
        <v>302</v>
      </c>
      <c r="J21" s="6"/>
    </row>
    <row r="22" spans="1:10">
      <c r="A22" s="7">
        <v>44</v>
      </c>
      <c r="B22" s="6" t="s">
        <v>149</v>
      </c>
      <c r="C22" s="9">
        <v>3</v>
      </c>
      <c r="D22" s="9">
        <v>34</v>
      </c>
      <c r="E22" s="9">
        <v>5</v>
      </c>
      <c r="F22" s="9">
        <v>180</v>
      </c>
      <c r="G22" s="9">
        <v>0.3</v>
      </c>
      <c r="H22" s="21"/>
      <c r="I22" s="6" t="s">
        <v>147</v>
      </c>
      <c r="J22" s="6"/>
    </row>
    <row r="23" spans="1:10">
      <c r="A23" s="7">
        <v>45</v>
      </c>
      <c r="B23" s="6" t="s">
        <v>149</v>
      </c>
      <c r="C23" s="9">
        <v>3</v>
      </c>
      <c r="D23" s="9">
        <v>44</v>
      </c>
      <c r="E23" s="9">
        <v>6</v>
      </c>
      <c r="F23" s="9">
        <v>220</v>
      </c>
      <c r="G23" s="9">
        <v>0.3</v>
      </c>
      <c r="H23" s="21"/>
      <c r="I23" s="6" t="s">
        <v>148</v>
      </c>
      <c r="J23" s="6"/>
    </row>
    <row r="24" spans="1:10">
      <c r="A24" s="50">
        <v>51</v>
      </c>
      <c r="B24" s="6" t="s">
        <v>296</v>
      </c>
      <c r="C24" s="9">
        <v>5</v>
      </c>
      <c r="D24" s="9">
        <v>8</v>
      </c>
      <c r="E24" s="9">
        <v>6</v>
      </c>
      <c r="F24" s="9">
        <v>240</v>
      </c>
      <c r="G24" s="9">
        <v>0</v>
      </c>
      <c r="H24" s="21"/>
      <c r="I24" s="6" t="s">
        <v>299</v>
      </c>
      <c r="J24" s="6"/>
    </row>
    <row r="25" spans="1:10">
      <c r="A25" s="50">
        <v>52</v>
      </c>
      <c r="B25" s="6" t="s">
        <v>296</v>
      </c>
      <c r="C25" s="9">
        <v>5</v>
      </c>
      <c r="D25" s="9">
        <v>28</v>
      </c>
      <c r="E25" s="9">
        <v>8</v>
      </c>
      <c r="F25" s="9">
        <v>480</v>
      </c>
      <c r="G25" s="9">
        <v>0</v>
      </c>
      <c r="H25" s="21"/>
      <c r="I25" s="6" t="s">
        <v>300</v>
      </c>
      <c r="J25" s="6"/>
    </row>
    <row r="26" spans="1:10">
      <c r="A26" s="50">
        <v>61</v>
      </c>
      <c r="B26" s="6" t="s">
        <v>303</v>
      </c>
      <c r="C26" s="9">
        <v>4</v>
      </c>
      <c r="D26" s="9">
        <v>16</v>
      </c>
      <c r="E26" s="9">
        <v>16</v>
      </c>
      <c r="F26" s="9">
        <v>720</v>
      </c>
      <c r="G26" s="9">
        <v>0.5</v>
      </c>
      <c r="H26" s="21"/>
      <c r="I26" s="6" t="s">
        <v>298</v>
      </c>
      <c r="J26" s="6"/>
    </row>
    <row r="27" spans="1:10">
      <c r="A27" s="50">
        <v>71</v>
      </c>
      <c r="B27" s="6" t="s">
        <v>305</v>
      </c>
      <c r="C27" s="9">
        <v>8</v>
      </c>
      <c r="D27" s="9">
        <v>9999</v>
      </c>
      <c r="E27" s="9">
        <v>0</v>
      </c>
      <c r="F27" s="9">
        <v>240</v>
      </c>
      <c r="G27" s="9">
        <v>0.2</v>
      </c>
      <c r="H27" s="21"/>
      <c r="I27" s="6" t="s">
        <v>306</v>
      </c>
      <c r="J27" s="6"/>
    </row>
    <row r="28" spans="1:10">
      <c r="A28" s="7">
        <v>1001</v>
      </c>
      <c r="B28" s="6" t="s">
        <v>153</v>
      </c>
      <c r="C28" s="9">
        <v>6</v>
      </c>
      <c r="D28" s="9">
        <v>9999</v>
      </c>
      <c r="E28" s="9">
        <v>9999</v>
      </c>
      <c r="F28" s="9">
        <v>800</v>
      </c>
      <c r="G28" s="9">
        <v>0.3</v>
      </c>
      <c r="H28" s="21"/>
      <c r="I28" s="6" t="s">
        <v>155</v>
      </c>
      <c r="J28" s="6"/>
    </row>
    <row r="29" spans="1:10">
      <c r="A29" s="7">
        <v>1002</v>
      </c>
      <c r="B29" s="6" t="s">
        <v>153</v>
      </c>
      <c r="C29" s="9">
        <v>6</v>
      </c>
      <c r="D29" s="9">
        <v>9999</v>
      </c>
      <c r="E29" s="9">
        <v>9999</v>
      </c>
      <c r="F29" s="9">
        <v>800</v>
      </c>
      <c r="G29" s="9">
        <v>0.3</v>
      </c>
      <c r="H29" s="21"/>
      <c r="I29" s="6" t="s">
        <v>156</v>
      </c>
      <c r="J29" s="6"/>
    </row>
    <row r="30" spans="1:10">
      <c r="A30" s="7">
        <v>1003</v>
      </c>
      <c r="B30" s="6" t="s">
        <v>153</v>
      </c>
      <c r="C30" s="9">
        <v>6</v>
      </c>
      <c r="D30" s="9">
        <v>9999</v>
      </c>
      <c r="E30" s="9">
        <v>9999</v>
      </c>
      <c r="F30" s="9">
        <v>800</v>
      </c>
      <c r="G30" s="9">
        <v>0.3</v>
      </c>
      <c r="H30" s="21"/>
      <c r="I30" s="6" t="s">
        <v>157</v>
      </c>
      <c r="J30" s="6"/>
    </row>
    <row r="31" spans="1:10">
      <c r="A31" s="7">
        <v>1004</v>
      </c>
      <c r="B31" s="6" t="s">
        <v>153</v>
      </c>
      <c r="C31" s="9">
        <v>6</v>
      </c>
      <c r="D31" s="9">
        <v>9999</v>
      </c>
      <c r="E31" s="9">
        <v>9999</v>
      </c>
      <c r="F31" s="9">
        <v>800</v>
      </c>
      <c r="G31" s="9">
        <v>0.3</v>
      </c>
      <c r="H31" s="21"/>
      <c r="I31" s="6" t="s">
        <v>158</v>
      </c>
      <c r="J31" s="6"/>
    </row>
    <row r="32" spans="1:10">
      <c r="A32" s="7">
        <v>1005</v>
      </c>
      <c r="B32" s="6" t="s">
        <v>153</v>
      </c>
      <c r="C32" s="9">
        <v>6</v>
      </c>
      <c r="D32" s="9">
        <v>9999</v>
      </c>
      <c r="E32" s="9">
        <v>9999</v>
      </c>
      <c r="F32" s="9">
        <v>800</v>
      </c>
      <c r="G32" s="9">
        <v>0.3</v>
      </c>
      <c r="H32" s="21"/>
      <c r="I32" s="6" t="s">
        <v>159</v>
      </c>
      <c r="J32" s="6"/>
    </row>
    <row r="33" spans="1:10">
      <c r="A33" s="7">
        <v>1006</v>
      </c>
      <c r="B33" s="6" t="s">
        <v>153</v>
      </c>
      <c r="C33" s="9">
        <v>6</v>
      </c>
      <c r="D33" s="9">
        <v>9999</v>
      </c>
      <c r="E33" s="9">
        <v>9999</v>
      </c>
      <c r="F33" s="9">
        <v>800</v>
      </c>
      <c r="G33" s="9">
        <v>0.3</v>
      </c>
      <c r="H33" s="21"/>
      <c r="I33" s="6" t="s">
        <v>160</v>
      </c>
      <c r="J33" s="6"/>
    </row>
    <row r="34" spans="1:10">
      <c r="A34" s="7">
        <v>1007</v>
      </c>
      <c r="B34" s="6" t="s">
        <v>153</v>
      </c>
      <c r="C34" s="9">
        <v>6</v>
      </c>
      <c r="D34" s="9">
        <v>9999</v>
      </c>
      <c r="E34" s="9">
        <v>9999</v>
      </c>
      <c r="F34" s="9">
        <v>800</v>
      </c>
      <c r="G34" s="9">
        <v>0.3</v>
      </c>
      <c r="H34" s="21"/>
      <c r="I34" s="6" t="s">
        <v>161</v>
      </c>
      <c r="J34" s="6"/>
    </row>
    <row r="35" spans="1:10">
      <c r="A35" s="7">
        <v>1008</v>
      </c>
      <c r="B35" s="6" t="s">
        <v>153</v>
      </c>
      <c r="C35" s="9">
        <v>6</v>
      </c>
      <c r="D35" s="9">
        <v>9999</v>
      </c>
      <c r="E35" s="9">
        <v>9999</v>
      </c>
      <c r="F35" s="9">
        <v>800</v>
      </c>
      <c r="G35" s="9">
        <v>0.3</v>
      </c>
      <c r="H35" s="21"/>
      <c r="I35" s="6" t="s">
        <v>162</v>
      </c>
      <c r="J35" s="6"/>
    </row>
    <row r="36" spans="1:10">
      <c r="A36" s="7">
        <v>1009</v>
      </c>
      <c r="B36" s="6" t="s">
        <v>153</v>
      </c>
      <c r="C36" s="9">
        <v>6</v>
      </c>
      <c r="D36" s="9">
        <v>9999</v>
      </c>
      <c r="E36" s="9">
        <v>9999</v>
      </c>
      <c r="F36" s="9">
        <v>800</v>
      </c>
      <c r="G36" s="9">
        <v>0.3</v>
      </c>
      <c r="H36" s="21"/>
      <c r="I36" s="6" t="s">
        <v>163</v>
      </c>
      <c r="J36" s="6"/>
    </row>
    <row r="37" spans="1:10">
      <c r="A37" s="7">
        <v>2001</v>
      </c>
      <c r="B37" s="6" t="s">
        <v>46</v>
      </c>
      <c r="C37" s="9">
        <v>5</v>
      </c>
      <c r="D37" s="9">
        <v>9999</v>
      </c>
      <c r="E37" s="9">
        <v>9999</v>
      </c>
      <c r="F37" s="9">
        <v>30</v>
      </c>
      <c r="G37" s="9">
        <v>0.28000000000000003</v>
      </c>
      <c r="H37" s="21"/>
      <c r="I37" s="6" t="s">
        <v>218</v>
      </c>
      <c r="J37" s="6"/>
    </row>
    <row r="38" spans="1:10">
      <c r="H38" s="21"/>
      <c r="J38" s="6"/>
    </row>
    <row r="39" spans="1:10">
      <c r="H39" s="21"/>
      <c r="J39" s="6"/>
    </row>
    <row r="40" spans="1:10">
      <c r="H40" s="21"/>
      <c r="J40" s="6"/>
    </row>
    <row r="41" spans="1:10">
      <c r="H41" s="21"/>
      <c r="J41" s="6"/>
    </row>
    <row r="42" spans="1:10">
      <c r="H42" s="21"/>
      <c r="J42" s="6"/>
    </row>
    <row r="43" spans="1:10">
      <c r="H43" s="21"/>
      <c r="J43" s="6"/>
    </row>
    <row r="44" spans="1:10">
      <c r="H44" s="21"/>
      <c r="J44" s="6"/>
    </row>
    <row r="45" spans="1:10">
      <c r="H45" s="21"/>
      <c r="J45" s="6"/>
    </row>
    <row r="46" spans="1:10">
      <c r="H46" s="21"/>
      <c r="J46" s="6"/>
    </row>
    <row r="47" spans="1:10">
      <c r="H47" s="21"/>
      <c r="J47" s="6"/>
    </row>
    <row r="48" spans="1:10">
      <c r="H48" s="21"/>
      <c r="J48" s="6"/>
    </row>
    <row r="49" spans="8:10">
      <c r="H49" s="21"/>
      <c r="J49" s="6"/>
    </row>
    <row r="50" spans="8:10">
      <c r="H50" s="21"/>
      <c r="J50" s="6"/>
    </row>
    <row r="51" spans="8:10">
      <c r="H51" s="21"/>
      <c r="J51" s="6"/>
    </row>
    <row r="52" spans="8:10">
      <c r="H52" s="21"/>
      <c r="J52" s="6"/>
    </row>
    <row r="53" spans="8:10">
      <c r="H53" s="21"/>
      <c r="J53" s="6"/>
    </row>
    <row r="54" spans="8:10">
      <c r="H54" s="21"/>
      <c r="J54" s="6"/>
    </row>
    <row r="55" spans="8:10">
      <c r="H55" s="21"/>
      <c r="J55" s="6"/>
    </row>
    <row r="56" spans="8:10">
      <c r="H56" s="21"/>
      <c r="J56" s="6"/>
    </row>
    <row r="57" spans="8:10">
      <c r="H57" s="21"/>
      <c r="J57" s="6"/>
    </row>
    <row r="58" spans="8:10">
      <c r="H58" s="21"/>
      <c r="J58" s="6"/>
    </row>
    <row r="59" spans="8:10">
      <c r="H59" s="21"/>
      <c r="J59" s="6"/>
    </row>
    <row r="60" spans="8:10">
      <c r="H60" s="21"/>
      <c r="J60" s="6"/>
    </row>
    <row r="61" spans="8:10">
      <c r="H61" s="21"/>
      <c r="J61" s="6"/>
    </row>
    <row r="62" spans="8:10">
      <c r="H62" s="21"/>
      <c r="J62" s="6"/>
    </row>
    <row r="63" spans="8:10">
      <c r="H63" s="21"/>
      <c r="J63" s="6"/>
    </row>
    <row r="64" spans="8:10">
      <c r="H64" s="21"/>
      <c r="J64" s="6"/>
    </row>
    <row r="65" spans="8:10">
      <c r="H65" s="21"/>
      <c r="J65" s="6"/>
    </row>
    <row r="66" spans="8:10">
      <c r="H66" s="21"/>
      <c r="J66" s="6"/>
    </row>
    <row r="67" spans="8:10">
      <c r="H67" s="21"/>
      <c r="J67" s="6"/>
    </row>
    <row r="68" spans="8:10">
      <c r="H68" s="21"/>
      <c r="J68" s="6"/>
    </row>
    <row r="69" spans="8:10">
      <c r="H69" s="21"/>
      <c r="J69" s="6"/>
    </row>
    <row r="70" spans="8:10">
      <c r="H70" s="21"/>
      <c r="J70" s="6"/>
    </row>
    <row r="71" spans="8:10">
      <c r="H71" s="21"/>
      <c r="J71" s="6"/>
    </row>
    <row r="72" spans="8:10">
      <c r="H72" s="21"/>
      <c r="J72" s="6"/>
    </row>
    <row r="73" spans="8:10">
      <c r="H73" s="21"/>
      <c r="J73" s="6"/>
    </row>
    <row r="74" spans="8:10">
      <c r="H74" s="21"/>
      <c r="J74" s="6"/>
    </row>
    <row r="75" spans="8:10">
      <c r="H75" s="21"/>
      <c r="J75" s="6"/>
    </row>
    <row r="76" spans="8:10">
      <c r="H76" s="21"/>
      <c r="J76" s="6"/>
    </row>
    <row r="77" spans="8:10">
      <c r="H77" s="21"/>
      <c r="J77" s="6"/>
    </row>
    <row r="78" spans="8:10">
      <c r="H78" s="21"/>
      <c r="J78" s="6"/>
    </row>
    <row r="79" spans="8:10">
      <c r="H79" s="21"/>
      <c r="J79" s="6"/>
    </row>
    <row r="80" spans="8:10">
      <c r="H80" s="21"/>
      <c r="J80" s="6"/>
    </row>
    <row r="81" spans="8:10">
      <c r="H81" s="21"/>
      <c r="J81" s="6"/>
    </row>
    <row r="82" spans="8:10">
      <c r="H82" s="21"/>
      <c r="J82" s="6"/>
    </row>
    <row r="83" spans="8:10">
      <c r="H83" s="21"/>
      <c r="J83" s="6"/>
    </row>
    <row r="84" spans="8:10">
      <c r="H84" s="21"/>
      <c r="J84" s="6"/>
    </row>
    <row r="85" spans="8:10">
      <c r="H85" s="21"/>
      <c r="J85" s="6"/>
    </row>
    <row r="86" spans="8:10">
      <c r="H86" s="21"/>
      <c r="J86" s="6"/>
    </row>
    <row r="87" spans="8:10">
      <c r="H87" s="21"/>
      <c r="J87" s="6"/>
    </row>
    <row r="88" spans="8:10">
      <c r="H88" s="21"/>
      <c r="J88" s="6"/>
    </row>
    <row r="89" spans="8:10">
      <c r="H89" s="21"/>
      <c r="J89" s="6"/>
    </row>
    <row r="90" spans="8:10">
      <c r="H90" s="21"/>
      <c r="J90" s="6"/>
    </row>
    <row r="91" spans="8:10">
      <c r="H91" s="21"/>
      <c r="J91" s="6"/>
    </row>
    <row r="92" spans="8:10">
      <c r="H92" s="21"/>
      <c r="J92" s="6"/>
    </row>
    <row r="93" spans="8:10">
      <c r="H93" s="21"/>
      <c r="J93" s="6"/>
    </row>
    <row r="94" spans="8:10">
      <c r="H94" s="21"/>
      <c r="J94" s="6"/>
    </row>
    <row r="95" spans="8:10">
      <c r="H95" s="21"/>
      <c r="J95" s="6"/>
    </row>
    <row r="96" spans="8:10">
      <c r="H96" s="21"/>
      <c r="J96" s="6"/>
    </row>
    <row r="97" spans="8:10">
      <c r="H97" s="21"/>
      <c r="J97" s="6"/>
    </row>
    <row r="98" spans="8:10">
      <c r="H98" s="21"/>
      <c r="J98" s="6"/>
    </row>
    <row r="99" spans="8:10">
      <c r="H99" s="21"/>
      <c r="J99" s="6"/>
    </row>
    <row r="100" spans="8:10">
      <c r="H100" s="21"/>
      <c r="J100" s="6"/>
    </row>
    <row r="101" spans="8:10">
      <c r="H101" s="21"/>
      <c r="J101" s="6"/>
    </row>
    <row r="102" spans="8:10">
      <c r="H102" s="21"/>
      <c r="J102" s="6"/>
    </row>
    <row r="103" spans="8:10">
      <c r="H103" s="21"/>
      <c r="J103" s="6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選項清單!$I$2:$I$9</xm:f>
          </x14:formula1>
          <xm:sqref>B2:B1048576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1"/>
  <dimension ref="A1:O101"/>
  <sheetViews>
    <sheetView topLeftCell="B1" workbookViewId="0">
      <pane ySplit="1" topLeftCell="A2" activePane="bottomLeft" state="frozen"/>
      <selection pane="bottomLeft" activeCell="E9" sqref="E9"/>
    </sheetView>
  </sheetViews>
  <sheetFormatPr defaultRowHeight="16.5"/>
  <cols>
    <col min="1" max="1" width="20.625" style="6" customWidth="1"/>
    <col min="2" max="15" width="12.625" style="3" customWidth="1"/>
    <col min="16" max="16384" width="9" style="3"/>
  </cols>
  <sheetData>
    <row r="1" spans="1:15" s="2" customFormat="1">
      <c r="A1" s="31" t="s">
        <v>165</v>
      </c>
      <c r="B1" s="32" t="s">
        <v>171</v>
      </c>
      <c r="C1" s="32" t="s">
        <v>205</v>
      </c>
      <c r="D1" s="32" t="s">
        <v>187</v>
      </c>
      <c r="E1" s="32" t="s">
        <v>188</v>
      </c>
      <c r="F1" s="32" t="s">
        <v>189</v>
      </c>
      <c r="G1" s="32" t="s">
        <v>190</v>
      </c>
      <c r="H1" s="32" t="s">
        <v>191</v>
      </c>
      <c r="I1" s="32" t="s">
        <v>192</v>
      </c>
      <c r="J1" s="32" t="s">
        <v>193</v>
      </c>
      <c r="K1" s="32" t="s">
        <v>194</v>
      </c>
      <c r="L1" s="32" t="s">
        <v>195</v>
      </c>
      <c r="M1" s="32" t="s">
        <v>196</v>
      </c>
      <c r="N1" s="32" t="s">
        <v>197</v>
      </c>
      <c r="O1" s="32" t="s">
        <v>198</v>
      </c>
    </row>
    <row r="2" spans="1:15">
      <c r="A2" s="43" t="s">
        <v>168</v>
      </c>
      <c r="B2" s="19">
        <v>7001</v>
      </c>
      <c r="C2" s="9">
        <v>2</v>
      </c>
      <c r="D2" s="9">
        <v>12</v>
      </c>
      <c r="E2" s="9">
        <v>24</v>
      </c>
      <c r="F2" s="9">
        <v>0</v>
      </c>
      <c r="G2" s="9">
        <v>0</v>
      </c>
      <c r="H2" s="42">
        <v>0</v>
      </c>
      <c r="I2" s="42">
        <v>0</v>
      </c>
      <c r="J2" s="42">
        <v>1</v>
      </c>
      <c r="K2" s="42">
        <v>0</v>
      </c>
      <c r="L2" s="42">
        <v>0</v>
      </c>
      <c r="M2" s="42">
        <v>0</v>
      </c>
      <c r="N2" s="42">
        <v>0</v>
      </c>
      <c r="O2" s="42">
        <v>0</v>
      </c>
    </row>
    <row r="3" spans="1:15">
      <c r="A3" s="44" t="s">
        <v>179</v>
      </c>
      <c r="B3" s="19">
        <v>7002</v>
      </c>
      <c r="C3" s="9">
        <v>2</v>
      </c>
      <c r="D3" s="9">
        <v>8</v>
      </c>
      <c r="E3" s="9">
        <v>16</v>
      </c>
      <c r="F3" s="9">
        <v>0</v>
      </c>
      <c r="G3" s="9">
        <v>0</v>
      </c>
      <c r="H3" s="9">
        <v>0</v>
      </c>
      <c r="I3" s="9">
        <v>0</v>
      </c>
      <c r="J3" s="42">
        <v>6</v>
      </c>
      <c r="K3" s="42">
        <v>0</v>
      </c>
      <c r="L3" s="42">
        <v>0</v>
      </c>
      <c r="M3" s="42">
        <v>0</v>
      </c>
      <c r="N3" s="42">
        <v>0</v>
      </c>
      <c r="O3" s="42">
        <v>0</v>
      </c>
    </row>
    <row r="4" spans="1:15">
      <c r="A4" s="44" t="s">
        <v>180</v>
      </c>
      <c r="B4" s="19">
        <v>7003</v>
      </c>
      <c r="C4" s="9">
        <v>2</v>
      </c>
      <c r="D4" s="9">
        <v>8</v>
      </c>
      <c r="E4" s="9">
        <v>16</v>
      </c>
      <c r="F4" s="9">
        <v>0</v>
      </c>
      <c r="G4" s="9">
        <v>0</v>
      </c>
      <c r="H4" s="9">
        <v>0</v>
      </c>
      <c r="I4" s="9">
        <v>0</v>
      </c>
      <c r="J4" s="42">
        <v>2</v>
      </c>
      <c r="K4" s="42">
        <v>0</v>
      </c>
      <c r="L4" s="42">
        <v>0</v>
      </c>
      <c r="M4" s="42">
        <v>0</v>
      </c>
      <c r="N4" s="42">
        <v>0</v>
      </c>
      <c r="O4" s="42">
        <v>0</v>
      </c>
    </row>
    <row r="5" spans="1:15">
      <c r="A5" s="44" t="s">
        <v>181</v>
      </c>
      <c r="B5" s="19">
        <v>7004</v>
      </c>
      <c r="C5" s="9">
        <v>6</v>
      </c>
      <c r="D5" s="9">
        <v>12</v>
      </c>
      <c r="E5" s="9">
        <v>24</v>
      </c>
      <c r="F5" s="9">
        <v>36</v>
      </c>
      <c r="G5" s="9">
        <v>48</v>
      </c>
      <c r="H5" s="9">
        <v>60</v>
      </c>
      <c r="I5" s="9">
        <v>72</v>
      </c>
      <c r="J5" s="42">
        <v>8</v>
      </c>
      <c r="K5" s="42">
        <v>3</v>
      </c>
      <c r="L5" s="42">
        <v>9</v>
      </c>
      <c r="M5" s="42">
        <v>4</v>
      </c>
      <c r="N5" s="42">
        <v>10</v>
      </c>
      <c r="O5" s="42">
        <v>5</v>
      </c>
    </row>
    <row r="6" spans="1:15">
      <c r="A6" s="44" t="s">
        <v>182</v>
      </c>
      <c r="B6" s="19">
        <v>7005</v>
      </c>
      <c r="C6" s="9">
        <v>0</v>
      </c>
      <c r="D6" s="9">
        <v>0</v>
      </c>
      <c r="E6" s="9">
        <v>0</v>
      </c>
      <c r="F6" s="9">
        <v>0</v>
      </c>
      <c r="G6" s="9">
        <v>0</v>
      </c>
      <c r="H6" s="9">
        <v>0</v>
      </c>
      <c r="I6" s="9">
        <v>0</v>
      </c>
      <c r="J6" s="42">
        <v>0</v>
      </c>
      <c r="K6" s="42">
        <v>0</v>
      </c>
      <c r="L6" s="42">
        <v>0</v>
      </c>
      <c r="M6" s="42">
        <v>0</v>
      </c>
      <c r="N6" s="42">
        <v>0</v>
      </c>
      <c r="O6" s="42">
        <v>0</v>
      </c>
    </row>
    <row r="7" spans="1:15">
      <c r="A7" s="44" t="s">
        <v>169</v>
      </c>
      <c r="B7" s="19">
        <v>7006</v>
      </c>
      <c r="C7" s="9">
        <v>6</v>
      </c>
      <c r="D7" s="9">
        <v>1000</v>
      </c>
      <c r="E7" s="9">
        <v>3000</v>
      </c>
      <c r="F7" s="9">
        <v>6000</v>
      </c>
      <c r="G7" s="9">
        <v>10000</v>
      </c>
      <c r="H7" s="9">
        <v>15000</v>
      </c>
      <c r="I7" s="9">
        <v>21000</v>
      </c>
      <c r="J7" s="42">
        <v>100</v>
      </c>
      <c r="K7" s="42">
        <v>101</v>
      </c>
      <c r="L7" s="42">
        <v>102</v>
      </c>
      <c r="M7" s="42">
        <v>103</v>
      </c>
      <c r="N7" s="42">
        <v>104</v>
      </c>
      <c r="O7" s="42">
        <v>105</v>
      </c>
    </row>
    <row r="8" spans="1:15">
      <c r="A8" s="44" t="s">
        <v>183</v>
      </c>
      <c r="B8" s="19">
        <v>7007</v>
      </c>
      <c r="C8" s="9">
        <v>6</v>
      </c>
      <c r="D8" s="9">
        <v>1000</v>
      </c>
      <c r="E8" s="9">
        <v>2000</v>
      </c>
      <c r="F8" s="9">
        <v>3000</v>
      </c>
      <c r="G8" s="9">
        <v>4000</v>
      </c>
      <c r="H8" s="9">
        <v>5000</v>
      </c>
      <c r="I8" s="9">
        <v>6000</v>
      </c>
      <c r="J8" s="42">
        <v>200</v>
      </c>
      <c r="K8" s="42">
        <v>201</v>
      </c>
      <c r="L8" s="42">
        <v>202</v>
      </c>
      <c r="M8" s="42">
        <v>203</v>
      </c>
      <c r="N8" s="42">
        <v>204</v>
      </c>
      <c r="O8" s="42">
        <v>205</v>
      </c>
    </row>
    <row r="9" spans="1:15">
      <c r="A9" s="44" t="s">
        <v>184</v>
      </c>
      <c r="B9" s="19">
        <v>7008</v>
      </c>
      <c r="C9" s="9">
        <v>6</v>
      </c>
      <c r="D9" s="9">
        <v>500</v>
      </c>
      <c r="E9" s="9">
        <v>1000</v>
      </c>
      <c r="F9" s="9">
        <v>2000</v>
      </c>
      <c r="G9" s="9">
        <v>3000</v>
      </c>
      <c r="H9" s="9">
        <v>4000</v>
      </c>
      <c r="I9" s="9">
        <v>5000</v>
      </c>
      <c r="J9" s="42">
        <v>300</v>
      </c>
      <c r="K9" s="42">
        <v>301</v>
      </c>
      <c r="L9" s="42">
        <v>302</v>
      </c>
      <c r="M9" s="42">
        <v>303</v>
      </c>
      <c r="N9" s="42">
        <v>304</v>
      </c>
      <c r="O9" s="42">
        <v>305</v>
      </c>
    </row>
    <row r="10" spans="1:15">
      <c r="A10" s="44" t="s">
        <v>185</v>
      </c>
      <c r="B10" s="19">
        <v>7009</v>
      </c>
      <c r="C10" s="9">
        <v>6</v>
      </c>
      <c r="D10" s="9">
        <v>500</v>
      </c>
      <c r="E10" s="9">
        <v>1000</v>
      </c>
      <c r="F10" s="9">
        <v>2000</v>
      </c>
      <c r="G10" s="9">
        <v>3000</v>
      </c>
      <c r="H10" s="9">
        <v>4000</v>
      </c>
      <c r="I10" s="9">
        <v>5000</v>
      </c>
      <c r="J10" s="42">
        <v>400</v>
      </c>
      <c r="K10" s="42">
        <v>401</v>
      </c>
      <c r="L10" s="42">
        <v>402</v>
      </c>
      <c r="M10" s="42">
        <v>403</v>
      </c>
      <c r="N10" s="42">
        <v>404</v>
      </c>
      <c r="O10" s="42">
        <v>405</v>
      </c>
    </row>
    <row r="11" spans="1:15">
      <c r="A11" s="44" t="s">
        <v>186</v>
      </c>
      <c r="B11" s="19">
        <v>7010</v>
      </c>
      <c r="C11" s="9">
        <v>4</v>
      </c>
      <c r="D11" s="9">
        <v>10</v>
      </c>
      <c r="E11" s="9">
        <v>30</v>
      </c>
      <c r="F11" s="9">
        <v>60</v>
      </c>
      <c r="G11" s="9">
        <v>100</v>
      </c>
      <c r="H11" s="9">
        <v>0</v>
      </c>
      <c r="I11" s="9">
        <v>0</v>
      </c>
      <c r="J11" s="42">
        <v>500</v>
      </c>
      <c r="K11" s="42">
        <v>501</v>
      </c>
      <c r="L11" s="42">
        <v>502</v>
      </c>
      <c r="M11" s="42">
        <v>503</v>
      </c>
      <c r="N11" s="42">
        <v>0</v>
      </c>
      <c r="O11" s="42">
        <v>0</v>
      </c>
    </row>
    <row r="12" spans="1:15">
      <c r="A12" s="44" t="s">
        <v>170</v>
      </c>
      <c r="B12" s="19">
        <v>7011</v>
      </c>
      <c r="C12" s="9">
        <v>2</v>
      </c>
      <c r="D12" s="9">
        <v>1000</v>
      </c>
      <c r="E12" s="9">
        <v>2000</v>
      </c>
      <c r="F12" s="9">
        <v>0</v>
      </c>
      <c r="G12" s="9">
        <v>0</v>
      </c>
      <c r="H12" s="9">
        <v>0</v>
      </c>
      <c r="I12" s="9">
        <v>0</v>
      </c>
      <c r="J12" s="42">
        <v>7</v>
      </c>
      <c r="K12" s="42">
        <v>0</v>
      </c>
      <c r="L12" s="42">
        <v>0</v>
      </c>
      <c r="M12" s="42">
        <v>0</v>
      </c>
      <c r="N12" s="42">
        <v>0</v>
      </c>
      <c r="O12" s="42">
        <v>0</v>
      </c>
    </row>
    <row r="13" spans="1:15">
      <c r="A13" s="44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</row>
    <row r="14" spans="1:15">
      <c r="A14" s="44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</row>
    <row r="15" spans="1:15">
      <c r="A15" s="44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</row>
    <row r="16" spans="1:15">
      <c r="A16" s="44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</row>
    <row r="17" spans="1:15">
      <c r="A17" s="44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</row>
    <row r="18" spans="1:15">
      <c r="A18" s="44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</row>
    <row r="19" spans="1:15">
      <c r="A19" s="44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</row>
    <row r="20" spans="1:15">
      <c r="A20" s="44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</row>
    <row r="21" spans="1:15">
      <c r="A21" s="44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</row>
    <row r="22" spans="1:15">
      <c r="A22" s="44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</row>
    <row r="23" spans="1:15">
      <c r="A23" s="44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</row>
    <row r="24" spans="1:15">
      <c r="A24" s="44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</row>
    <row r="25" spans="1:15">
      <c r="A25" s="44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</row>
    <row r="26" spans="1:15">
      <c r="A26" s="44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</row>
    <row r="27" spans="1:15">
      <c r="A27" s="44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</row>
    <row r="28" spans="1:15">
      <c r="A28" s="44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</row>
    <row r="29" spans="1:15">
      <c r="A29" s="44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</row>
    <row r="30" spans="1:15">
      <c r="A30" s="44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</row>
    <row r="31" spans="1:15">
      <c r="A31" s="44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</row>
    <row r="32" spans="1:15">
      <c r="A32" s="44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</row>
    <row r="33" spans="1:15">
      <c r="A33" s="44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</row>
    <row r="34" spans="1:15">
      <c r="A34" s="44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</row>
    <row r="35" spans="1:15">
      <c r="A35" s="44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</row>
    <row r="36" spans="1:15">
      <c r="A36" s="44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</row>
    <row r="37" spans="1:15">
      <c r="A37" s="44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</row>
    <row r="38" spans="1:15">
      <c r="A38" s="44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</row>
    <row r="39" spans="1:15">
      <c r="A39" s="44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</row>
    <row r="40" spans="1:15">
      <c r="A40" s="44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</row>
    <row r="41" spans="1:15">
      <c r="A41" s="44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</row>
    <row r="42" spans="1:15">
      <c r="A42" s="44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</row>
    <row r="43" spans="1:15">
      <c r="A43" s="44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</row>
    <row r="44" spans="1:15">
      <c r="A44" s="44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</row>
    <row r="45" spans="1:15">
      <c r="A45" s="44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</row>
    <row r="46" spans="1:15">
      <c r="A46" s="44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</row>
    <row r="47" spans="1:15">
      <c r="A47" s="44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</row>
    <row r="48" spans="1:15">
      <c r="A48" s="44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</row>
    <row r="49" spans="1:15">
      <c r="A49" s="44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</row>
    <row r="50" spans="1:15">
      <c r="A50" s="44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</row>
    <row r="51" spans="1:15">
      <c r="A51" s="44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</row>
    <row r="52" spans="1:15">
      <c r="A52" s="44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</row>
    <row r="53" spans="1:15">
      <c r="A53" s="44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</row>
    <row r="54" spans="1:15">
      <c r="A54" s="44"/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</row>
    <row r="55" spans="1:15">
      <c r="A55" s="44"/>
      <c r="B55" s="9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</row>
    <row r="56" spans="1:15">
      <c r="A56" s="44"/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</row>
    <row r="57" spans="1:15">
      <c r="A57" s="44"/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</row>
    <row r="58" spans="1:15">
      <c r="A58" s="44"/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</row>
    <row r="59" spans="1:15">
      <c r="A59" s="44"/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</row>
    <row r="60" spans="1:15">
      <c r="A60" s="44"/>
      <c r="B60" s="9"/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</row>
    <row r="61" spans="1:15">
      <c r="A61" s="44"/>
      <c r="B61" s="9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</row>
    <row r="62" spans="1:15">
      <c r="A62" s="44"/>
      <c r="B62" s="9"/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</row>
    <row r="63" spans="1:15">
      <c r="A63" s="44"/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</row>
    <row r="64" spans="1:15">
      <c r="A64" s="44"/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</row>
    <row r="65" spans="1:15">
      <c r="A65" s="44"/>
      <c r="B65" s="9"/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</row>
    <row r="66" spans="1:15">
      <c r="A66" s="44"/>
      <c r="B66" s="9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</row>
    <row r="67" spans="1:15">
      <c r="A67" s="44"/>
      <c r="B67" s="9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</row>
    <row r="68" spans="1:15">
      <c r="A68" s="44"/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</row>
    <row r="69" spans="1:15">
      <c r="A69" s="44"/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</row>
    <row r="70" spans="1:15">
      <c r="A70" s="44"/>
      <c r="B70" s="9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</row>
    <row r="71" spans="1:15">
      <c r="A71" s="44"/>
      <c r="B71" s="9"/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</row>
    <row r="72" spans="1:15">
      <c r="A72" s="44"/>
      <c r="B72" s="9"/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</row>
    <row r="73" spans="1:15">
      <c r="A73" s="44"/>
      <c r="B73" s="9"/>
      <c r="C73" s="9"/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</row>
    <row r="74" spans="1:15">
      <c r="A74" s="44"/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</row>
    <row r="75" spans="1:15">
      <c r="A75" s="44"/>
      <c r="B75" s="9"/>
      <c r="C75" s="9"/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</row>
    <row r="76" spans="1:15">
      <c r="A76" s="44"/>
      <c r="B76" s="9"/>
      <c r="C76" s="9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</row>
    <row r="77" spans="1:15">
      <c r="A77" s="44"/>
      <c r="B77" s="9"/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</row>
    <row r="78" spans="1:15">
      <c r="A78" s="44"/>
      <c r="B78" s="9"/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</row>
    <row r="79" spans="1:15">
      <c r="A79" s="44"/>
      <c r="B79" s="9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</row>
    <row r="80" spans="1:15">
      <c r="A80" s="44"/>
      <c r="B80" s="9"/>
      <c r="C80" s="9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</row>
    <row r="81" spans="1:15">
      <c r="A81" s="44"/>
      <c r="B81" s="9"/>
      <c r="C81" s="9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</row>
    <row r="82" spans="1:15">
      <c r="A82" s="44"/>
      <c r="B82" s="9"/>
      <c r="C82" s="9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</row>
    <row r="83" spans="1:15">
      <c r="A83" s="44"/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</row>
    <row r="84" spans="1:15">
      <c r="A84" s="44"/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</row>
    <row r="85" spans="1:15">
      <c r="A85" s="44"/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</row>
    <row r="86" spans="1:15">
      <c r="A86" s="44"/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</row>
    <row r="87" spans="1:15">
      <c r="A87" s="44"/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</row>
    <row r="88" spans="1:15">
      <c r="A88" s="44"/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</row>
    <row r="89" spans="1:15">
      <c r="A89" s="44"/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</row>
    <row r="90" spans="1:15">
      <c r="A90" s="44"/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</row>
    <row r="91" spans="1:15">
      <c r="A91" s="44"/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</row>
    <row r="92" spans="1:15">
      <c r="A92" s="44"/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</row>
    <row r="93" spans="1:15">
      <c r="A93" s="44"/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</row>
    <row r="94" spans="1:15">
      <c r="A94" s="44"/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</row>
    <row r="95" spans="1:15">
      <c r="A95" s="44"/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</row>
    <row r="96" spans="1:15">
      <c r="A96" s="44"/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</row>
    <row r="97" spans="1:15">
      <c r="A97" s="44"/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</row>
    <row r="98" spans="1:15">
      <c r="A98" s="44"/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</row>
    <row r="99" spans="1:15">
      <c r="A99" s="44"/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</row>
    <row r="100" spans="1:15">
      <c r="A100" s="44"/>
      <c r="B100" s="9"/>
      <c r="C100" s="9"/>
      <c r="D100" s="9"/>
      <c r="E100" s="9"/>
      <c r="F100" s="9"/>
      <c r="G100" s="9"/>
      <c r="H100" s="38"/>
      <c r="I100" s="38"/>
      <c r="J100" s="38"/>
      <c r="K100" s="38"/>
      <c r="L100" s="38"/>
      <c r="M100" s="38"/>
      <c r="N100" s="38"/>
      <c r="O100" s="38"/>
    </row>
    <row r="101" spans="1:15">
      <c r="A101" s="45"/>
      <c r="B101" s="20"/>
      <c r="C101" s="20"/>
      <c r="D101" s="20"/>
      <c r="E101" s="20"/>
      <c r="F101" s="20"/>
      <c r="G101" s="20"/>
    </row>
  </sheetData>
  <phoneticPr fontId="1" type="noConversion"/>
  <pageMargins left="0.7" right="0.7" top="0.75" bottom="0.75" header="0.3" footer="0.3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選項清單!$M$3:$M$13</xm:f>
          </x14:formula1>
          <xm:sqref>A2:A1048576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/>
  <dimension ref="A1:G101"/>
  <sheetViews>
    <sheetView workbookViewId="0">
      <pane ySplit="1" topLeftCell="A2" activePane="bottomLeft" state="frozen"/>
      <selection pane="bottomLeft"/>
    </sheetView>
  </sheetViews>
  <sheetFormatPr defaultRowHeight="16.5"/>
  <cols>
    <col min="1" max="1" width="12.625" style="7" customWidth="1"/>
    <col min="2" max="7" width="12.625" style="52" customWidth="1"/>
    <col min="8" max="16384" width="9" style="3"/>
  </cols>
  <sheetData>
    <row r="1" spans="1:7" s="2" customFormat="1">
      <c r="A1" s="31" t="s">
        <v>0</v>
      </c>
      <c r="B1" s="49" t="s">
        <v>199</v>
      </c>
      <c r="C1" s="49" t="s">
        <v>194</v>
      </c>
      <c r="D1" s="49" t="s">
        <v>195</v>
      </c>
      <c r="E1" s="49" t="s">
        <v>196</v>
      </c>
      <c r="F1" s="49" t="s">
        <v>197</v>
      </c>
      <c r="G1" s="49" t="s">
        <v>198</v>
      </c>
    </row>
    <row r="2" spans="1:7">
      <c r="A2" s="50">
        <v>1</v>
      </c>
      <c r="B2" s="51">
        <v>600</v>
      </c>
      <c r="C2" s="51">
        <v>600</v>
      </c>
      <c r="D2" s="51">
        <v>600</v>
      </c>
      <c r="E2" s="51">
        <v>600</v>
      </c>
      <c r="F2" s="51">
        <v>600</v>
      </c>
      <c r="G2" s="51">
        <v>600</v>
      </c>
    </row>
    <row r="3" spans="1:7">
      <c r="A3" s="50">
        <v>2</v>
      </c>
      <c r="B3" s="52">
        <v>601</v>
      </c>
      <c r="C3" s="52">
        <v>601</v>
      </c>
      <c r="D3" s="52">
        <v>601</v>
      </c>
      <c r="E3" s="52">
        <v>601</v>
      </c>
      <c r="F3" s="52">
        <v>601</v>
      </c>
      <c r="G3" s="52">
        <v>601</v>
      </c>
    </row>
    <row r="4" spans="1:7">
      <c r="A4" s="50">
        <v>3</v>
      </c>
      <c r="B4" s="52">
        <v>602</v>
      </c>
      <c r="C4" s="52">
        <v>602</v>
      </c>
      <c r="D4" s="52">
        <v>602</v>
      </c>
      <c r="E4" s="52">
        <v>602</v>
      </c>
      <c r="F4" s="52">
        <v>602</v>
      </c>
      <c r="G4" s="52">
        <v>602</v>
      </c>
    </row>
    <row r="5" spans="1:7">
      <c r="A5" s="50">
        <v>4</v>
      </c>
      <c r="B5" s="52">
        <v>603</v>
      </c>
      <c r="C5" s="52">
        <v>603</v>
      </c>
      <c r="D5" s="52">
        <v>603</v>
      </c>
      <c r="E5" s="52">
        <v>603</v>
      </c>
      <c r="F5" s="52">
        <v>603</v>
      </c>
      <c r="G5" s="52">
        <v>603</v>
      </c>
    </row>
    <row r="6" spans="1:7">
      <c r="A6" s="50">
        <v>5</v>
      </c>
      <c r="B6" s="52">
        <v>604</v>
      </c>
      <c r="C6" s="52">
        <v>604</v>
      </c>
      <c r="D6" s="52">
        <v>604</v>
      </c>
      <c r="E6" s="52">
        <v>604</v>
      </c>
      <c r="F6" s="52">
        <v>604</v>
      </c>
      <c r="G6" s="52">
        <v>604</v>
      </c>
    </row>
    <row r="7" spans="1:7">
      <c r="A7" s="50">
        <v>6</v>
      </c>
      <c r="B7" s="52">
        <v>605</v>
      </c>
      <c r="C7" s="52">
        <v>605</v>
      </c>
      <c r="D7" s="52">
        <v>605</v>
      </c>
      <c r="E7" s="52">
        <v>605</v>
      </c>
      <c r="F7" s="52">
        <v>605</v>
      </c>
      <c r="G7" s="52">
        <v>605</v>
      </c>
    </row>
    <row r="8" spans="1:7">
      <c r="A8" s="50">
        <v>7</v>
      </c>
      <c r="B8" s="52">
        <v>606</v>
      </c>
      <c r="C8" s="52">
        <v>606</v>
      </c>
      <c r="D8" s="52">
        <v>606</v>
      </c>
      <c r="E8" s="52">
        <v>606</v>
      </c>
      <c r="F8" s="52">
        <v>606</v>
      </c>
      <c r="G8" s="52">
        <v>606</v>
      </c>
    </row>
    <row r="9" spans="1:7">
      <c r="A9" s="50">
        <v>8</v>
      </c>
      <c r="B9" s="52">
        <v>607</v>
      </c>
      <c r="C9" s="52">
        <v>607</v>
      </c>
      <c r="D9" s="52">
        <v>607</v>
      </c>
      <c r="E9" s="52">
        <v>607</v>
      </c>
      <c r="F9" s="52">
        <v>607</v>
      </c>
      <c r="G9" s="52">
        <v>607</v>
      </c>
    </row>
    <row r="10" spans="1:7">
      <c r="A10" s="50"/>
    </row>
    <row r="11" spans="1:7">
      <c r="A11" s="50"/>
    </row>
    <row r="12" spans="1:7">
      <c r="A12" s="50"/>
    </row>
    <row r="13" spans="1:7">
      <c r="A13" s="50"/>
    </row>
    <row r="14" spans="1:7">
      <c r="A14" s="50"/>
    </row>
    <row r="15" spans="1:7">
      <c r="A15" s="50"/>
    </row>
    <row r="16" spans="1:7">
      <c r="A16" s="50"/>
    </row>
    <row r="17" spans="1:1">
      <c r="A17" s="50"/>
    </row>
    <row r="18" spans="1:1">
      <c r="A18" s="50"/>
    </row>
    <row r="19" spans="1:1">
      <c r="A19" s="50"/>
    </row>
    <row r="20" spans="1:1">
      <c r="A20" s="50"/>
    </row>
    <row r="21" spans="1:1">
      <c r="A21" s="50"/>
    </row>
    <row r="22" spans="1:1">
      <c r="A22" s="50"/>
    </row>
    <row r="23" spans="1:1">
      <c r="A23" s="50"/>
    </row>
    <row r="24" spans="1:1">
      <c r="A24" s="50"/>
    </row>
    <row r="25" spans="1:1">
      <c r="A25" s="50"/>
    </row>
    <row r="26" spans="1:1">
      <c r="A26" s="50"/>
    </row>
    <row r="27" spans="1:1">
      <c r="A27" s="50"/>
    </row>
    <row r="28" spans="1:1">
      <c r="A28" s="50"/>
    </row>
    <row r="29" spans="1:1">
      <c r="A29" s="50"/>
    </row>
    <row r="30" spans="1:1">
      <c r="A30" s="50"/>
    </row>
    <row r="31" spans="1:1">
      <c r="A31" s="50"/>
    </row>
    <row r="32" spans="1:1">
      <c r="A32" s="50"/>
    </row>
    <row r="33" spans="1:1">
      <c r="A33" s="50"/>
    </row>
    <row r="34" spans="1:1">
      <c r="A34" s="50"/>
    </row>
    <row r="35" spans="1:1">
      <c r="A35" s="50"/>
    </row>
    <row r="36" spans="1:1">
      <c r="A36" s="50"/>
    </row>
    <row r="37" spans="1:1">
      <c r="A37" s="50"/>
    </row>
    <row r="38" spans="1:1">
      <c r="A38" s="50"/>
    </row>
    <row r="39" spans="1:1">
      <c r="A39" s="50"/>
    </row>
    <row r="40" spans="1:1">
      <c r="A40" s="50"/>
    </row>
    <row r="41" spans="1:1">
      <c r="A41" s="50"/>
    </row>
    <row r="42" spans="1:1">
      <c r="A42" s="50"/>
    </row>
    <row r="43" spans="1:1">
      <c r="A43" s="50"/>
    </row>
    <row r="44" spans="1:1">
      <c r="A44" s="50"/>
    </row>
    <row r="45" spans="1:1">
      <c r="A45" s="50"/>
    </row>
    <row r="46" spans="1:1">
      <c r="A46" s="50"/>
    </row>
    <row r="47" spans="1:1">
      <c r="A47" s="50"/>
    </row>
    <row r="48" spans="1:1">
      <c r="A48" s="50"/>
    </row>
    <row r="49" spans="1:1">
      <c r="A49" s="50"/>
    </row>
    <row r="50" spans="1:1">
      <c r="A50" s="50"/>
    </row>
    <row r="51" spans="1:1">
      <c r="A51" s="50"/>
    </row>
    <row r="52" spans="1:1">
      <c r="A52" s="50"/>
    </row>
    <row r="53" spans="1:1">
      <c r="A53" s="50"/>
    </row>
    <row r="54" spans="1:1">
      <c r="A54" s="50"/>
    </row>
    <row r="55" spans="1:1">
      <c r="A55" s="50"/>
    </row>
    <row r="56" spans="1:1">
      <c r="A56" s="50"/>
    </row>
    <row r="57" spans="1:1">
      <c r="A57" s="50"/>
    </row>
    <row r="58" spans="1:1">
      <c r="A58" s="50"/>
    </row>
    <row r="59" spans="1:1">
      <c r="A59" s="50"/>
    </row>
    <row r="60" spans="1:1">
      <c r="A60" s="50"/>
    </row>
    <row r="61" spans="1:1">
      <c r="A61" s="50"/>
    </row>
    <row r="62" spans="1:1">
      <c r="A62" s="50"/>
    </row>
    <row r="63" spans="1:1">
      <c r="A63" s="50"/>
    </row>
    <row r="64" spans="1:1">
      <c r="A64" s="50"/>
    </row>
    <row r="65" spans="1:1">
      <c r="A65" s="50"/>
    </row>
    <row r="66" spans="1:1">
      <c r="A66" s="50"/>
    </row>
    <row r="67" spans="1:1">
      <c r="A67" s="50"/>
    </row>
    <row r="68" spans="1:1">
      <c r="A68" s="50"/>
    </row>
    <row r="69" spans="1:1">
      <c r="A69" s="50"/>
    </row>
    <row r="70" spans="1:1">
      <c r="A70" s="50"/>
    </row>
    <row r="71" spans="1:1">
      <c r="A71" s="50"/>
    </row>
    <row r="72" spans="1:1">
      <c r="A72" s="50"/>
    </row>
    <row r="73" spans="1:1">
      <c r="A73" s="50"/>
    </row>
    <row r="74" spans="1:1">
      <c r="A74" s="50"/>
    </row>
    <row r="75" spans="1:1">
      <c r="A75" s="50"/>
    </row>
    <row r="76" spans="1:1">
      <c r="A76" s="50"/>
    </row>
    <row r="77" spans="1:1">
      <c r="A77" s="50"/>
    </row>
    <row r="78" spans="1:1">
      <c r="A78" s="50"/>
    </row>
    <row r="79" spans="1:1">
      <c r="A79" s="50"/>
    </row>
    <row r="80" spans="1:1">
      <c r="A80" s="50"/>
    </row>
    <row r="81" spans="1:1">
      <c r="A81" s="50"/>
    </row>
    <row r="82" spans="1:1">
      <c r="A82" s="50"/>
    </row>
    <row r="83" spans="1:1">
      <c r="A83" s="50"/>
    </row>
    <row r="84" spans="1:1">
      <c r="A84" s="50"/>
    </row>
    <row r="85" spans="1:1">
      <c r="A85" s="50"/>
    </row>
    <row r="86" spans="1:1">
      <c r="A86" s="50"/>
    </row>
    <row r="87" spans="1:1">
      <c r="A87" s="50"/>
    </row>
    <row r="88" spans="1:1">
      <c r="A88" s="50"/>
    </row>
    <row r="89" spans="1:1">
      <c r="A89" s="50"/>
    </row>
    <row r="90" spans="1:1">
      <c r="A90" s="50"/>
    </row>
    <row r="91" spans="1:1">
      <c r="A91" s="50"/>
    </row>
    <row r="92" spans="1:1">
      <c r="A92" s="50"/>
    </row>
    <row r="93" spans="1:1">
      <c r="A93" s="50"/>
    </row>
    <row r="94" spans="1:1">
      <c r="A94" s="50"/>
    </row>
    <row r="95" spans="1:1">
      <c r="A95" s="50"/>
    </row>
    <row r="96" spans="1:1">
      <c r="A96" s="50"/>
    </row>
    <row r="97" spans="1:7">
      <c r="A97" s="50"/>
    </row>
    <row r="98" spans="1:7">
      <c r="A98" s="50"/>
    </row>
    <row r="99" spans="1:7">
      <c r="A99" s="50"/>
    </row>
    <row r="100" spans="1:7">
      <c r="A100" s="50"/>
    </row>
    <row r="101" spans="1:7">
      <c r="A101" s="53"/>
      <c r="B101" s="54"/>
      <c r="C101" s="54"/>
      <c r="D101" s="54"/>
      <c r="E101" s="54"/>
      <c r="F101" s="54"/>
      <c r="G101" s="54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5"/>
  <dimension ref="A1:F47"/>
  <sheetViews>
    <sheetView workbookViewId="0">
      <pane ySplit="1" topLeftCell="A2" activePane="bottomLeft" state="frozen"/>
      <selection pane="bottomLeft" activeCell="C13" sqref="C13"/>
    </sheetView>
  </sheetViews>
  <sheetFormatPr defaultRowHeight="16.5"/>
  <cols>
    <col min="1" max="4" width="15.625" style="3" customWidth="1"/>
    <col min="5" max="5" width="3.125" style="3" customWidth="1"/>
    <col min="6" max="6" width="40.625" style="3" customWidth="1"/>
    <col min="7" max="16384" width="9" style="3"/>
  </cols>
  <sheetData>
    <row r="1" spans="1:6" s="2" customFormat="1">
      <c r="A1" s="2" t="s">
        <v>202</v>
      </c>
      <c r="B1" s="2" t="s">
        <v>203</v>
      </c>
      <c r="C1" s="2" t="s">
        <v>172</v>
      </c>
      <c r="D1" s="2" t="s">
        <v>201</v>
      </c>
      <c r="F1" s="2" t="s">
        <v>206</v>
      </c>
    </row>
    <row r="2" spans="1:6">
      <c r="A2" s="3">
        <v>1</v>
      </c>
      <c r="B2" s="3">
        <v>1</v>
      </c>
      <c r="C2" s="3" t="s">
        <v>173</v>
      </c>
      <c r="D2" s="3">
        <v>10</v>
      </c>
      <c r="F2" s="47" t="s">
        <v>207</v>
      </c>
    </row>
    <row r="3" spans="1:6">
      <c r="A3" s="3">
        <v>2</v>
      </c>
      <c r="B3" s="3">
        <v>1</v>
      </c>
      <c r="C3" s="3" t="s">
        <v>173</v>
      </c>
      <c r="D3" s="3">
        <v>11</v>
      </c>
      <c r="F3" s="47" t="s">
        <v>208</v>
      </c>
    </row>
    <row r="4" spans="1:6">
      <c r="A4" s="3">
        <v>3</v>
      </c>
      <c r="B4" s="3">
        <v>1</v>
      </c>
      <c r="C4" s="3" t="s">
        <v>173</v>
      </c>
      <c r="D4" s="3">
        <v>12</v>
      </c>
      <c r="F4" s="47" t="s">
        <v>209</v>
      </c>
    </row>
    <row r="5" spans="1:6">
      <c r="A5" s="3">
        <v>4</v>
      </c>
      <c r="B5" s="3">
        <v>1</v>
      </c>
      <c r="C5" s="3" t="s">
        <v>173</v>
      </c>
      <c r="D5" s="3">
        <v>13</v>
      </c>
      <c r="F5" s="47" t="s">
        <v>210</v>
      </c>
    </row>
    <row r="6" spans="1:6">
      <c r="A6" s="3">
        <v>5</v>
      </c>
      <c r="B6" s="3">
        <v>1</v>
      </c>
      <c r="C6" s="3" t="s">
        <v>173</v>
      </c>
      <c r="D6" s="3">
        <v>14</v>
      </c>
      <c r="F6" s="47" t="s">
        <v>211</v>
      </c>
    </row>
    <row r="7" spans="1:6">
      <c r="A7" s="3">
        <v>6</v>
      </c>
      <c r="B7" s="3">
        <v>1</v>
      </c>
      <c r="C7" s="3" t="s">
        <v>173</v>
      </c>
      <c r="D7" s="3">
        <v>25</v>
      </c>
      <c r="F7" s="47" t="s">
        <v>212</v>
      </c>
    </row>
    <row r="8" spans="1:6">
      <c r="A8" s="3">
        <v>7</v>
      </c>
      <c r="B8" s="3">
        <v>1</v>
      </c>
      <c r="C8" s="3" t="s">
        <v>173</v>
      </c>
      <c r="D8" s="3">
        <v>26</v>
      </c>
      <c r="F8" s="47" t="s">
        <v>213</v>
      </c>
    </row>
    <row r="9" spans="1:6">
      <c r="A9" s="3">
        <v>8</v>
      </c>
      <c r="B9" s="3">
        <v>1</v>
      </c>
      <c r="C9" s="3" t="s">
        <v>173</v>
      </c>
      <c r="D9" s="3">
        <v>27</v>
      </c>
      <c r="F9" s="47" t="s">
        <v>214</v>
      </c>
    </row>
    <row r="10" spans="1:6">
      <c r="A10" s="3">
        <v>9</v>
      </c>
      <c r="B10" s="3">
        <v>1</v>
      </c>
      <c r="C10" s="3" t="s">
        <v>173</v>
      </c>
      <c r="D10" s="3">
        <v>28</v>
      </c>
      <c r="F10" s="47" t="s">
        <v>215</v>
      </c>
    </row>
    <row r="11" spans="1:6">
      <c r="A11" s="3">
        <v>10</v>
      </c>
      <c r="B11" s="3">
        <v>1</v>
      </c>
      <c r="C11" s="3" t="s">
        <v>173</v>
      </c>
      <c r="D11" s="3">
        <v>29</v>
      </c>
      <c r="F11" s="47" t="s">
        <v>216</v>
      </c>
    </row>
    <row r="12" spans="1:6">
      <c r="A12" s="3">
        <v>100</v>
      </c>
      <c r="B12" s="3">
        <v>2</v>
      </c>
      <c r="C12" s="3" t="s">
        <v>174</v>
      </c>
      <c r="D12" s="3">
        <v>100</v>
      </c>
      <c r="F12" s="48" t="s">
        <v>169</v>
      </c>
    </row>
    <row r="13" spans="1:6">
      <c r="A13" s="3">
        <v>101</v>
      </c>
      <c r="B13" s="3">
        <v>2</v>
      </c>
      <c r="C13" s="3" t="s">
        <v>174</v>
      </c>
      <c r="D13" s="3">
        <v>100</v>
      </c>
      <c r="F13" s="48" t="s">
        <v>169</v>
      </c>
    </row>
    <row r="14" spans="1:6">
      <c r="A14" s="3">
        <v>102</v>
      </c>
      <c r="B14" s="3">
        <v>2</v>
      </c>
      <c r="C14" s="3" t="s">
        <v>174</v>
      </c>
      <c r="D14" s="3">
        <v>100</v>
      </c>
      <c r="F14" s="48" t="s">
        <v>169</v>
      </c>
    </row>
    <row r="15" spans="1:6">
      <c r="A15" s="3">
        <v>103</v>
      </c>
      <c r="B15" s="3">
        <v>2</v>
      </c>
      <c r="C15" s="3" t="s">
        <v>174</v>
      </c>
      <c r="D15" s="3">
        <v>100</v>
      </c>
      <c r="F15" s="48" t="s">
        <v>169</v>
      </c>
    </row>
    <row r="16" spans="1:6">
      <c r="A16" s="3">
        <v>104</v>
      </c>
      <c r="B16" s="3">
        <v>2</v>
      </c>
      <c r="C16" s="3" t="s">
        <v>174</v>
      </c>
      <c r="D16" s="3">
        <v>100</v>
      </c>
      <c r="F16" s="48" t="s">
        <v>169</v>
      </c>
    </row>
    <row r="17" spans="1:6">
      <c r="A17" s="3">
        <v>105</v>
      </c>
      <c r="B17" s="3">
        <v>2</v>
      </c>
      <c r="C17" s="3" t="s">
        <v>174</v>
      </c>
      <c r="D17" s="3">
        <v>100</v>
      </c>
      <c r="F17" s="48" t="s">
        <v>169</v>
      </c>
    </row>
    <row r="18" spans="1:6">
      <c r="A18" s="3">
        <v>200</v>
      </c>
      <c r="B18" s="3">
        <v>3</v>
      </c>
      <c r="C18" s="3" t="s">
        <v>175</v>
      </c>
      <c r="D18" s="3">
        <v>30</v>
      </c>
      <c r="F18" s="48" t="s">
        <v>183</v>
      </c>
    </row>
    <row r="19" spans="1:6">
      <c r="A19" s="3">
        <v>201</v>
      </c>
      <c r="B19" s="3">
        <v>3</v>
      </c>
      <c r="C19" s="3" t="s">
        <v>175</v>
      </c>
      <c r="D19" s="3">
        <v>30</v>
      </c>
      <c r="F19" s="48" t="s">
        <v>183</v>
      </c>
    </row>
    <row r="20" spans="1:6">
      <c r="A20" s="3">
        <v>202</v>
      </c>
      <c r="B20" s="3">
        <v>3</v>
      </c>
      <c r="C20" s="3" t="s">
        <v>175</v>
      </c>
      <c r="D20" s="3">
        <v>30</v>
      </c>
      <c r="F20" s="48" t="s">
        <v>183</v>
      </c>
    </row>
    <row r="21" spans="1:6">
      <c r="A21" s="3">
        <v>203</v>
      </c>
      <c r="B21" s="3">
        <v>3</v>
      </c>
      <c r="C21" s="3" t="s">
        <v>175</v>
      </c>
      <c r="D21" s="3">
        <v>30</v>
      </c>
      <c r="F21" s="48" t="s">
        <v>183</v>
      </c>
    </row>
    <row r="22" spans="1:6">
      <c r="A22" s="3">
        <v>204</v>
      </c>
      <c r="B22" s="3">
        <v>3</v>
      </c>
      <c r="C22" s="3" t="s">
        <v>175</v>
      </c>
      <c r="D22" s="3">
        <v>30</v>
      </c>
      <c r="F22" s="48" t="s">
        <v>183</v>
      </c>
    </row>
    <row r="23" spans="1:6">
      <c r="A23" s="3">
        <v>205</v>
      </c>
      <c r="B23" s="3">
        <v>3</v>
      </c>
      <c r="C23" s="3" t="s">
        <v>175</v>
      </c>
      <c r="D23" s="3">
        <v>30</v>
      </c>
      <c r="F23" s="48" t="s">
        <v>183</v>
      </c>
    </row>
    <row r="24" spans="1:6">
      <c r="A24" s="3">
        <v>300</v>
      </c>
      <c r="B24" s="3">
        <v>4</v>
      </c>
      <c r="C24" s="3" t="s">
        <v>176</v>
      </c>
      <c r="D24" s="3">
        <v>30</v>
      </c>
      <c r="F24" s="48" t="s">
        <v>184</v>
      </c>
    </row>
    <row r="25" spans="1:6">
      <c r="A25" s="3">
        <v>301</v>
      </c>
      <c r="B25" s="3">
        <v>4</v>
      </c>
      <c r="C25" s="3" t="s">
        <v>176</v>
      </c>
      <c r="D25" s="3">
        <v>30</v>
      </c>
      <c r="F25" s="48" t="s">
        <v>184</v>
      </c>
    </row>
    <row r="26" spans="1:6">
      <c r="A26" s="3">
        <v>302</v>
      </c>
      <c r="B26" s="3">
        <v>4</v>
      </c>
      <c r="C26" s="3" t="s">
        <v>176</v>
      </c>
      <c r="D26" s="3">
        <v>30</v>
      </c>
      <c r="F26" s="48" t="s">
        <v>184</v>
      </c>
    </row>
    <row r="27" spans="1:6">
      <c r="A27" s="3">
        <v>303</v>
      </c>
      <c r="B27" s="3">
        <v>4</v>
      </c>
      <c r="C27" s="3" t="s">
        <v>176</v>
      </c>
      <c r="D27" s="3">
        <v>30</v>
      </c>
      <c r="F27" s="48" t="s">
        <v>184</v>
      </c>
    </row>
    <row r="28" spans="1:6">
      <c r="A28" s="3">
        <v>304</v>
      </c>
      <c r="B28" s="3">
        <v>4</v>
      </c>
      <c r="C28" s="3" t="s">
        <v>176</v>
      </c>
      <c r="D28" s="3">
        <v>30</v>
      </c>
      <c r="F28" s="48" t="s">
        <v>184</v>
      </c>
    </row>
    <row r="29" spans="1:6">
      <c r="A29" s="3">
        <v>305</v>
      </c>
      <c r="B29" s="3">
        <v>4</v>
      </c>
      <c r="C29" s="3" t="s">
        <v>176</v>
      </c>
      <c r="D29" s="3">
        <v>30</v>
      </c>
      <c r="F29" s="48" t="s">
        <v>184</v>
      </c>
    </row>
    <row r="30" spans="1:6">
      <c r="A30" s="3">
        <v>400</v>
      </c>
      <c r="B30" s="3">
        <v>5</v>
      </c>
      <c r="C30" s="3" t="s">
        <v>217</v>
      </c>
      <c r="D30" s="3">
        <v>30</v>
      </c>
      <c r="F30" s="48" t="s">
        <v>185</v>
      </c>
    </row>
    <row r="31" spans="1:6">
      <c r="A31" s="3">
        <v>401</v>
      </c>
      <c r="B31" s="3">
        <v>5</v>
      </c>
      <c r="C31" s="3" t="s">
        <v>217</v>
      </c>
      <c r="D31" s="3">
        <v>30</v>
      </c>
      <c r="F31" s="48" t="s">
        <v>185</v>
      </c>
    </row>
    <row r="32" spans="1:6">
      <c r="A32" s="3">
        <v>402</v>
      </c>
      <c r="B32" s="3">
        <v>5</v>
      </c>
      <c r="C32" s="3" t="s">
        <v>217</v>
      </c>
      <c r="D32" s="3">
        <v>30</v>
      </c>
      <c r="F32" s="48" t="s">
        <v>185</v>
      </c>
    </row>
    <row r="33" spans="1:6">
      <c r="A33" s="3">
        <v>403</v>
      </c>
      <c r="B33" s="3">
        <v>5</v>
      </c>
      <c r="C33" s="3" t="s">
        <v>217</v>
      </c>
      <c r="D33" s="3">
        <v>30</v>
      </c>
      <c r="F33" s="48" t="s">
        <v>185</v>
      </c>
    </row>
    <row r="34" spans="1:6">
      <c r="A34" s="3">
        <v>404</v>
      </c>
      <c r="B34" s="3">
        <v>5</v>
      </c>
      <c r="C34" s="3" t="s">
        <v>217</v>
      </c>
      <c r="D34" s="3">
        <v>30</v>
      </c>
      <c r="F34" s="48" t="s">
        <v>185</v>
      </c>
    </row>
    <row r="35" spans="1:6">
      <c r="A35" s="3">
        <v>405</v>
      </c>
      <c r="B35" s="3">
        <v>5</v>
      </c>
      <c r="C35" s="3" t="s">
        <v>217</v>
      </c>
      <c r="D35" s="3">
        <v>30</v>
      </c>
      <c r="F35" s="48" t="s">
        <v>185</v>
      </c>
    </row>
    <row r="36" spans="1:6">
      <c r="A36" s="3">
        <v>500</v>
      </c>
      <c r="B36" s="3">
        <v>6</v>
      </c>
      <c r="C36" s="3" t="s">
        <v>178</v>
      </c>
      <c r="D36" s="3">
        <v>1</v>
      </c>
      <c r="F36" s="48" t="s">
        <v>186</v>
      </c>
    </row>
    <row r="37" spans="1:6">
      <c r="A37" s="3">
        <v>501</v>
      </c>
      <c r="B37" s="3">
        <v>6</v>
      </c>
      <c r="C37" s="3" t="s">
        <v>178</v>
      </c>
      <c r="D37" s="3">
        <v>1</v>
      </c>
      <c r="F37" s="48" t="s">
        <v>186</v>
      </c>
    </row>
    <row r="38" spans="1:6">
      <c r="A38" s="3">
        <v>502</v>
      </c>
      <c r="B38" s="3">
        <v>6</v>
      </c>
      <c r="C38" s="3" t="s">
        <v>178</v>
      </c>
      <c r="D38" s="3">
        <v>1</v>
      </c>
      <c r="F38" s="48" t="s">
        <v>186</v>
      </c>
    </row>
    <row r="39" spans="1:6">
      <c r="A39" s="3">
        <v>503</v>
      </c>
      <c r="B39" s="3">
        <v>6</v>
      </c>
      <c r="C39" s="3" t="s">
        <v>178</v>
      </c>
      <c r="D39" s="3">
        <v>1</v>
      </c>
      <c r="F39" s="48" t="s">
        <v>186</v>
      </c>
    </row>
    <row r="40" spans="1:6">
      <c r="F40" s="47"/>
    </row>
    <row r="41" spans="1:6">
      <c r="F41" s="47"/>
    </row>
    <row r="42" spans="1:6">
      <c r="F42" s="47"/>
    </row>
    <row r="43" spans="1:6">
      <c r="F43" s="47"/>
    </row>
    <row r="44" spans="1:6">
      <c r="F44" s="47"/>
    </row>
    <row r="45" spans="1:6">
      <c r="F45" s="47"/>
    </row>
    <row r="46" spans="1:6">
      <c r="F46" s="47"/>
    </row>
    <row r="47" spans="1:6">
      <c r="F47" s="47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選項清單!$K$2:$K$8</xm:f>
          </x14:formula1>
          <xm:sqref>C2:C1048576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R18"/>
  <sheetViews>
    <sheetView workbookViewId="0">
      <selection activeCell="J9" sqref="J9"/>
    </sheetView>
  </sheetViews>
  <sheetFormatPr defaultRowHeight="16.5"/>
  <cols>
    <col min="1" max="1" width="9" style="30" customWidth="1"/>
    <col min="2" max="6" width="9" style="30"/>
    <col min="7" max="7" width="18.375" style="30" bestFit="1" customWidth="1"/>
    <col min="8" max="10" width="9" style="30"/>
    <col min="11" max="11" width="13.875" style="30" bestFit="1" customWidth="1"/>
    <col min="12" max="12" width="9" style="30"/>
    <col min="13" max="13" width="18.375" style="30" bestFit="1" customWidth="1"/>
    <col min="14" max="16384" width="9" style="30"/>
  </cols>
  <sheetData>
    <row r="1" spans="1:18">
      <c r="A1" s="59" t="s">
        <v>10</v>
      </c>
      <c r="B1" s="59"/>
      <c r="C1" s="59" t="s">
        <v>16</v>
      </c>
      <c r="D1" s="59"/>
      <c r="E1" s="59" t="s">
        <v>36</v>
      </c>
      <c r="F1" s="62"/>
      <c r="G1" s="59" t="s">
        <v>35</v>
      </c>
      <c r="H1" s="62"/>
      <c r="I1" s="59" t="s">
        <v>44</v>
      </c>
      <c r="J1" s="62"/>
      <c r="K1" s="59" t="s">
        <v>166</v>
      </c>
      <c r="L1" s="61"/>
      <c r="M1" s="59" t="s">
        <v>200</v>
      </c>
      <c r="N1" s="60"/>
    </row>
    <row r="2" spans="1:18">
      <c r="A2" s="30" t="s">
        <v>17</v>
      </c>
      <c r="B2" s="30">
        <v>0</v>
      </c>
      <c r="C2" s="30" t="s">
        <v>17</v>
      </c>
      <c r="D2" s="30">
        <v>0</v>
      </c>
      <c r="E2" s="29" t="s">
        <v>17</v>
      </c>
      <c r="F2" s="30">
        <v>0</v>
      </c>
      <c r="G2" s="30" t="s">
        <v>17</v>
      </c>
      <c r="H2" s="30">
        <v>0</v>
      </c>
      <c r="I2" s="30" t="s">
        <v>45</v>
      </c>
      <c r="J2" s="30">
        <v>0</v>
      </c>
      <c r="K2" s="30" t="s">
        <v>17</v>
      </c>
      <c r="L2" s="30">
        <v>0</v>
      </c>
      <c r="M2" s="30" t="s">
        <v>167</v>
      </c>
      <c r="N2" s="30">
        <v>0</v>
      </c>
    </row>
    <row r="3" spans="1:18">
      <c r="A3" s="30" t="s">
        <v>11</v>
      </c>
      <c r="B3" s="30">
        <v>1</v>
      </c>
      <c r="C3" s="30" t="s">
        <v>13</v>
      </c>
      <c r="D3" s="30">
        <v>1</v>
      </c>
      <c r="E3" s="29" t="s">
        <v>23</v>
      </c>
      <c r="F3" s="30">
        <v>1</v>
      </c>
      <c r="G3" s="33" t="s">
        <v>97</v>
      </c>
      <c r="H3" s="30">
        <v>1</v>
      </c>
      <c r="I3" s="30" t="s">
        <v>47</v>
      </c>
      <c r="J3" s="30">
        <v>1</v>
      </c>
      <c r="K3" s="39" t="s">
        <v>173</v>
      </c>
      <c r="L3" s="30">
        <v>1</v>
      </c>
      <c r="M3" s="39" t="s">
        <v>168</v>
      </c>
      <c r="N3" s="30">
        <v>1</v>
      </c>
    </row>
    <row r="4" spans="1:18">
      <c r="A4" s="30" t="s">
        <v>12</v>
      </c>
      <c r="B4" s="30">
        <v>2</v>
      </c>
      <c r="C4" s="30" t="s">
        <v>15</v>
      </c>
      <c r="D4" s="30">
        <v>2</v>
      </c>
      <c r="E4" s="29" t="s">
        <v>19</v>
      </c>
      <c r="F4" s="30">
        <v>2</v>
      </c>
      <c r="G4" s="33" t="s">
        <v>99</v>
      </c>
      <c r="H4" s="30">
        <v>2</v>
      </c>
      <c r="I4" s="30" t="s">
        <v>141</v>
      </c>
      <c r="J4" s="30">
        <v>2</v>
      </c>
      <c r="K4" s="39" t="s">
        <v>174</v>
      </c>
      <c r="L4" s="57">
        <v>2</v>
      </c>
      <c r="M4" s="39" t="s">
        <v>179</v>
      </c>
      <c r="N4" s="30">
        <v>2</v>
      </c>
    </row>
    <row r="5" spans="1:18">
      <c r="E5" s="29" t="s">
        <v>21</v>
      </c>
      <c r="F5" s="30">
        <v>3</v>
      </c>
      <c r="G5" s="30" t="s">
        <v>101</v>
      </c>
      <c r="H5" s="30">
        <v>3</v>
      </c>
      <c r="I5" s="30" t="s">
        <v>150</v>
      </c>
      <c r="J5" s="30">
        <v>3</v>
      </c>
      <c r="K5" s="39" t="s">
        <v>175</v>
      </c>
      <c r="L5" s="57">
        <v>3</v>
      </c>
      <c r="M5" s="39" t="s">
        <v>180</v>
      </c>
      <c r="N5" s="30">
        <v>3</v>
      </c>
    </row>
    <row r="6" spans="1:18">
      <c r="G6" s="30" t="s">
        <v>103</v>
      </c>
      <c r="H6" s="30">
        <v>4</v>
      </c>
      <c r="I6" s="30" t="s">
        <v>297</v>
      </c>
      <c r="J6" s="30">
        <v>4</v>
      </c>
      <c r="K6" s="39" t="s">
        <v>176</v>
      </c>
      <c r="L6" s="57">
        <v>4</v>
      </c>
      <c r="M6" s="39" t="s">
        <v>181</v>
      </c>
      <c r="N6" s="30">
        <v>4</v>
      </c>
    </row>
    <row r="7" spans="1:18">
      <c r="G7" s="34" t="s">
        <v>109</v>
      </c>
      <c r="H7" s="30">
        <v>5</v>
      </c>
      <c r="I7" s="30" t="s">
        <v>304</v>
      </c>
      <c r="J7" s="30">
        <v>5</v>
      </c>
      <c r="K7" s="39" t="s">
        <v>177</v>
      </c>
      <c r="L7" s="57">
        <v>5</v>
      </c>
      <c r="M7" s="39" t="s">
        <v>182</v>
      </c>
      <c r="N7" s="30">
        <v>5</v>
      </c>
    </row>
    <row r="8" spans="1:18">
      <c r="G8" s="34" t="s">
        <v>105</v>
      </c>
      <c r="H8" s="30">
        <v>6</v>
      </c>
      <c r="I8" s="30" t="s">
        <v>306</v>
      </c>
      <c r="J8" s="30">
        <v>6</v>
      </c>
      <c r="K8" s="39" t="s">
        <v>178</v>
      </c>
      <c r="L8" s="57">
        <v>6</v>
      </c>
      <c r="M8" s="39" t="s">
        <v>169</v>
      </c>
      <c r="N8" s="30">
        <v>6</v>
      </c>
    </row>
    <row r="9" spans="1:18">
      <c r="G9" s="34" t="s">
        <v>106</v>
      </c>
      <c r="H9" s="30">
        <v>7</v>
      </c>
      <c r="I9" s="58" t="s">
        <v>154</v>
      </c>
      <c r="J9" s="58">
        <v>7</v>
      </c>
      <c r="M9" s="39" t="s">
        <v>183</v>
      </c>
      <c r="N9" s="30">
        <v>7</v>
      </c>
    </row>
    <row r="10" spans="1:18">
      <c r="G10" s="34" t="s">
        <v>107</v>
      </c>
      <c r="H10" s="30">
        <v>8</v>
      </c>
      <c r="M10" s="39" t="s">
        <v>184</v>
      </c>
      <c r="N10" s="30">
        <v>8</v>
      </c>
    </row>
    <row r="11" spans="1:18">
      <c r="M11" s="39" t="s">
        <v>185</v>
      </c>
      <c r="N11" s="30">
        <v>9</v>
      </c>
    </row>
    <row r="12" spans="1:18">
      <c r="M12" s="39" t="s">
        <v>186</v>
      </c>
      <c r="N12" s="30">
        <v>10</v>
      </c>
    </row>
    <row r="13" spans="1:18">
      <c r="M13" s="39" t="s">
        <v>170</v>
      </c>
      <c r="N13" s="30">
        <v>11</v>
      </c>
      <c r="R13" s="35"/>
    </row>
    <row r="14" spans="1:18">
      <c r="R14" s="36"/>
    </row>
    <row r="15" spans="1:18">
      <c r="R15" s="35"/>
    </row>
    <row r="16" spans="1:18">
      <c r="R16" s="36"/>
    </row>
    <row r="17" spans="18:18">
      <c r="R17" s="35"/>
    </row>
    <row r="18" spans="18:18">
      <c r="R18" s="36"/>
    </row>
  </sheetData>
  <mergeCells count="7">
    <mergeCell ref="M1:N1"/>
    <mergeCell ref="K1:L1"/>
    <mergeCell ref="I1:J1"/>
    <mergeCell ref="A1:B1"/>
    <mergeCell ref="C1:D1"/>
    <mergeCell ref="E1:F1"/>
    <mergeCell ref="G1:H1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50"/>
  <sheetViews>
    <sheetView workbookViewId="0">
      <selection activeCell="B1" sqref="B1"/>
    </sheetView>
  </sheetViews>
  <sheetFormatPr defaultRowHeight="16.5"/>
  <cols>
    <col min="1" max="3" width="15.625" customWidth="1"/>
  </cols>
  <sheetData>
    <row r="1" spans="1:3" s="4" customFormat="1">
      <c r="A1" s="4" t="str">
        <f>語言列表!A1</f>
        <v>GUID</v>
      </c>
      <c r="B1" s="4" t="str">
        <f>語言列表!B1</f>
        <v>enUS</v>
      </c>
      <c r="C1" s="4" t="str">
        <f>語言列表!C1</f>
        <v>zhTW</v>
      </c>
    </row>
    <row r="2" spans="1:3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>
      <c r="A4" t="str">
        <f>ToResult(語言列表!A4)</f>
        <v>1003</v>
      </c>
      <c r="B4" t="str">
        <f>ToResult(語言列表!B4)</f>
        <v>Pistol</v>
      </c>
      <c r="C4" t="str">
        <f>ToResult(語言列表!C4)</f>
        <v>手槍</v>
      </c>
    </row>
    <row r="5" spans="1:3">
      <c r="A5" t="str">
        <f>ToResult(語言列表!A5)</f>
        <v>1004</v>
      </c>
      <c r="B5" t="str">
        <f>ToResult(語言列表!B5)</f>
        <v>Revolver</v>
      </c>
      <c r="C5" t="str">
        <f>ToResult(語言列表!C5)</f>
        <v>左輪手槍</v>
      </c>
    </row>
    <row r="6" spans="1:3">
      <c r="A6" t="str">
        <f>ToResult(語言列表!A6)</f>
        <v>1005</v>
      </c>
      <c r="B6" t="str">
        <f>ToResult(語言列表!B6)</f>
        <v>Desert Eagle</v>
      </c>
      <c r="C6" t="str">
        <f>ToResult(語言列表!C6)</f>
        <v>沙漠之鷹</v>
      </c>
    </row>
    <row r="7" spans="1:3">
      <c r="A7" t="str">
        <f>ToResult(語言列表!A7)</f>
        <v>1006</v>
      </c>
      <c r="B7" t="str">
        <f>ToResult(語言列表!B7)</f>
        <v>Submachine</v>
      </c>
      <c r="C7" t="str">
        <f>ToResult(語言列表!C7)</f>
        <v>衝鋒槍</v>
      </c>
    </row>
    <row r="8" spans="1:3">
      <c r="A8" t="str">
        <f>ToResult(語言列表!A8)</f>
        <v>1007</v>
      </c>
      <c r="B8" t="str">
        <f>ToResult(語言列表!B8)</f>
        <v>Assault Rifle</v>
      </c>
      <c r="C8" t="str">
        <f>ToResult(語言列表!C8)</f>
        <v>突擊步槍</v>
      </c>
    </row>
    <row r="9" spans="1:3">
      <c r="A9" t="str">
        <f>ToResult(語言列表!A9)</f>
        <v>1008</v>
      </c>
      <c r="B9" t="str">
        <f>ToResult(語言列表!B9)</f>
        <v>Light machine gun</v>
      </c>
      <c r="C9" t="str">
        <f>ToResult(語言列表!C9)</f>
        <v>輕機槍</v>
      </c>
    </row>
    <row r="10" spans="1:3">
      <c r="A10" t="str">
        <f>ToResult(語言列表!A10)</f>
        <v>2001</v>
      </c>
      <c r="B10" t="str">
        <f>ToResult(語言列表!B10)</f>
        <v>Chef</v>
      </c>
      <c r="C10" t="str">
        <f>ToResult(語言列表!C10)</f>
        <v>廚師</v>
      </c>
    </row>
    <row r="11" spans="1:3">
      <c r="A11" t="str">
        <f>ToResult(語言列表!A11)</f>
        <v>2002</v>
      </c>
      <c r="B11" t="str">
        <f>ToResult(語言列表!B11)</f>
        <v>Doctors</v>
      </c>
      <c r="C11" t="str">
        <f>ToResult(語言列表!C11)</f>
        <v>醫生</v>
      </c>
    </row>
    <row r="12" spans="1:3">
      <c r="A12" t="str">
        <f>ToResult(語言列表!A12)</f>
        <v>2003</v>
      </c>
      <c r="B12" t="str">
        <f>ToResult(語言列表!B12)</f>
        <v>Obesity</v>
      </c>
      <c r="C12" t="str">
        <f>ToResult(語言列表!C12)</f>
        <v>肥胖</v>
      </c>
    </row>
    <row r="13" spans="1:3">
      <c r="A13" t="str">
        <f>ToResult(語言列表!A13)</f>
        <v>2004</v>
      </c>
      <c r="B13" t="str">
        <f>ToResult(語言列表!B13)</f>
        <v>Disability</v>
      </c>
      <c r="C13" t="str">
        <f>ToResult(語言列表!C13)</f>
        <v>殘疾</v>
      </c>
    </row>
    <row r="14" spans="1:3">
      <c r="A14" t="str">
        <f>ToResult(語言列表!A14)</f>
        <v>2005</v>
      </c>
      <c r="B14" t="str">
        <f>ToResult(語言列表!B14)</f>
        <v>Health</v>
      </c>
      <c r="C14" t="str">
        <f>ToResult(語言列表!C14)</f>
        <v>健康</v>
      </c>
    </row>
    <row r="15" spans="1:3">
      <c r="A15" t="str">
        <f>ToResult(語言列表!A15)</f>
        <v>2006</v>
      </c>
      <c r="B15" t="str">
        <f>ToResult(語言列表!B15)</f>
        <v>Strong</v>
      </c>
      <c r="C15" t="str">
        <f>ToResult(語言列表!C15)</f>
        <v>強壯</v>
      </c>
    </row>
    <row r="16" spans="1:3">
      <c r="A16" t="str">
        <f>ToResult(語言列表!A16)</f>
        <v>2007</v>
      </c>
      <c r="B16" t="str">
        <f>ToResult(語言列表!B16)</f>
        <v>Flu</v>
      </c>
      <c r="C16" t="str">
        <f>ToResult(語言列表!C16)</f>
        <v>感冒</v>
      </c>
    </row>
    <row r="17" spans="1:3">
      <c r="A17" t="str">
        <f>ToResult(語言列表!A17)</f>
        <v>2008</v>
      </c>
      <c r="B17" t="str">
        <f>ToResult(語言列表!B17)</f>
        <v>Injured</v>
      </c>
      <c r="C17" t="str">
        <f>ToResult(語言列表!C17)</f>
        <v>受傷</v>
      </c>
    </row>
    <row r="18" spans="1:3">
      <c r="A18" t="str">
        <f>ToResult(語言列表!A18)</f>
        <v>2009</v>
      </c>
      <c r="B18" t="str">
        <f>ToResult(語言列表!B18)</f>
        <v>Clumsy</v>
      </c>
      <c r="C18" t="str">
        <f>ToResult(語言列表!C18)</f>
        <v>笨拙</v>
      </c>
    </row>
    <row r="19" spans="1:3">
      <c r="A19" t="str">
        <f>ToResult(語言列表!A19)</f>
        <v>2010</v>
      </c>
      <c r="B19" t="str">
        <f>ToResult(語言列表!B19)</f>
        <v>Careless</v>
      </c>
      <c r="C19" t="str">
        <f>ToResult(語言列表!C19)</f>
        <v>粗心</v>
      </c>
    </row>
    <row r="20" spans="1:3">
      <c r="A20" t="str">
        <f>ToResult(語言列表!A20)</f>
        <v>2011</v>
      </c>
      <c r="B20" t="str">
        <f>ToResult(語言列表!B20)</f>
        <v>Elite</v>
      </c>
      <c r="C20" t="str">
        <f>ToResult(語言列表!C20)</f>
        <v>精英</v>
      </c>
    </row>
    <row r="21" spans="1:3">
      <c r="A21" t="str">
        <f>ToResult(語言列表!A21)</f>
        <v>2012</v>
      </c>
      <c r="B21" t="str">
        <f>ToResult(語言列表!B21)</f>
        <v>Genius</v>
      </c>
      <c r="C21" t="str">
        <f>ToResult(語言列表!C21)</f>
        <v>天才</v>
      </c>
    </row>
    <row r="22" spans="1:3">
      <c r="A22" t="str">
        <f>ToResult(語言列表!A22)</f>
        <v>2013</v>
      </c>
      <c r="B22" t="str">
        <f>ToResult(語言列表!B22)</f>
        <v>Modified</v>
      </c>
      <c r="C22" t="str">
        <f>ToResult(語言列表!C22)</f>
        <v>改裝</v>
      </c>
    </row>
    <row r="23" spans="1:3">
      <c r="A23" t="str">
        <f>ToResult(語言列表!A23)</f>
        <v>2014</v>
      </c>
      <c r="B23" t="str">
        <f>ToResult(語言列表!B23)</f>
        <v>Corrupted</v>
      </c>
      <c r="C23" t="str">
        <f>ToResult(語言列表!C23)</f>
        <v>損壞</v>
      </c>
    </row>
    <row r="24" spans="1:3">
      <c r="A24" t="str">
        <f>ToResult(語言列表!A24)</f>
        <v>2015</v>
      </c>
      <c r="B24" t="str">
        <f>ToResult(語言列表!B24)</f>
        <v>Signaller</v>
      </c>
      <c r="C24" t="str">
        <f>ToResult(語言列表!C24)</f>
        <v>通訊兵</v>
      </c>
    </row>
    <row r="25" spans="1:3">
      <c r="A25" t="str">
        <f>ToResult(語言列表!A25)</f>
        <v>2016</v>
      </c>
      <c r="B25" t="str">
        <f>ToResult(語言列表!B25)</f>
        <v>General</v>
      </c>
      <c r="C25" t="str">
        <f>ToResult(語言列表!C25)</f>
        <v>將軍</v>
      </c>
    </row>
    <row r="26" spans="1:3">
      <c r="A26" t="str">
        <f>ToResult(語言列表!A26)</f>
        <v>2017</v>
      </c>
      <c r="B26" t="str">
        <f>ToResult(語言列表!B26)</f>
        <v>Shield</v>
      </c>
      <c r="C26" t="str">
        <f>ToResult(語言列表!C26)</f>
        <v>護盾</v>
      </c>
    </row>
    <row r="27" spans="1:3">
      <c r="A27" t="str">
        <f>ToResult(語言列表!A27)</f>
        <v>2018</v>
      </c>
      <c r="B27" t="str">
        <f>ToResult(語言列表!B27)</f>
        <v>Dual shield</v>
      </c>
      <c r="C27" t="str">
        <f>ToResult(語言列表!C27)</f>
        <v>雙重護盾</v>
      </c>
    </row>
    <row r="28" spans="1:3">
      <c r="A28" t="str">
        <f>ToResult(語言列表!A28)</f>
        <v>2019</v>
      </c>
      <c r="B28" t="str">
        <f>ToResult(語言列表!B28)</f>
        <v>Nightmare</v>
      </c>
      <c r="C28" t="str">
        <f>ToResult(語言列表!C28)</f>
        <v>噩夢</v>
      </c>
    </row>
    <row r="29" spans="1:3">
      <c r="A29" t="str">
        <f>ToResult(語言列表!A29)</f>
        <v>2020</v>
      </c>
      <c r="B29" t="str">
        <f>ToResult(語言列表!B29)</f>
        <v>Curse</v>
      </c>
      <c r="C29" t="str">
        <f>ToResult(語言列表!C29)</f>
        <v>詛咒</v>
      </c>
    </row>
    <row r="30" spans="1:3">
      <c r="A30" t="str">
        <f>ToResult(語言列表!A30)</f>
        <v>2021</v>
      </c>
      <c r="B30" t="str">
        <f>ToResult(語言列表!B30)</f>
        <v>Low-key</v>
      </c>
      <c r="C30" t="str">
        <f>ToResult(語言列表!C30)</f>
        <v>低調</v>
      </c>
    </row>
    <row r="31" spans="1:3">
      <c r="A31" t="str">
        <f>ToResult(語言列表!A31)</f>
        <v>2022</v>
      </c>
      <c r="B31" t="str">
        <f>ToResult(語言列表!B31)</f>
        <v>High-profile</v>
      </c>
      <c r="C31" t="str">
        <f>ToResult(語言列表!C31)</f>
        <v>醒目</v>
      </c>
    </row>
    <row r="32" spans="1:3">
      <c r="A32" t="str">
        <f>ToResult(語言列表!A32)</f>
        <v>3001</v>
      </c>
      <c r="B32" t="str">
        <f>ToResult(語言列表!B32)</f>
        <v>[ffed00]sta cap[546ef2]+4[-][-]</v>
      </c>
      <c r="C32" t="str">
        <f>ToResult(語言列表!C32)</f>
        <v/>
      </c>
    </row>
    <row r="33" spans="1:3">
      <c r="A33" t="str">
        <f>ToResult(語言列表!A33)</f>
        <v>3002</v>
      </c>
      <c r="B33" t="str">
        <f>ToResult(語言列表!B33)</f>
        <v>[ffed00]sta cap[546ef2]+8[-][-]</v>
      </c>
      <c r="C33" t="str">
        <f>ToResult(語言列表!C33)</f>
        <v/>
      </c>
    </row>
    <row r="34" spans="1:3">
      <c r="A34" t="str">
        <f>ToResult(語言列表!A34)</f>
        <v>3003</v>
      </c>
      <c r="B34" t="str">
        <f>ToResult(語言列表!B34)</f>
        <v>[ffed00]sta cap[e92121]-4[-][-]</v>
      </c>
      <c r="C34" t="str">
        <f>ToResult(語言列表!C34)</f>
        <v/>
      </c>
    </row>
    <row r="35" spans="1:3">
      <c r="A35" t="str">
        <f>ToResult(語言列表!A35)</f>
        <v>3004</v>
      </c>
      <c r="B35" t="str">
        <f>ToResult(語言列表!B35)</f>
        <v>[ffed00]sta cap[e92121]-8[-][-]</v>
      </c>
      <c r="C35" t="str">
        <f>ToResult(語言列表!C35)</f>
        <v/>
      </c>
    </row>
    <row r="36" spans="1:3">
      <c r="A36" t="str">
        <f>ToResult(語言列表!A36)</f>
        <v>3005</v>
      </c>
      <c r="B36" t="str">
        <f>ToResult(語言列表!B36)</f>
        <v>[ffed00]regain[546ef2]+2[-][-]</v>
      </c>
      <c r="C36" t="str">
        <f>ToResult(語言列表!C36)</f>
        <v/>
      </c>
    </row>
    <row r="37" spans="1:3">
      <c r="A37" t="str">
        <f>ToResult(語言列表!A37)</f>
        <v>3006</v>
      </c>
      <c r="B37" t="str">
        <f>ToResult(語言列表!B37)</f>
        <v>[ffed00]regain[546ef2]+3[-][-]</v>
      </c>
      <c r="C37" t="str">
        <f>ToResult(語言列表!C37)</f>
        <v/>
      </c>
    </row>
    <row r="38" spans="1:3">
      <c r="A38" t="str">
        <f>ToResult(語言列表!A38)</f>
        <v>3007</v>
      </c>
      <c r="B38" t="str">
        <f>ToResult(語言列表!B38)</f>
        <v>[ffed00]regain[e92121]-2[-][-]</v>
      </c>
      <c r="C38" t="str">
        <f>ToResult(語言列表!C38)</f>
        <v/>
      </c>
    </row>
    <row r="39" spans="1:3">
      <c r="A39" t="str">
        <f>ToResult(語言列表!A39)</f>
        <v>3008</v>
      </c>
      <c r="B39" t="str">
        <f>ToResult(語言列表!B39)</f>
        <v>[ffed00]regain[e92121]-3[-][-]</v>
      </c>
      <c r="C39" t="str">
        <f>ToResult(語言列表!C39)</f>
        <v/>
      </c>
    </row>
    <row r="40" spans="1:3">
      <c r="A40" t="str">
        <f>ToResult(語言列表!A40)</f>
        <v>3009</v>
      </c>
      <c r="B40" t="str">
        <f>ToResult(語言列表!B40)</f>
        <v>[ffed00]crit[e92121]-20%[-][-]</v>
      </c>
      <c r="C40" t="str">
        <f>ToResult(語言列表!C40)</f>
        <v/>
      </c>
    </row>
    <row r="41" spans="1:3">
      <c r="A41" t="str">
        <f>ToResult(語言列表!A41)</f>
        <v>3010</v>
      </c>
      <c r="B41" t="str">
        <f>ToResult(語言列表!B41)</f>
        <v>[ffed00]crit[e92121]-10%[-][-]</v>
      </c>
      <c r="C41" t="str">
        <f>ToResult(語言列表!C41)</f>
        <v/>
      </c>
    </row>
    <row r="42" spans="1:3">
      <c r="A42" t="str">
        <f>ToResult(語言列表!A42)</f>
        <v>3011</v>
      </c>
      <c r="B42" t="str">
        <f>ToResult(語言列表!B42)</f>
        <v>[ffed00]crit[546ef2]+10%[-][-]</v>
      </c>
      <c r="C42" t="str">
        <f>ToResult(語言列表!C42)</f>
        <v/>
      </c>
    </row>
    <row r="43" spans="1:3">
      <c r="A43" t="str">
        <f>ToResult(語言列表!A43)</f>
        <v>3012</v>
      </c>
      <c r="B43" t="str">
        <f>ToResult(語言列表!B43)</f>
        <v>[ffed00]crit[546ef2]+20%[-][-]</v>
      </c>
      <c r="C43" t="str">
        <f>ToResult(語言列表!C43)</f>
        <v/>
      </c>
    </row>
    <row r="44" spans="1:3">
      <c r="A44" t="str">
        <f>ToResult(語言列表!A44)</f>
        <v>3013</v>
      </c>
      <c r="B44" t="str">
        <f>ToResult(語言列表!B44)</f>
        <v>[ffed00]damage[546ef2]+10[-][-]</v>
      </c>
      <c r="C44" t="str">
        <f>ToResult(語言列表!C44)</f>
        <v/>
      </c>
    </row>
    <row r="45" spans="1:3">
      <c r="A45" t="str">
        <f>ToResult(語言列表!A45)</f>
        <v>3014</v>
      </c>
      <c r="B45" t="str">
        <f>ToResult(語言列表!B45)</f>
        <v>[ffed00]damage[e92121]-10[-][-]</v>
      </c>
      <c r="C45" t="str">
        <f>ToResult(語言列表!C45)</f>
        <v/>
      </c>
    </row>
    <row r="46" spans="1:3">
      <c r="A46" t="str">
        <f>ToResult(語言列表!A46)</f>
        <v>3015</v>
      </c>
      <c r="B46" t="str">
        <f>ToResult(語言列表!B46)</f>
        <v>[ffed00]bomb[546ef2]+1[-][-]</v>
      </c>
      <c r="C46" t="str">
        <f>ToResult(語言列表!C46)</f>
        <v/>
      </c>
    </row>
    <row r="47" spans="1:3">
      <c r="A47" t="str">
        <f>ToResult(語言列表!A47)</f>
        <v>3016</v>
      </c>
      <c r="B47" t="str">
        <f>ToResult(語言列表!B47)</f>
        <v>[ffed00]bomb[546ef2]+2[-][-]</v>
      </c>
      <c r="C47" t="str">
        <f>ToResult(語言列表!C47)</f>
        <v/>
      </c>
    </row>
    <row r="48" spans="1:3">
      <c r="A48" t="str">
        <f>ToResult(語言列表!A48)</f>
        <v>3017</v>
      </c>
      <c r="B48" t="str">
        <f>ToResult(語言列表!B48)</f>
        <v>[ffed00]shield[546ef2]+2[-][-]</v>
      </c>
      <c r="C48" t="str">
        <f>ToResult(語言列表!C48)</f>
        <v/>
      </c>
    </row>
    <row r="49" spans="1:3">
      <c r="A49" t="str">
        <f>ToResult(語言列表!A49)</f>
        <v>3018</v>
      </c>
      <c r="B49" t="str">
        <f>ToResult(語言列表!B49)</f>
        <v>[ffed00]shield[546ef2]+4[-][-]</v>
      </c>
      <c r="C49" t="str">
        <f>ToResult(語言列表!C49)</f>
        <v/>
      </c>
    </row>
    <row r="50" spans="1:3">
      <c r="A50" t="str">
        <f>ToResult(語言列表!A50)</f>
        <v>3019</v>
      </c>
      <c r="B50" t="str">
        <f>ToResult(語言列表!B50)</f>
        <v>[ffed00]monster[e92121]+3%[-][-]</v>
      </c>
      <c r="C50" t="str">
        <f>ToResult(語言列表!C50)</f>
        <v/>
      </c>
    </row>
    <row r="51" spans="1:3">
      <c r="A51" t="str">
        <f>ToResult(語言列表!A51)</f>
        <v>3020</v>
      </c>
      <c r="B51" t="str">
        <f>ToResult(語言列表!B51)</f>
        <v>[ffed00]monster[e92121]+6%[-][-]</v>
      </c>
      <c r="C51" t="str">
        <f>ToResult(語言列表!C51)</f>
        <v/>
      </c>
    </row>
    <row r="52" spans="1:3">
      <c r="A52" t="str">
        <f>ToResult(語言列表!A52)</f>
        <v>3021</v>
      </c>
      <c r="B52" t="str">
        <f>ToResult(語言列表!B52)</f>
        <v>[ffed00]More safe[-]</v>
      </c>
      <c r="C52" t="str">
        <f>ToResult(語言列表!C52)</f>
        <v/>
      </c>
    </row>
    <row r="53" spans="1:3">
      <c r="A53" t="str">
        <f>ToResult(語言列表!A53)</f>
        <v>3022</v>
      </c>
      <c r="B53" t="str">
        <f>ToResult(語言列表!B53)</f>
        <v>[ffed00]More danger[-]</v>
      </c>
      <c r="C53" t="str">
        <f>ToResult(語言列表!C53)</f>
        <v/>
      </c>
    </row>
    <row r="54" spans="1:3">
      <c r="A54" t="str">
        <f>ToResult(語言列表!A54)</f>
        <v>4001</v>
      </c>
      <c r="B54" t="str">
        <f>ToResult(語言列表!B54)</f>
        <v>Burn</v>
      </c>
      <c r="C54" t="str">
        <f>ToResult(語言列表!C54)</f>
        <v/>
      </c>
    </row>
    <row r="55" spans="1:3">
      <c r="A55" t="str">
        <f>ToResult(語言列表!A55)</f>
        <v>4002</v>
      </c>
      <c r="B55" t="str">
        <f>ToResult(語言列表!B55)</f>
        <v>Quickly</v>
      </c>
      <c r="C55" t="str">
        <f>ToResult(語言列表!C55)</f>
        <v/>
      </c>
    </row>
    <row r="56" spans="1:3">
      <c r="A56" t="str">
        <f>ToResult(語言列表!A56)</f>
        <v>4003</v>
      </c>
      <c r="B56" t="str">
        <f>ToResult(語言列表!B56)</f>
        <v>Freeze</v>
      </c>
      <c r="C56" t="str">
        <f>ToResult(語言列表!C56)</f>
        <v/>
      </c>
    </row>
    <row r="57" spans="1:3">
      <c r="A57" t="str">
        <f>ToResult(語言列表!A57)</f>
        <v>4004</v>
      </c>
      <c r="B57" t="str">
        <f>ToResult(語言列表!B57)</f>
        <v>Chain</v>
      </c>
      <c r="C57" t="str">
        <f>ToResult(語言列表!C57)</f>
        <v/>
      </c>
    </row>
    <row r="58" spans="1:3">
      <c r="A58" t="str">
        <f>ToResult(語言列表!A58)</f>
        <v>4005</v>
      </c>
      <c r="B58" t="str">
        <f>ToResult(語言列表!B58)</f>
        <v>Headshot</v>
      </c>
      <c r="C58" t="str">
        <f>ToResult(語言列表!C58)</f>
        <v/>
      </c>
    </row>
    <row r="59" spans="1:3">
      <c r="A59" t="str">
        <f>ToResult(語言列表!A59)</f>
        <v>4006</v>
      </c>
      <c r="B59" t="str">
        <f>ToResult(語言列表!B59)</f>
        <v>Grenade</v>
      </c>
      <c r="C59" t="str">
        <f>ToResult(語言列表!C59)</f>
        <v/>
      </c>
    </row>
    <row r="60" spans="1:3">
      <c r="A60" t="str">
        <f>ToResult(語言列表!A60)</f>
        <v>4007</v>
      </c>
      <c r="B60" t="str">
        <f>ToResult(語言列表!B60)</f>
        <v>Spiked</v>
      </c>
      <c r="C60" t="str">
        <f>ToResult(語言列表!C60)</f>
        <v/>
      </c>
    </row>
    <row r="61" spans="1:3">
      <c r="A61" t="str">
        <f>ToResult(語言列表!A61)</f>
        <v>4008</v>
      </c>
      <c r="B61" t="str">
        <f>ToResult(語言列表!B61)</f>
        <v>Plasma</v>
      </c>
      <c r="C61" t="str">
        <f>ToResult(語言列表!C61)</f>
        <v/>
      </c>
    </row>
    <row r="62" spans="1:3">
      <c r="A62" t="str">
        <f>ToResult(語言列表!A62)</f>
        <v>5001</v>
      </c>
      <c r="B62" t="str">
        <f>ToResult(語言列表!B62)</f>
        <v>Flashligh can burn monster</v>
      </c>
      <c r="C62" t="str">
        <f>ToResult(語言列表!C62)</f>
        <v/>
      </c>
    </row>
    <row r="63" spans="1:3">
      <c r="A63" t="str">
        <f>ToResult(語言列表!A63)</f>
        <v>5002</v>
      </c>
      <c r="B63" t="str">
        <f>ToResult(語言列表!B63)</f>
        <v>Knife can throw faster</v>
      </c>
      <c r="C63" t="str">
        <f>ToResult(語言列表!C63)</f>
        <v/>
      </c>
    </row>
    <row r="64" spans="1:3">
      <c r="A64" t="str">
        <f>ToResult(語言列表!A64)</f>
        <v>5003</v>
      </c>
      <c r="B64" t="str">
        <f>ToResult(語言列表!B64)</f>
        <v>Pistol can freeze monster</v>
      </c>
      <c r="C64" t="str">
        <f>ToResult(語言列表!C64)</f>
        <v/>
      </c>
    </row>
    <row r="65" spans="1:3">
      <c r="A65" t="str">
        <f>ToResult(語言列表!A65)</f>
        <v>5004</v>
      </c>
      <c r="B65" t="str">
        <f>ToResult(語言列表!B65)</f>
        <v>Revolver can attack multiple monster</v>
      </c>
      <c r="C65" t="str">
        <f>ToResult(語言列表!C65)</f>
        <v/>
      </c>
    </row>
    <row r="66" spans="1:3">
      <c r="A66" t="str">
        <f>ToResult(語言列表!A66)</f>
        <v>5005</v>
      </c>
      <c r="B66" t="str">
        <f>ToResult(語言列表!B66)</f>
        <v>Desert Eagle's deal more critical damage</v>
      </c>
      <c r="C66" t="str">
        <f>ToResult(語言列表!C66)</f>
        <v/>
      </c>
    </row>
    <row r="67" spans="1:3">
      <c r="A67" t="str">
        <f>ToResult(語言列表!A67)</f>
        <v>5006</v>
      </c>
      <c r="B67" t="str">
        <f>ToResult(語言列表!B67)</f>
        <v>Submachine now shoot grenade</v>
      </c>
      <c r="C67" t="str">
        <f>ToResult(語言列表!C67)</f>
        <v/>
      </c>
    </row>
    <row r="68" spans="1:3">
      <c r="A68" t="str">
        <f>ToResult(語言列表!A68)</f>
        <v>5007</v>
      </c>
      <c r="B68" t="str">
        <f>ToResult(語言列表!B68)</f>
        <v>Assault rifle can attack monster on the line</v>
      </c>
      <c r="C68" t="str">
        <f>ToResult(語言列表!C68)</f>
        <v/>
      </c>
    </row>
    <row r="69" spans="1:3">
      <c r="A69" t="str">
        <f>ToResult(語言列表!A69)</f>
        <v>5008</v>
      </c>
      <c r="B69" t="str">
        <f>ToResult(語言列表!B69)</f>
        <v>Light machine gun now use battery to shoot plasma</v>
      </c>
      <c r="C69" t="str">
        <f>ToResult(語言列表!C69)</f>
        <v/>
      </c>
    </row>
    <row r="70" spans="1:3">
      <c r="A70" t="str">
        <f>ToResult(語言列表!A70)</f>
        <v>6001</v>
      </c>
      <c r="B70" t="str">
        <f>ToResult(語言列表!B70)</f>
        <v>Deal [FFFF00]{0}[-] damage / 2 sec</v>
      </c>
      <c r="C70" t="str">
        <f>ToResult(語言列表!C70)</f>
        <v/>
      </c>
    </row>
    <row r="71" spans="1:3">
      <c r="A71" t="str">
        <f>ToResult(語言列表!A71)</f>
        <v>6002</v>
      </c>
      <c r="B71" t="str">
        <f>ToResult(語言列表!B71)</f>
        <v>Knife attack every [FFFF00]{0}[-] second</v>
      </c>
      <c r="C71" t="str">
        <f>ToResult(語言列表!C71)</f>
        <v/>
      </c>
    </row>
    <row r="72" spans="1:3">
      <c r="A72" t="str">
        <f>ToResult(語言列表!A72)</f>
        <v>6003</v>
      </c>
      <c r="B72" t="str">
        <f>ToResult(語言列表!B72)</f>
        <v>Reduction [FFFF00]{0}%[-] move speed on hit</v>
      </c>
      <c r="C72" t="str">
        <f>ToResult(語言列表!C72)</f>
        <v/>
      </c>
    </row>
    <row r="73" spans="1:3">
      <c r="A73" t="str">
        <f>ToResult(語言列表!A73)</f>
        <v>6004</v>
      </c>
      <c r="B73" t="str">
        <f>ToResult(語言列表!B73)</f>
        <v>Extra attack [FFFF00]{0}[-] target\nreduction 2 damage when hit</v>
      </c>
      <c r="C73" t="str">
        <f>ToResult(語言列表!C73)</f>
        <v/>
      </c>
    </row>
    <row r="74" spans="1:3">
      <c r="A74" t="str">
        <f>ToResult(語言列表!A74)</f>
        <v>6005</v>
      </c>
      <c r="B74" t="str">
        <f>ToResult(語言列表!B74)</f>
        <v>[FFFF00]{0}%[-] critical damage</v>
      </c>
      <c r="C74" t="str">
        <f>ToResult(語言列表!C74)</f>
        <v/>
      </c>
    </row>
    <row r="75" spans="1:3">
      <c r="A75" t="str">
        <f>ToResult(語言列表!A75)</f>
        <v>6006</v>
      </c>
      <c r="B75" t="str">
        <f>ToResult(語言列表!B75)</f>
        <v>Deal [FFFF00]{0}[-] area damage</v>
      </c>
      <c r="C75" t="str">
        <f>ToResult(語言列表!C75)</f>
        <v/>
      </c>
    </row>
    <row r="76" spans="1:3">
      <c r="A76" t="str">
        <f>ToResult(語言列表!A76)</f>
        <v>6007</v>
      </c>
      <c r="B76" t="str">
        <f>ToResult(語言列表!B76)</f>
        <v>Extar attack [FFFF00]{0}[-] target</v>
      </c>
      <c r="C76" t="str">
        <f>ToResult(語言列表!C76)</f>
        <v/>
      </c>
    </row>
    <row r="77" spans="1:3">
      <c r="A77" t="str">
        <f>ToResult(語言列表!A77)</f>
        <v>6008</v>
      </c>
      <c r="B77" t="str">
        <f>ToResult(語言列表!B77)</f>
        <v>[FFFF00]+{0}[-] bonus damage</v>
      </c>
      <c r="C77" t="str">
        <f>ToResult(語言列表!C77)</f>
        <v/>
      </c>
    </row>
    <row r="78" spans="1:3">
      <c r="A78" t="str">
        <f>ToResult(語言列表!A78)</f>
        <v>7001</v>
      </c>
      <c r="B78" t="str">
        <f>ToResult(語言列表!B78)</f>
        <v>Achievement1</v>
      </c>
      <c r="C78" t="str">
        <f>ToResult(語言列表!C78)</f>
        <v/>
      </c>
    </row>
    <row r="79" spans="1:3">
      <c r="A79" t="str">
        <f>ToResult(語言列表!A79)</f>
        <v>7002</v>
      </c>
      <c r="B79" t="str">
        <f>ToResult(語言列表!B79)</f>
        <v>Achievement2</v>
      </c>
      <c r="C79" t="str">
        <f>ToResult(語言列表!C79)</f>
        <v/>
      </c>
    </row>
    <row r="80" spans="1:3">
      <c r="A80" t="str">
        <f>ToResult(語言列表!A80)</f>
        <v>7003</v>
      </c>
      <c r="B80" t="str">
        <f>ToResult(語言列表!B80)</f>
        <v>Achievement3</v>
      </c>
      <c r="C80" t="str">
        <f>ToResult(語言列表!C80)</f>
        <v/>
      </c>
    </row>
    <row r="81" spans="1:3">
      <c r="A81" t="str">
        <f>ToResult(語言列表!A81)</f>
        <v>7004</v>
      </c>
      <c r="B81" t="str">
        <f>ToResult(語言列表!B81)</f>
        <v>Achievement4</v>
      </c>
      <c r="C81" t="str">
        <f>ToResult(語言列表!C81)</f>
        <v/>
      </c>
    </row>
    <row r="82" spans="1:3">
      <c r="A82" t="str">
        <f>ToResult(語言列表!A82)</f>
        <v>7005</v>
      </c>
      <c r="B82" t="str">
        <f>ToResult(語言列表!B82)</f>
        <v>Achievement5</v>
      </c>
      <c r="C82" t="str">
        <f>ToResult(語言列表!C82)</f>
        <v/>
      </c>
    </row>
    <row r="83" spans="1:3">
      <c r="A83" t="str">
        <f>ToResult(語言列表!A83)</f>
        <v>7006</v>
      </c>
      <c r="B83" t="str">
        <f>ToResult(語言列表!B83)</f>
        <v>Achievement6</v>
      </c>
      <c r="C83" t="str">
        <f>ToResult(語言列表!C83)</f>
        <v/>
      </c>
    </row>
    <row r="84" spans="1:3">
      <c r="A84" t="str">
        <f>ToResult(語言列表!A84)</f>
        <v>7007</v>
      </c>
      <c r="B84" t="str">
        <f>ToResult(語言列表!B84)</f>
        <v>Achievement7</v>
      </c>
      <c r="C84" t="str">
        <f>ToResult(語言列表!C84)</f>
        <v/>
      </c>
    </row>
    <row r="85" spans="1:3">
      <c r="A85" t="str">
        <f>ToResult(語言列表!A85)</f>
        <v>7008</v>
      </c>
      <c r="B85" t="str">
        <f>ToResult(語言列表!B85)</f>
        <v>Achievement8</v>
      </c>
      <c r="C85" t="str">
        <f>ToResult(語言列表!C85)</f>
        <v/>
      </c>
    </row>
    <row r="86" spans="1:3">
      <c r="A86" t="str">
        <f>ToResult(語言列表!A86)</f>
        <v>7009</v>
      </c>
      <c r="B86" t="str">
        <f>ToResult(語言列表!B86)</f>
        <v>Achievement9</v>
      </c>
      <c r="C86" t="str">
        <f>ToResult(語言列表!C86)</f>
        <v/>
      </c>
    </row>
    <row r="87" spans="1:3">
      <c r="A87" t="str">
        <f>ToResult(語言列表!A87)</f>
        <v>7010</v>
      </c>
      <c r="B87" t="str">
        <f>ToResult(語言列表!B87)</f>
        <v>Achievement10</v>
      </c>
      <c r="C87" t="str">
        <f>ToResult(語言列表!C87)</f>
        <v/>
      </c>
    </row>
    <row r="88" spans="1:3">
      <c r="A88" t="str">
        <f>ToResult(語言列表!A88)</f>
        <v>7011</v>
      </c>
      <c r="B88" t="str">
        <f>ToResult(語言列表!B88)</f>
        <v>Achievement11</v>
      </c>
      <c r="C88" t="str">
        <f>ToResult(語言列表!C88)</f>
        <v/>
      </c>
    </row>
    <row r="89" spans="1:3">
      <c r="A89" t="str">
        <f>ToResult(語言列表!A89)</f>
        <v>8001</v>
      </c>
      <c r="B89" t="str">
        <f>ToResult(語言列表!B89)</f>
        <v>Stage clear in single round</v>
      </c>
      <c r="C89" t="str">
        <f>ToResult(語言列表!C89)</f>
        <v/>
      </c>
    </row>
    <row r="90" spans="1:3">
      <c r="A90" t="str">
        <f>ToResult(語言列表!A90)</f>
        <v>8002</v>
      </c>
      <c r="B90" t="str">
        <f>ToResult(語言列表!B90)</f>
        <v>Save member in single round</v>
      </c>
      <c r="C90" t="str">
        <f>ToResult(語言列表!C90)</f>
        <v/>
      </c>
    </row>
    <row r="91" spans="1:3">
      <c r="A91" t="str">
        <f>ToResult(語言列表!A91)</f>
        <v>8003</v>
      </c>
      <c r="B91" t="str">
        <f>ToResult(語言列表!B91)</f>
        <v>Fire member in single round</v>
      </c>
      <c r="C91" t="str">
        <f>ToResult(語言列表!C91)</f>
        <v/>
      </c>
    </row>
    <row r="92" spans="1:3">
      <c r="A92" t="str">
        <f>ToResult(語言列表!A92)</f>
        <v>8004</v>
      </c>
      <c r="B92" t="str">
        <f>ToResult(語言列表!B92)</f>
        <v>Total stage clear</v>
      </c>
      <c r="C92" t="str">
        <f>ToResult(語言列表!C92)</f>
        <v/>
      </c>
    </row>
    <row r="93" spans="1:3">
      <c r="A93" t="str">
        <f>ToResult(語言列表!A93)</f>
        <v>8005</v>
      </c>
      <c r="B93" t="str">
        <f>ToResult(語言列表!B93)</f>
        <v>Total crystal</v>
      </c>
      <c r="C93" t="str">
        <f>ToResult(語言列表!C93)</f>
        <v/>
      </c>
    </row>
    <row r="94" spans="1:3">
      <c r="A94" t="str">
        <f>ToResult(語言列表!A94)</f>
        <v>8006</v>
      </c>
      <c r="B94" t="str">
        <f>ToResult(語言列表!B94)</f>
        <v>Total gold</v>
      </c>
      <c r="C94" t="str">
        <f>ToResult(語言列表!C94)</f>
        <v/>
      </c>
    </row>
    <row r="95" spans="1:3">
      <c r="A95" t="str">
        <f>ToResult(語言列表!A95)</f>
        <v>8007</v>
      </c>
      <c r="B95" t="str">
        <f>ToResult(語言列表!B95)</f>
        <v>Total battery</v>
      </c>
      <c r="C95" t="str">
        <f>ToResult(語言列表!C95)</f>
        <v/>
      </c>
    </row>
    <row r="96" spans="1:3">
      <c r="A96" t="str">
        <f>ToResult(語言列表!A96)</f>
        <v>8008</v>
      </c>
      <c r="B96" t="str">
        <f>ToResult(語言列表!B96)</f>
        <v>Total light ammo</v>
      </c>
      <c r="C96" t="str">
        <f>ToResult(語言列表!C96)</f>
        <v/>
      </c>
    </row>
    <row r="97" spans="1:3">
      <c r="A97" t="str">
        <f>ToResult(語言列表!A97)</f>
        <v>8009</v>
      </c>
      <c r="B97" t="str">
        <f>ToResult(語言列表!B97)</f>
        <v>Total heavy ammo</v>
      </c>
      <c r="C97" t="str">
        <f>ToResult(語言列表!C97)</f>
        <v/>
      </c>
    </row>
    <row r="98" spans="1:3">
      <c r="A98" t="str">
        <f>ToResult(語言列表!A98)</f>
        <v>8010</v>
      </c>
      <c r="B98" t="str">
        <f>ToResult(語言列表!B98)</f>
        <v>Total bomb</v>
      </c>
      <c r="C98" t="str">
        <f>ToResult(語言列表!C98)</f>
        <v/>
      </c>
    </row>
    <row r="99" spans="1:3">
      <c r="A99" t="str">
        <f>ToResult(語言列表!A99)</f>
        <v>8011</v>
      </c>
      <c r="B99" t="str">
        <f>ToResult(語言列表!B99)</f>
        <v>Total monster kill</v>
      </c>
      <c r="C99" t="str">
        <f>ToResult(語言列表!C99)</f>
        <v/>
      </c>
    </row>
    <row r="100" spans="1:3">
      <c r="A100" t="str">
        <f>ToResult(語言列表!A100)</f>
        <v>9001</v>
      </c>
      <c r="B100" t="str">
        <f>ToResult(語言列表!B100)</f>
        <v>Get new member look</v>
      </c>
    </row>
    <row r="101" spans="1:3">
      <c r="A101" t="str">
        <f>ToResult(語言列表!A101)</f>
        <v>9002</v>
      </c>
      <c r="B101" t="str">
        <f>ToResult(語言列表!B101)</f>
        <v>Start gold [FFFF00]+{0}[-]</v>
      </c>
    </row>
    <row r="102" spans="1:3">
      <c r="A102" t="str">
        <f>ToResult(語言列表!A102)</f>
        <v>9003</v>
      </c>
      <c r="B102" t="str">
        <f>ToResult(語言列表!B102)</f>
        <v>Start battery [FFFF00]+{0}[-]</v>
      </c>
    </row>
    <row r="103" spans="1:3">
      <c r="A103" t="str">
        <f>ToResult(語言列表!A103)</f>
        <v>9004</v>
      </c>
      <c r="B103" t="str">
        <f>ToResult(語言列表!B103)</f>
        <v>Start light ammo [FFFF00]+{0}[-]</v>
      </c>
    </row>
    <row r="104" spans="1:3">
      <c r="A104" t="str">
        <f>ToResult(語言列表!A104)</f>
        <v>9005</v>
      </c>
      <c r="B104" t="str">
        <f>ToResult(語言列表!B104)</f>
        <v>Start heavy ammo [FFFF00]+{0}[-]</v>
      </c>
    </row>
    <row r="105" spans="1:3">
      <c r="A105" t="str">
        <f>ToResult(語言列表!A105)</f>
        <v>9006</v>
      </c>
      <c r="B105" t="str">
        <f>ToResult(語言列表!B105)</f>
        <v>Start bomb [FFFF00]+{0}[-]</v>
      </c>
    </row>
    <row r="106" spans="1:3">
      <c r="A106" t="str">
        <f>ToResult(語言列表!A106)</f>
        <v/>
      </c>
      <c r="B106" t="str">
        <f>ToResult(語言列表!B106)</f>
        <v/>
      </c>
    </row>
    <row r="107" spans="1:3">
      <c r="A107" t="str">
        <f>ToResult(語言列表!A107)</f>
        <v/>
      </c>
      <c r="B107" t="str">
        <f>ToResult(語言列表!B107)</f>
        <v/>
      </c>
    </row>
    <row r="108" spans="1:3">
      <c r="A108" t="str">
        <f>ToResult(語言列表!A108)</f>
        <v/>
      </c>
      <c r="B108" t="str">
        <f>ToResult(語言列表!B108)</f>
        <v/>
      </c>
    </row>
    <row r="109" spans="1:3">
      <c r="A109" t="str">
        <f>ToResult(語言列表!A109)</f>
        <v/>
      </c>
      <c r="B109" t="str">
        <f>ToResult(語言列表!B109)</f>
        <v/>
      </c>
    </row>
    <row r="110" spans="1:3">
      <c r="A110" t="str">
        <f>ToResult(語言列表!A110)</f>
        <v/>
      </c>
      <c r="B110" t="str">
        <f>ToResult(語言列表!B110)</f>
        <v/>
      </c>
    </row>
    <row r="111" spans="1:3">
      <c r="A111" t="str">
        <f>ToResult(語言列表!A111)</f>
        <v/>
      </c>
      <c r="B111" t="str">
        <f>ToResult(語言列表!B111)</f>
        <v/>
      </c>
    </row>
    <row r="112" spans="1:3">
      <c r="A112" t="str">
        <f>ToResult(語言列表!A112)</f>
        <v/>
      </c>
      <c r="B112" t="str">
        <f>ToResult(語言列表!B112)</f>
        <v/>
      </c>
    </row>
    <row r="113" spans="1:2">
      <c r="A113" t="str">
        <f>ToResult(語言列表!A113)</f>
        <v/>
      </c>
      <c r="B113" t="str">
        <f>ToResult(語言列表!B113)</f>
        <v/>
      </c>
    </row>
    <row r="114" spans="1:2">
      <c r="A114" t="str">
        <f>ToResult(語言列表!A114)</f>
        <v/>
      </c>
      <c r="B114" t="str">
        <f>ToResult(語言列表!B114)</f>
        <v/>
      </c>
    </row>
    <row r="115" spans="1:2">
      <c r="A115" t="str">
        <f>ToResult(語言列表!A115)</f>
        <v/>
      </c>
      <c r="B115" t="str">
        <f>ToResult(語言列表!B115)</f>
        <v/>
      </c>
    </row>
    <row r="116" spans="1:2">
      <c r="A116" t="str">
        <f>ToResult(語言列表!A116)</f>
        <v/>
      </c>
      <c r="B116" t="str">
        <f>ToResult(語言列表!B116)</f>
        <v/>
      </c>
    </row>
    <row r="117" spans="1:2">
      <c r="A117" t="str">
        <f>ToResult(語言列表!A117)</f>
        <v/>
      </c>
      <c r="B117" t="str">
        <f>ToResult(語言列表!B117)</f>
        <v/>
      </c>
    </row>
    <row r="118" spans="1:2">
      <c r="A118" t="str">
        <f>ToResult(語言列表!A118)</f>
        <v/>
      </c>
      <c r="B118" t="str">
        <f>ToResult(語言列表!B118)</f>
        <v/>
      </c>
    </row>
    <row r="119" spans="1:2">
      <c r="A119" t="str">
        <f>ToResult(語言列表!A119)</f>
        <v/>
      </c>
      <c r="B119" t="str">
        <f>ToResult(語言列表!B119)</f>
        <v/>
      </c>
    </row>
    <row r="120" spans="1:2">
      <c r="A120" t="str">
        <f>ToResult(語言列表!A120)</f>
        <v/>
      </c>
      <c r="B120" t="str">
        <f>ToResult(語言列表!B120)</f>
        <v/>
      </c>
    </row>
    <row r="121" spans="1:2">
      <c r="A121" t="str">
        <f>ToResult(語言列表!A121)</f>
        <v/>
      </c>
      <c r="B121" t="str">
        <f>ToResult(語言列表!B121)</f>
        <v/>
      </c>
    </row>
    <row r="122" spans="1:2">
      <c r="A122" t="str">
        <f>ToResult(語言列表!A122)</f>
        <v/>
      </c>
      <c r="B122" t="str">
        <f>ToResult(語言列表!B122)</f>
        <v/>
      </c>
    </row>
    <row r="123" spans="1:2">
      <c r="A123" t="str">
        <f>ToResult(語言列表!A123)</f>
        <v/>
      </c>
      <c r="B123" t="str">
        <f>ToResult(語言列表!B123)</f>
        <v/>
      </c>
    </row>
    <row r="124" spans="1:2">
      <c r="A124" t="str">
        <f>ToResult(語言列表!A124)</f>
        <v/>
      </c>
      <c r="B124" t="str">
        <f>ToResult(語言列表!B124)</f>
        <v/>
      </c>
    </row>
    <row r="125" spans="1:2">
      <c r="A125" t="str">
        <f>ToResult(語言列表!A125)</f>
        <v/>
      </c>
      <c r="B125" t="str">
        <f>ToResult(語言列表!B125)</f>
        <v/>
      </c>
    </row>
    <row r="126" spans="1:2">
      <c r="A126" t="str">
        <f>ToResult(語言列表!A126)</f>
        <v/>
      </c>
      <c r="B126" t="str">
        <f>ToResult(語言列表!B126)</f>
        <v/>
      </c>
    </row>
    <row r="127" spans="1:2">
      <c r="A127" t="str">
        <f>ToResult(語言列表!A127)</f>
        <v/>
      </c>
      <c r="B127" t="str">
        <f>ToResult(語言列表!B127)</f>
        <v/>
      </c>
    </row>
    <row r="128" spans="1:2">
      <c r="A128" t="str">
        <f>ToResult(語言列表!A128)</f>
        <v/>
      </c>
      <c r="B128" t="str">
        <f>ToResult(語言列表!B128)</f>
        <v/>
      </c>
    </row>
    <row r="129" spans="1:2">
      <c r="A129" t="str">
        <f>ToResult(語言列表!A129)</f>
        <v/>
      </c>
      <c r="B129" t="str">
        <f>ToResult(語言列表!B129)</f>
        <v/>
      </c>
    </row>
    <row r="130" spans="1:2">
      <c r="A130" t="str">
        <f>ToResult(語言列表!A130)</f>
        <v/>
      </c>
      <c r="B130" t="str">
        <f>ToResult(語言列表!B130)</f>
        <v/>
      </c>
    </row>
    <row r="131" spans="1:2">
      <c r="A131" t="str">
        <f>ToResult(語言列表!A131)</f>
        <v/>
      </c>
      <c r="B131" t="str">
        <f>ToResult(語言列表!B131)</f>
        <v/>
      </c>
    </row>
    <row r="132" spans="1:2">
      <c r="A132" t="str">
        <f>ToResult(語言列表!A132)</f>
        <v/>
      </c>
      <c r="B132" t="str">
        <f>ToResult(語言列表!B132)</f>
        <v/>
      </c>
    </row>
    <row r="133" spans="1:2">
      <c r="A133" t="str">
        <f>ToResult(語言列表!A133)</f>
        <v/>
      </c>
      <c r="B133" t="str">
        <f>ToResult(語言列表!B133)</f>
        <v/>
      </c>
    </row>
    <row r="134" spans="1:2">
      <c r="A134" t="str">
        <f>ToResult(語言列表!A134)</f>
        <v/>
      </c>
      <c r="B134" t="str">
        <f>ToResult(語言列表!B134)</f>
        <v/>
      </c>
    </row>
    <row r="135" spans="1:2">
      <c r="A135" t="str">
        <f>ToResult(語言列表!A135)</f>
        <v/>
      </c>
      <c r="B135" t="str">
        <f>ToResult(語言列表!B135)</f>
        <v/>
      </c>
    </row>
    <row r="136" spans="1:2">
      <c r="A136" t="str">
        <f>ToResult(語言列表!A136)</f>
        <v/>
      </c>
      <c r="B136" t="str">
        <f>ToResult(語言列表!B136)</f>
        <v/>
      </c>
    </row>
    <row r="137" spans="1:2">
      <c r="A137" t="str">
        <f>ToResult(語言列表!A137)</f>
        <v/>
      </c>
      <c r="B137" t="str">
        <f>ToResult(語言列表!B137)</f>
        <v/>
      </c>
    </row>
    <row r="138" spans="1:2">
      <c r="A138" t="str">
        <f>ToResult(語言列表!A138)</f>
        <v/>
      </c>
      <c r="B138" t="str">
        <f>ToResult(語言列表!B138)</f>
        <v/>
      </c>
    </row>
    <row r="139" spans="1:2">
      <c r="A139" t="str">
        <f>ToResult(語言列表!A139)</f>
        <v/>
      </c>
      <c r="B139" t="str">
        <f>ToResult(語言列表!B139)</f>
        <v/>
      </c>
    </row>
    <row r="140" spans="1:2">
      <c r="A140" t="str">
        <f>ToResult(語言列表!A140)</f>
        <v/>
      </c>
      <c r="B140" t="str">
        <f>ToResult(語言列表!B140)</f>
        <v/>
      </c>
    </row>
    <row r="141" spans="1:2">
      <c r="A141" t="str">
        <f>ToResult(語言列表!A141)</f>
        <v/>
      </c>
      <c r="B141" t="str">
        <f>ToResult(語言列表!B141)</f>
        <v/>
      </c>
    </row>
    <row r="142" spans="1:2">
      <c r="A142" t="str">
        <f>ToResult(語言列表!A142)</f>
        <v/>
      </c>
      <c r="B142" t="str">
        <f>ToResult(語言列表!B142)</f>
        <v/>
      </c>
    </row>
    <row r="143" spans="1:2">
      <c r="A143" t="str">
        <f>ToResult(語言列表!A143)</f>
        <v/>
      </c>
      <c r="B143" t="str">
        <f>ToResult(語言列表!B143)</f>
        <v/>
      </c>
    </row>
    <row r="144" spans="1:2">
      <c r="A144" t="str">
        <f>ToResult(語言列表!A144)</f>
        <v/>
      </c>
      <c r="B144" t="str">
        <f>ToResult(語言列表!B144)</f>
        <v/>
      </c>
    </row>
    <row r="145" spans="1:2">
      <c r="A145" t="str">
        <f>ToResult(語言列表!A145)</f>
        <v/>
      </c>
      <c r="B145" t="str">
        <f>ToResult(語言列表!B145)</f>
        <v/>
      </c>
    </row>
    <row r="146" spans="1:2">
      <c r="A146" t="str">
        <f>ToResult(語言列表!A146)</f>
        <v/>
      </c>
      <c r="B146" t="str">
        <f>ToResult(語言列表!B146)</f>
        <v/>
      </c>
    </row>
    <row r="147" spans="1:2">
      <c r="A147" t="str">
        <f>ToResult(語言列表!A147)</f>
        <v/>
      </c>
      <c r="B147" t="str">
        <f>ToResult(語言列表!B147)</f>
        <v/>
      </c>
    </row>
    <row r="148" spans="1:2">
      <c r="A148" t="str">
        <f>ToResult(語言列表!A148)</f>
        <v/>
      </c>
      <c r="B148" t="str">
        <f>ToResult(語言列表!B148)</f>
        <v/>
      </c>
    </row>
    <row r="149" spans="1:2">
      <c r="A149" t="str">
        <f>ToResult(語言列表!A149)</f>
        <v/>
      </c>
      <c r="B149" t="str">
        <f>ToResult(語言列表!B149)</f>
        <v/>
      </c>
    </row>
    <row r="150" spans="1:2">
      <c r="A150" t="str">
        <f>ToResult(語言列表!A150)</f>
        <v/>
      </c>
      <c r="B150" t="str">
        <f>ToResult(語言列表!B150)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J100"/>
  <sheetViews>
    <sheetView workbookViewId="0">
      <selection activeCell="C5" sqref="C5"/>
    </sheetView>
  </sheetViews>
  <sheetFormatPr defaultRowHeight="16.5"/>
  <cols>
    <col min="1" max="10" width="15.625" customWidth="1"/>
  </cols>
  <sheetData>
    <row r="1" spans="1:10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Threat</v>
      </c>
      <c r="E1" t="str">
        <f>裝備!E1</f>
        <v>Gain</v>
      </c>
      <c r="F1" t="str">
        <f>裝備!F1</f>
        <v>Damage</v>
      </c>
      <c r="G1" t="str">
        <f>裝備!G1</f>
        <v>CriticalStrike</v>
      </c>
      <c r="H1" t="str">
        <f>裝備!H1</f>
        <v>FireRate</v>
      </c>
      <c r="I1" t="str">
        <f>裝備!I1</f>
        <v>Range</v>
      </c>
      <c r="J1" t="str">
        <f>裝備!J1</f>
        <v>Resource</v>
      </c>
    </row>
    <row r="2" spans="1:10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3</v>
      </c>
      <c r="E2" t="str">
        <f>ToResult(裝備!E2)</f>
        <v>1</v>
      </c>
      <c r="F2" t="str">
        <f>ToResult(裝備!F2)</f>
        <v>0</v>
      </c>
      <c r="G2" t="str">
        <f>ToResult(裝備!G2)</f>
        <v>0</v>
      </c>
      <c r="H2" t="str">
        <f>ToResult(裝備!H2)</f>
        <v>0</v>
      </c>
      <c r="I2" t="str">
        <f>ToEquipRange(裝備!I2)</f>
        <v>2</v>
      </c>
      <c r="J2" t="str">
        <f>ToEquipResource(裝備!J2)</f>
        <v>1</v>
      </c>
    </row>
    <row r="3" spans="1:10">
      <c r="A3" t="str">
        <f>ToResult(裝備!A3)</f>
        <v>2</v>
      </c>
      <c r="B3" t="str">
        <f>ToResult(裝備!B3)</f>
        <v>1002</v>
      </c>
      <c r="C3" t="str">
        <f>ToEquipMode(裝備!C3)</f>
        <v>2</v>
      </c>
      <c r="D3" t="str">
        <f>ToResult(裝備!D3)</f>
        <v>4</v>
      </c>
      <c r="E3" t="str">
        <f>ToResult(裝備!E3)</f>
        <v>8</v>
      </c>
      <c r="F3" t="str">
        <f>ToResult(裝備!F3)</f>
        <v>25</v>
      </c>
      <c r="G3" t="str">
        <f>ToResult(裝備!G3)</f>
        <v>0</v>
      </c>
      <c r="H3" t="str">
        <f>ToResult(裝備!H3)</f>
        <v>2</v>
      </c>
      <c r="I3" t="str">
        <f>ToEquipRange(裝備!I3)</f>
        <v>2</v>
      </c>
      <c r="J3" t="str">
        <f>ToEquipResource(裝備!J3)</f>
        <v>0</v>
      </c>
    </row>
    <row r="4" spans="1:10">
      <c r="A4" t="str">
        <f>ToResult(裝備!A4)</f>
        <v>3</v>
      </c>
      <c r="B4" t="str">
        <f>ToResult(裝備!B4)</f>
        <v>1003</v>
      </c>
      <c r="C4" t="str">
        <f>ToEquipMode(裝備!C4)</f>
        <v>2</v>
      </c>
      <c r="D4" t="str">
        <f>ToResult(裝備!D4)</f>
        <v>6</v>
      </c>
      <c r="E4" t="str">
        <f>ToResult(裝備!E4)</f>
        <v>12</v>
      </c>
      <c r="F4" t="str">
        <f>ToResult(裝備!F4)</f>
        <v>30</v>
      </c>
      <c r="G4" t="str">
        <f>ToResult(裝備!G4)</f>
        <v>0</v>
      </c>
      <c r="H4" t="str">
        <f>ToResult(裝備!H4)</f>
        <v>1</v>
      </c>
      <c r="I4" t="str">
        <f>ToEquipRange(裝備!I4)</f>
        <v>2</v>
      </c>
      <c r="J4" t="str">
        <f>ToEquipResource(裝備!J4)</f>
        <v>2</v>
      </c>
    </row>
    <row r="5" spans="1:10">
      <c r="A5" t="str">
        <f>ToResult(裝備!A5)</f>
        <v>4</v>
      </c>
      <c r="B5" t="str">
        <f>ToResult(裝備!B5)</f>
        <v>1004</v>
      </c>
      <c r="C5" t="str">
        <f>ToEquipMode(裝備!C5)</f>
        <v>2</v>
      </c>
      <c r="D5" t="str">
        <f>ToResult(裝備!D5)</f>
        <v>8</v>
      </c>
      <c r="E5" t="str">
        <f>ToResult(裝備!E5)</f>
        <v>10</v>
      </c>
      <c r="F5" t="str">
        <f>ToResult(裝備!F5)</f>
        <v>30</v>
      </c>
      <c r="G5" t="str">
        <f>ToResult(裝備!G5)</f>
        <v>0.2</v>
      </c>
      <c r="H5" t="str">
        <f>ToResult(裝備!H5)</f>
        <v>1</v>
      </c>
      <c r="I5" t="str">
        <f>ToEquipRange(裝備!I5)</f>
        <v>2</v>
      </c>
      <c r="J5" t="str">
        <f>ToEquipResource(裝備!J5)</f>
        <v>2</v>
      </c>
    </row>
    <row r="6" spans="1:10">
      <c r="A6" t="str">
        <f>ToResult(裝備!A6)</f>
        <v>5</v>
      </c>
      <c r="B6" t="str">
        <f>ToResult(裝備!B6)</f>
        <v>1005</v>
      </c>
      <c r="C6" t="str">
        <f>ToEquipMode(裝備!C6)</f>
        <v>2</v>
      </c>
      <c r="D6" t="str">
        <f>ToResult(裝備!D6)</f>
        <v>10</v>
      </c>
      <c r="E6" t="str">
        <f>ToResult(裝備!E6)</f>
        <v>8</v>
      </c>
      <c r="F6" t="str">
        <f>ToResult(裝備!F6)</f>
        <v>60</v>
      </c>
      <c r="G6" t="str">
        <f>ToResult(裝備!G6)</f>
        <v>0.75</v>
      </c>
      <c r="H6" t="str">
        <f>ToResult(裝備!H6)</f>
        <v>2.5</v>
      </c>
      <c r="I6" t="str">
        <f>ToEquipRange(裝備!I6)</f>
        <v>2</v>
      </c>
      <c r="J6" t="str">
        <f>ToEquipResource(裝備!J6)</f>
        <v>2</v>
      </c>
    </row>
    <row r="7" spans="1:10">
      <c r="A7" t="str">
        <f>ToResult(裝備!A7)</f>
        <v>6</v>
      </c>
      <c r="B7" t="str">
        <f>ToResult(裝備!B7)</f>
        <v>1006</v>
      </c>
      <c r="C7" t="str">
        <f>ToEquipMode(裝備!C7)</f>
        <v>2</v>
      </c>
      <c r="D7" t="str">
        <f>ToResult(裝備!D7)</f>
        <v>12</v>
      </c>
      <c r="E7" t="str">
        <f>ToResult(裝備!E7)</f>
        <v>8</v>
      </c>
      <c r="F7" t="str">
        <f>ToResult(裝備!F7)</f>
        <v>40</v>
      </c>
      <c r="G7" t="str">
        <f>ToResult(裝備!G7)</f>
        <v>0.2</v>
      </c>
      <c r="H7" t="str">
        <f>ToResult(裝備!H7)</f>
        <v>1</v>
      </c>
      <c r="I7" t="str">
        <f>ToEquipRange(裝備!I7)</f>
        <v>2</v>
      </c>
      <c r="J7" t="str">
        <f>ToEquipResource(裝備!J7)</f>
        <v>3</v>
      </c>
    </row>
    <row r="8" spans="1:10">
      <c r="A8" t="str">
        <f>ToResult(裝備!A8)</f>
        <v>7</v>
      </c>
      <c r="B8" t="str">
        <f>ToResult(裝備!B8)</f>
        <v>1007</v>
      </c>
      <c r="C8" t="str">
        <f>ToEquipMode(裝備!C8)</f>
        <v>2</v>
      </c>
      <c r="D8" t="str">
        <f>ToResult(裝備!D8)</f>
        <v>14</v>
      </c>
      <c r="E8" t="str">
        <f>ToResult(裝備!E8)</f>
        <v>10</v>
      </c>
      <c r="F8" t="str">
        <f>ToResult(裝備!F8)</f>
        <v>20</v>
      </c>
      <c r="G8" t="str">
        <f>ToResult(裝備!G8)</f>
        <v>0.35</v>
      </c>
      <c r="H8" t="str">
        <f>ToResult(裝備!H8)</f>
        <v>0.5</v>
      </c>
      <c r="I8" t="str">
        <f>ToEquipRange(裝備!I8)</f>
        <v>2</v>
      </c>
      <c r="J8" t="str">
        <f>ToEquipResource(裝備!J8)</f>
        <v>3</v>
      </c>
    </row>
    <row r="9" spans="1:10">
      <c r="A9" t="str">
        <f>ToResult(裝備!A9)</f>
        <v>8</v>
      </c>
      <c r="B9" t="str">
        <f>ToResult(裝備!B9)</f>
        <v>1008</v>
      </c>
      <c r="C9" t="str">
        <f>ToEquipMode(裝備!C9)</f>
        <v>2</v>
      </c>
      <c r="D9" t="str">
        <f>ToResult(裝備!D9)</f>
        <v>16</v>
      </c>
      <c r="E9" t="str">
        <f>ToResult(裝備!E9)</f>
        <v>6</v>
      </c>
      <c r="F9" t="str">
        <f>ToResult(裝備!F9)</f>
        <v>15</v>
      </c>
      <c r="G9" t="str">
        <f>ToResult(裝備!G9)</f>
        <v>0</v>
      </c>
      <c r="H9" t="str">
        <f>ToResult(裝備!H9)</f>
        <v>0.25</v>
      </c>
      <c r="I9" t="str">
        <f>ToEquipRange(裝備!I9)</f>
        <v>2</v>
      </c>
      <c r="J9" t="str">
        <f>ToEquipResource(裝備!J9)</f>
        <v>3</v>
      </c>
    </row>
    <row r="10" spans="1:10">
      <c r="A10" t="str">
        <f>ToResult(裝備!A10)</f>
        <v/>
      </c>
      <c r="B10" t="str">
        <f>ToResult(裝備!B10)</f>
        <v/>
      </c>
      <c r="C10" t="str">
        <f>ToEquipMode(裝備!C10)</f>
        <v/>
      </c>
      <c r="D10" t="str">
        <f>ToResult(裝備!D10)</f>
        <v/>
      </c>
      <c r="E10" t="str">
        <f>ToResult(裝備!E10)</f>
        <v/>
      </c>
      <c r="F10" t="str">
        <f>ToResult(裝備!F10)</f>
        <v/>
      </c>
      <c r="G10" t="str">
        <f>ToResult(裝備!G10)</f>
        <v/>
      </c>
      <c r="H10" t="str">
        <f>ToResult(裝備!H10)</f>
        <v/>
      </c>
      <c r="I10" t="str">
        <f>ToEquipRange(裝備!I10)</f>
        <v/>
      </c>
      <c r="J10" t="str">
        <f>ToEquipResource(裝備!J10)</f>
        <v/>
      </c>
    </row>
    <row r="11" spans="1:10">
      <c r="A11" t="str">
        <f>ToResult(裝備!A11)</f>
        <v/>
      </c>
      <c r="B11" t="str">
        <f>ToResult(裝備!B11)</f>
        <v/>
      </c>
      <c r="C11" t="str">
        <f>ToEquipMode(裝備!C11)</f>
        <v/>
      </c>
      <c r="D11" t="str">
        <f>ToResult(裝備!D11)</f>
        <v/>
      </c>
      <c r="E11" t="str">
        <f>ToResult(裝備!E11)</f>
        <v/>
      </c>
      <c r="F11" t="str">
        <f>ToResult(裝備!F11)</f>
        <v/>
      </c>
      <c r="G11" t="str">
        <f>ToResult(裝備!G11)</f>
        <v/>
      </c>
      <c r="H11" t="str">
        <f>ToResult(裝備!H11)</f>
        <v/>
      </c>
      <c r="I11" t="str">
        <f>ToEquipRange(裝備!I11)</f>
        <v/>
      </c>
      <c r="J11" t="str">
        <f>ToEquipResource(裝備!J11)</f>
        <v/>
      </c>
    </row>
    <row r="12" spans="1:10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ToResult(裝備!G12)</f>
        <v/>
      </c>
      <c r="H12" t="str">
        <f>ToResult(裝備!H12)</f>
        <v/>
      </c>
      <c r="I12" t="str">
        <f>ToEquipRange(裝備!I12)</f>
        <v/>
      </c>
      <c r="J12" t="str">
        <f>ToEquipResource(裝備!J12)</f>
        <v/>
      </c>
    </row>
    <row r="13" spans="1:10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ToResult(裝備!G13)</f>
        <v/>
      </c>
      <c r="H13" t="str">
        <f>ToResult(裝備!H13)</f>
        <v/>
      </c>
      <c r="I13" t="str">
        <f>ToEquipRange(裝備!I13)</f>
        <v/>
      </c>
      <c r="J13" t="str">
        <f>ToEquipResource(裝備!J13)</f>
        <v/>
      </c>
    </row>
    <row r="14" spans="1:10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ToResult(裝備!G14)</f>
        <v/>
      </c>
      <c r="H14" t="str">
        <f>ToResult(裝備!H14)</f>
        <v/>
      </c>
      <c r="I14" t="str">
        <f>ToEquipRange(裝備!I14)</f>
        <v/>
      </c>
      <c r="J14" t="str">
        <f>ToEquipResource(裝備!J14)</f>
        <v/>
      </c>
    </row>
    <row r="15" spans="1:10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ToResult(裝備!G15)</f>
        <v/>
      </c>
      <c r="H15" t="str">
        <f>ToResult(裝備!H15)</f>
        <v/>
      </c>
      <c r="I15" t="str">
        <f>ToEquipRange(裝備!I15)</f>
        <v/>
      </c>
      <c r="J15" t="str">
        <f>ToEquipResource(裝備!J15)</f>
        <v/>
      </c>
    </row>
    <row r="16" spans="1:10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ToResult(裝備!G16)</f>
        <v/>
      </c>
      <c r="H16" t="str">
        <f>ToResult(裝備!H16)</f>
        <v/>
      </c>
      <c r="I16" t="str">
        <f>ToEquipRange(裝備!I16)</f>
        <v/>
      </c>
      <c r="J16" t="str">
        <f>ToEquipResource(裝備!J16)</f>
        <v/>
      </c>
    </row>
    <row r="17" spans="1:10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ToResult(裝備!G17)</f>
        <v/>
      </c>
      <c r="H17" t="str">
        <f>ToResult(裝備!H17)</f>
        <v/>
      </c>
      <c r="I17" t="str">
        <f>ToEquipRange(裝備!I17)</f>
        <v/>
      </c>
      <c r="J17" t="str">
        <f>ToEquipResource(裝備!J17)</f>
        <v/>
      </c>
    </row>
    <row r="18" spans="1:10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ToResult(裝備!G18)</f>
        <v/>
      </c>
      <c r="H18" t="str">
        <f>ToResult(裝備!H18)</f>
        <v/>
      </c>
      <c r="I18" t="str">
        <f>ToEquipRange(裝備!I18)</f>
        <v/>
      </c>
      <c r="J18" t="str">
        <f>ToEquipResource(裝備!J18)</f>
        <v/>
      </c>
    </row>
    <row r="19" spans="1:10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ToResult(裝備!G19)</f>
        <v/>
      </c>
      <c r="H19" t="str">
        <f>ToResult(裝備!H19)</f>
        <v/>
      </c>
      <c r="I19" t="str">
        <f>ToEquipRange(裝備!I19)</f>
        <v/>
      </c>
      <c r="J19" t="str">
        <f>ToEquipResource(裝備!J19)</f>
        <v/>
      </c>
    </row>
    <row r="20" spans="1:10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ToResult(裝備!G20)</f>
        <v/>
      </c>
      <c r="H20" t="str">
        <f>ToResult(裝備!H20)</f>
        <v/>
      </c>
      <c r="I20" t="str">
        <f>ToEquipRange(裝備!I20)</f>
        <v/>
      </c>
      <c r="J20" t="str">
        <f>ToEquipResource(裝備!J20)</f>
        <v/>
      </c>
    </row>
    <row r="21" spans="1:10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ToResult(裝備!G21)</f>
        <v/>
      </c>
      <c r="H21" t="str">
        <f>ToResult(裝備!H21)</f>
        <v/>
      </c>
      <c r="I21" t="str">
        <f>ToEquipRange(裝備!I21)</f>
        <v/>
      </c>
      <c r="J21" t="str">
        <f>ToEquipResource(裝備!J21)</f>
        <v/>
      </c>
    </row>
    <row r="22" spans="1:10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ToResult(裝備!G22)</f>
        <v/>
      </c>
      <c r="H22" t="str">
        <f>ToResult(裝備!H22)</f>
        <v/>
      </c>
      <c r="I22" t="str">
        <f>ToEquipRange(裝備!I22)</f>
        <v/>
      </c>
      <c r="J22" t="str">
        <f>ToEquipResource(裝備!J22)</f>
        <v/>
      </c>
    </row>
    <row r="23" spans="1:10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ToResult(裝備!G23)</f>
        <v/>
      </c>
      <c r="H23" t="str">
        <f>ToResult(裝備!H23)</f>
        <v/>
      </c>
      <c r="I23" t="str">
        <f>ToEquipRange(裝備!I23)</f>
        <v/>
      </c>
      <c r="J23" t="str">
        <f>ToEquipResource(裝備!J23)</f>
        <v/>
      </c>
    </row>
    <row r="24" spans="1:10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ToResult(裝備!G24)</f>
        <v/>
      </c>
      <c r="H24" t="str">
        <f>ToResult(裝備!H24)</f>
        <v/>
      </c>
      <c r="I24" t="str">
        <f>ToEquipRange(裝備!I24)</f>
        <v/>
      </c>
      <c r="J24" t="str">
        <f>ToEquipResource(裝備!J24)</f>
        <v/>
      </c>
    </row>
    <row r="25" spans="1:10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ToResult(裝備!G25)</f>
        <v/>
      </c>
      <c r="H25" t="str">
        <f>ToResult(裝備!H25)</f>
        <v/>
      </c>
      <c r="I25" t="str">
        <f>ToEquipRange(裝備!I25)</f>
        <v/>
      </c>
      <c r="J25" t="str">
        <f>ToEquipResource(裝備!J25)</f>
        <v/>
      </c>
    </row>
    <row r="26" spans="1:10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ToResult(裝備!G26)</f>
        <v/>
      </c>
      <c r="H26" t="str">
        <f>ToResult(裝備!H26)</f>
        <v/>
      </c>
      <c r="I26" t="str">
        <f>ToEquipRange(裝備!I26)</f>
        <v/>
      </c>
      <c r="J26" t="str">
        <f>ToEquipResource(裝備!J26)</f>
        <v/>
      </c>
    </row>
    <row r="27" spans="1:10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ToResult(裝備!G27)</f>
        <v/>
      </c>
      <c r="H27" t="str">
        <f>ToResult(裝備!H27)</f>
        <v/>
      </c>
      <c r="I27" t="str">
        <f>ToEquipRange(裝備!I27)</f>
        <v/>
      </c>
      <c r="J27" t="str">
        <f>ToEquipResource(裝備!J27)</f>
        <v/>
      </c>
    </row>
    <row r="28" spans="1:10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ToResult(裝備!G28)</f>
        <v/>
      </c>
      <c r="H28" t="str">
        <f>ToResult(裝備!H28)</f>
        <v/>
      </c>
      <c r="I28" t="str">
        <f>ToEquipRange(裝備!I28)</f>
        <v/>
      </c>
      <c r="J28" t="str">
        <f>ToEquipResource(裝備!J28)</f>
        <v/>
      </c>
    </row>
    <row r="29" spans="1:10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ToResult(裝備!G29)</f>
        <v/>
      </c>
      <c r="H29" t="str">
        <f>ToResult(裝備!H29)</f>
        <v/>
      </c>
      <c r="I29" t="str">
        <f>ToEquipRange(裝備!I29)</f>
        <v/>
      </c>
      <c r="J29" t="str">
        <f>ToEquipResource(裝備!J29)</f>
        <v/>
      </c>
    </row>
    <row r="30" spans="1:10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ToResult(裝備!G30)</f>
        <v/>
      </c>
      <c r="H30" t="str">
        <f>ToResult(裝備!H30)</f>
        <v/>
      </c>
      <c r="I30" t="str">
        <f>ToEquipRange(裝備!I30)</f>
        <v/>
      </c>
      <c r="J30" t="str">
        <f>ToEquipResource(裝備!J30)</f>
        <v/>
      </c>
    </row>
    <row r="31" spans="1:10">
      <c r="A31" t="str">
        <f>ToResult(裝備!A31)</f>
        <v/>
      </c>
      <c r="B31" t="str">
        <f>ToResult(裝備!B31)</f>
        <v/>
      </c>
      <c r="C31" t="str">
        <f>ToEquipMode(裝備!C31)</f>
        <v/>
      </c>
      <c r="D31" t="str">
        <f>ToResult(裝備!D31)</f>
        <v/>
      </c>
      <c r="E31" t="str">
        <f>ToResult(裝備!E31)</f>
        <v/>
      </c>
      <c r="F31" t="str">
        <f>ToResult(裝備!F31)</f>
        <v/>
      </c>
      <c r="G31" t="str">
        <f>ToResult(裝備!G31)</f>
        <v/>
      </c>
      <c r="H31" t="str">
        <f>ToResult(裝備!H31)</f>
        <v/>
      </c>
      <c r="I31" t="str">
        <f>ToEquipRange(裝備!I31)</f>
        <v/>
      </c>
      <c r="J31" t="str">
        <f>ToEquipResource(裝備!J31)</f>
        <v/>
      </c>
    </row>
    <row r="32" spans="1:10">
      <c r="A32" t="str">
        <f>ToResult(裝備!A32)</f>
        <v/>
      </c>
      <c r="B32" t="str">
        <f>ToResult(裝備!B32)</f>
        <v/>
      </c>
      <c r="C32" t="str">
        <f>ToEquipMode(裝備!C32)</f>
        <v/>
      </c>
      <c r="D32" t="str">
        <f>ToResult(裝備!D32)</f>
        <v/>
      </c>
      <c r="E32" t="str">
        <f>ToResult(裝備!E32)</f>
        <v/>
      </c>
      <c r="F32" t="str">
        <f>ToResult(裝備!F32)</f>
        <v/>
      </c>
      <c r="G32" t="str">
        <f>ToResult(裝備!G32)</f>
        <v/>
      </c>
      <c r="H32" t="str">
        <f>ToResult(裝備!H32)</f>
        <v/>
      </c>
      <c r="I32" t="str">
        <f>ToEquipRange(裝備!I32)</f>
        <v/>
      </c>
      <c r="J32" t="str">
        <f>ToEquipResource(裝備!J32)</f>
        <v/>
      </c>
    </row>
    <row r="33" spans="1:10">
      <c r="A33" t="str">
        <f>ToResult(裝備!A33)</f>
        <v/>
      </c>
      <c r="B33" t="str">
        <f>ToResult(裝備!B33)</f>
        <v/>
      </c>
      <c r="C33" t="str">
        <f>ToEquipMode(裝備!C33)</f>
        <v/>
      </c>
      <c r="D33" t="str">
        <f>ToResult(裝備!D33)</f>
        <v/>
      </c>
      <c r="E33" t="str">
        <f>ToResult(裝備!E33)</f>
        <v/>
      </c>
      <c r="F33" t="str">
        <f>ToResult(裝備!F33)</f>
        <v/>
      </c>
      <c r="G33" t="str">
        <f>ToResult(裝備!G33)</f>
        <v/>
      </c>
      <c r="H33" t="str">
        <f>ToResult(裝備!H33)</f>
        <v/>
      </c>
      <c r="I33" t="str">
        <f>ToEquipRange(裝備!I33)</f>
        <v/>
      </c>
      <c r="J33" t="str">
        <f>ToEquipResource(裝備!J33)</f>
        <v/>
      </c>
    </row>
    <row r="34" spans="1:10">
      <c r="A34" t="str">
        <f>ToResult(裝備!A34)</f>
        <v/>
      </c>
      <c r="B34" t="str">
        <f>ToResult(裝備!B34)</f>
        <v/>
      </c>
      <c r="C34" t="str">
        <f>ToEquipMode(裝備!C34)</f>
        <v/>
      </c>
      <c r="D34" t="str">
        <f>ToResult(裝備!D34)</f>
        <v/>
      </c>
      <c r="E34" t="str">
        <f>ToResult(裝備!E34)</f>
        <v/>
      </c>
      <c r="F34" t="str">
        <f>ToResult(裝備!F34)</f>
        <v/>
      </c>
      <c r="G34" t="str">
        <f>ToResult(裝備!G34)</f>
        <v/>
      </c>
      <c r="H34" t="str">
        <f>ToResult(裝備!H34)</f>
        <v/>
      </c>
      <c r="I34" t="str">
        <f>ToEquipRange(裝備!I34)</f>
        <v/>
      </c>
      <c r="J34" t="str">
        <f>ToEquipResource(裝備!J34)</f>
        <v/>
      </c>
    </row>
    <row r="35" spans="1:10">
      <c r="A35" t="str">
        <f>ToResult(裝備!A35)</f>
        <v/>
      </c>
      <c r="B35" t="str">
        <f>ToResult(裝備!B35)</f>
        <v/>
      </c>
      <c r="C35" t="str">
        <f>ToEquipMode(裝備!C35)</f>
        <v/>
      </c>
      <c r="D35" t="str">
        <f>ToResult(裝備!D35)</f>
        <v/>
      </c>
      <c r="E35" t="str">
        <f>ToResult(裝備!E35)</f>
        <v/>
      </c>
      <c r="F35" t="str">
        <f>ToResult(裝備!F35)</f>
        <v/>
      </c>
      <c r="G35" t="str">
        <f>ToResult(裝備!G35)</f>
        <v/>
      </c>
      <c r="H35" t="str">
        <f>ToResult(裝備!H35)</f>
        <v/>
      </c>
      <c r="I35" t="str">
        <f>ToEquipRange(裝備!I35)</f>
        <v/>
      </c>
      <c r="J35" t="str">
        <f>ToEquipResource(裝備!J35)</f>
        <v/>
      </c>
    </row>
    <row r="36" spans="1:10">
      <c r="A36" t="str">
        <f>ToResult(裝備!A36)</f>
        <v/>
      </c>
      <c r="B36" t="str">
        <f>ToResult(裝備!B36)</f>
        <v/>
      </c>
      <c r="C36" t="str">
        <f>ToEquipMode(裝備!C36)</f>
        <v/>
      </c>
      <c r="D36" t="str">
        <f>ToResult(裝備!D36)</f>
        <v/>
      </c>
      <c r="E36" t="str">
        <f>ToResult(裝備!E36)</f>
        <v/>
      </c>
      <c r="F36" t="str">
        <f>ToResult(裝備!F36)</f>
        <v/>
      </c>
      <c r="G36" t="str">
        <f>ToResult(裝備!G36)</f>
        <v/>
      </c>
      <c r="H36" t="str">
        <f>ToResult(裝備!H36)</f>
        <v/>
      </c>
      <c r="I36" t="str">
        <f>ToEquipRange(裝備!I36)</f>
        <v/>
      </c>
      <c r="J36" t="str">
        <f>ToEquipResource(裝備!J36)</f>
        <v/>
      </c>
    </row>
    <row r="37" spans="1:10">
      <c r="A37" t="str">
        <f>ToResult(裝備!A37)</f>
        <v/>
      </c>
      <c r="B37" t="str">
        <f>ToResult(裝備!B37)</f>
        <v/>
      </c>
      <c r="C37" t="str">
        <f>ToEquipMode(裝備!C37)</f>
        <v/>
      </c>
      <c r="D37" t="str">
        <f>ToResult(裝備!D37)</f>
        <v/>
      </c>
      <c r="E37" t="str">
        <f>ToResult(裝備!E37)</f>
        <v/>
      </c>
      <c r="F37" t="str">
        <f>ToResult(裝備!F37)</f>
        <v/>
      </c>
      <c r="G37" t="str">
        <f>ToResult(裝備!G37)</f>
        <v/>
      </c>
      <c r="H37" t="str">
        <f>ToResult(裝備!H37)</f>
        <v/>
      </c>
      <c r="I37" t="str">
        <f>ToEquipRange(裝備!I37)</f>
        <v/>
      </c>
      <c r="J37" t="str">
        <f>ToEquipResource(裝備!J37)</f>
        <v/>
      </c>
    </row>
    <row r="38" spans="1:10">
      <c r="A38" t="str">
        <f>ToResult(裝備!A38)</f>
        <v/>
      </c>
      <c r="B38" t="str">
        <f>ToResult(裝備!B38)</f>
        <v/>
      </c>
      <c r="C38" t="str">
        <f>ToEquipMode(裝備!C38)</f>
        <v/>
      </c>
      <c r="D38" t="str">
        <f>ToResult(裝備!D38)</f>
        <v/>
      </c>
      <c r="E38" t="str">
        <f>ToResult(裝備!E38)</f>
        <v/>
      </c>
      <c r="F38" t="str">
        <f>ToResult(裝備!F38)</f>
        <v/>
      </c>
      <c r="G38" t="str">
        <f>ToResult(裝備!G38)</f>
        <v/>
      </c>
      <c r="H38" t="str">
        <f>ToResult(裝備!H38)</f>
        <v/>
      </c>
      <c r="I38" t="str">
        <f>ToEquipRange(裝備!I38)</f>
        <v/>
      </c>
      <c r="J38" t="str">
        <f>ToEquipResource(裝備!J38)</f>
        <v/>
      </c>
    </row>
    <row r="39" spans="1:10">
      <c r="A39" t="str">
        <f>ToResult(裝備!A39)</f>
        <v/>
      </c>
      <c r="B39" t="str">
        <f>ToResult(裝備!B39)</f>
        <v/>
      </c>
      <c r="C39" t="str">
        <f>ToEquipMode(裝備!C39)</f>
        <v/>
      </c>
      <c r="D39" t="str">
        <f>ToResult(裝備!D39)</f>
        <v/>
      </c>
      <c r="E39" t="str">
        <f>ToResult(裝備!E39)</f>
        <v/>
      </c>
      <c r="F39" t="str">
        <f>ToResult(裝備!F39)</f>
        <v/>
      </c>
      <c r="G39" t="str">
        <f>ToResult(裝備!G39)</f>
        <v/>
      </c>
      <c r="H39" t="str">
        <f>ToResult(裝備!H39)</f>
        <v/>
      </c>
      <c r="I39" t="str">
        <f>ToEquipRange(裝備!I39)</f>
        <v/>
      </c>
      <c r="J39" t="str">
        <f>ToEquipResource(裝備!J39)</f>
        <v/>
      </c>
    </row>
    <row r="40" spans="1:10">
      <c r="A40" t="str">
        <f>ToResult(裝備!A40)</f>
        <v/>
      </c>
      <c r="B40" t="str">
        <f>ToResult(裝備!B40)</f>
        <v/>
      </c>
      <c r="C40" t="str">
        <f>ToEquipMode(裝備!C40)</f>
        <v/>
      </c>
      <c r="D40" t="str">
        <f>ToResult(裝備!D40)</f>
        <v/>
      </c>
      <c r="E40" t="str">
        <f>ToResult(裝備!E40)</f>
        <v/>
      </c>
      <c r="F40" t="str">
        <f>ToResult(裝備!F40)</f>
        <v/>
      </c>
      <c r="G40" t="str">
        <f>ToResult(裝備!G40)</f>
        <v/>
      </c>
      <c r="H40" t="str">
        <f>ToResult(裝備!H40)</f>
        <v/>
      </c>
      <c r="I40" t="str">
        <f>ToEquipRange(裝備!I40)</f>
        <v/>
      </c>
      <c r="J40" t="str">
        <f>ToEquipResource(裝備!J40)</f>
        <v/>
      </c>
    </row>
    <row r="41" spans="1:10">
      <c r="A41" t="str">
        <f>ToResult(裝備!A41)</f>
        <v/>
      </c>
      <c r="B41" t="str">
        <f>ToResult(裝備!B41)</f>
        <v/>
      </c>
      <c r="C41" t="str">
        <f>ToEquipMode(裝備!C41)</f>
        <v/>
      </c>
      <c r="D41" t="str">
        <f>ToResult(裝備!D41)</f>
        <v/>
      </c>
      <c r="E41" t="str">
        <f>ToResult(裝備!E41)</f>
        <v/>
      </c>
      <c r="F41" t="str">
        <f>ToResult(裝備!F41)</f>
        <v/>
      </c>
      <c r="G41" t="str">
        <f>ToResult(裝備!G41)</f>
        <v/>
      </c>
      <c r="H41" t="str">
        <f>ToResult(裝備!H41)</f>
        <v/>
      </c>
      <c r="I41" t="str">
        <f>ToEquipRange(裝備!I41)</f>
        <v/>
      </c>
      <c r="J41" t="str">
        <f>ToEquipResource(裝備!J41)</f>
        <v/>
      </c>
    </row>
    <row r="42" spans="1:10">
      <c r="A42" t="str">
        <f>ToResult(裝備!A42)</f>
        <v/>
      </c>
      <c r="B42" t="str">
        <f>ToResult(裝備!B42)</f>
        <v/>
      </c>
      <c r="C42" t="str">
        <f>ToEquipMode(裝備!C42)</f>
        <v/>
      </c>
      <c r="D42" t="str">
        <f>ToResult(裝備!D42)</f>
        <v/>
      </c>
      <c r="E42" t="str">
        <f>ToResult(裝備!E42)</f>
        <v/>
      </c>
      <c r="F42" t="str">
        <f>ToResult(裝備!F42)</f>
        <v/>
      </c>
      <c r="G42" t="str">
        <f>ToResult(裝備!G42)</f>
        <v/>
      </c>
      <c r="H42" t="str">
        <f>ToResult(裝備!H42)</f>
        <v/>
      </c>
      <c r="I42" t="str">
        <f>ToEquipRange(裝備!I42)</f>
        <v/>
      </c>
      <c r="J42" t="str">
        <f>ToEquipResource(裝備!J42)</f>
        <v/>
      </c>
    </row>
    <row r="43" spans="1:10">
      <c r="A43" t="str">
        <f>ToResult(裝備!A43)</f>
        <v/>
      </c>
      <c r="B43" t="str">
        <f>ToResult(裝備!B43)</f>
        <v/>
      </c>
      <c r="C43" t="str">
        <f>ToEquipMode(裝備!C43)</f>
        <v/>
      </c>
      <c r="D43" t="str">
        <f>ToResult(裝備!D43)</f>
        <v/>
      </c>
      <c r="E43" t="str">
        <f>ToResult(裝備!E43)</f>
        <v/>
      </c>
      <c r="F43" t="str">
        <f>ToResult(裝備!F43)</f>
        <v/>
      </c>
      <c r="G43" t="str">
        <f>ToResult(裝備!G43)</f>
        <v/>
      </c>
      <c r="H43" t="str">
        <f>ToResult(裝備!H43)</f>
        <v/>
      </c>
      <c r="I43" t="str">
        <f>ToEquipRange(裝備!I43)</f>
        <v/>
      </c>
      <c r="J43" t="str">
        <f>ToEquipResource(裝備!J43)</f>
        <v/>
      </c>
    </row>
    <row r="44" spans="1:10">
      <c r="A44" t="str">
        <f>ToResult(裝備!A44)</f>
        <v/>
      </c>
      <c r="B44" t="str">
        <f>ToResult(裝備!B44)</f>
        <v/>
      </c>
      <c r="C44" t="str">
        <f>ToEquipMode(裝備!C44)</f>
        <v/>
      </c>
      <c r="D44" t="str">
        <f>ToResult(裝備!D44)</f>
        <v/>
      </c>
      <c r="E44" t="str">
        <f>ToResult(裝備!E44)</f>
        <v/>
      </c>
      <c r="F44" t="str">
        <f>ToResult(裝備!F44)</f>
        <v/>
      </c>
      <c r="G44" t="str">
        <f>ToResult(裝備!G44)</f>
        <v/>
      </c>
      <c r="H44" t="str">
        <f>ToResult(裝備!H44)</f>
        <v/>
      </c>
      <c r="I44" t="str">
        <f>ToEquipRange(裝備!I44)</f>
        <v/>
      </c>
      <c r="J44" t="str">
        <f>ToEquipResource(裝備!J44)</f>
        <v/>
      </c>
    </row>
    <row r="45" spans="1:10">
      <c r="A45" t="str">
        <f>ToResult(裝備!A45)</f>
        <v/>
      </c>
      <c r="B45" t="str">
        <f>ToResult(裝備!B45)</f>
        <v/>
      </c>
      <c r="C45" t="str">
        <f>ToEquipMode(裝備!C45)</f>
        <v/>
      </c>
      <c r="D45" t="str">
        <f>ToResult(裝備!D45)</f>
        <v/>
      </c>
      <c r="E45" t="str">
        <f>ToResult(裝備!E45)</f>
        <v/>
      </c>
      <c r="F45" t="str">
        <f>ToResult(裝備!F45)</f>
        <v/>
      </c>
      <c r="G45" t="str">
        <f>ToResult(裝備!G45)</f>
        <v/>
      </c>
      <c r="H45" t="str">
        <f>ToResult(裝備!H45)</f>
        <v/>
      </c>
      <c r="I45" t="str">
        <f>ToEquipRange(裝備!I45)</f>
        <v/>
      </c>
      <c r="J45" t="str">
        <f>ToEquipResource(裝備!J45)</f>
        <v/>
      </c>
    </row>
    <row r="46" spans="1:10">
      <c r="A46" t="str">
        <f>ToResult(裝備!A46)</f>
        <v/>
      </c>
      <c r="B46" t="str">
        <f>ToResult(裝備!B46)</f>
        <v/>
      </c>
      <c r="C46" t="str">
        <f>ToEquipMode(裝備!C46)</f>
        <v/>
      </c>
      <c r="D46" t="str">
        <f>ToResult(裝備!D46)</f>
        <v/>
      </c>
      <c r="E46" t="str">
        <f>ToResult(裝備!E46)</f>
        <v/>
      </c>
      <c r="F46" t="str">
        <f>ToResult(裝備!F46)</f>
        <v/>
      </c>
      <c r="G46" t="str">
        <f>ToResult(裝備!G46)</f>
        <v/>
      </c>
      <c r="H46" t="str">
        <f>ToResult(裝備!H46)</f>
        <v/>
      </c>
      <c r="I46" t="str">
        <f>ToEquipRange(裝備!I46)</f>
        <v/>
      </c>
      <c r="J46" t="str">
        <f>ToEquipResource(裝備!J46)</f>
        <v/>
      </c>
    </row>
    <row r="47" spans="1:10">
      <c r="A47" t="str">
        <f>ToResult(裝備!A47)</f>
        <v/>
      </c>
      <c r="B47" t="str">
        <f>ToResult(裝備!B47)</f>
        <v/>
      </c>
      <c r="C47" t="str">
        <f>ToEquipMode(裝備!C47)</f>
        <v/>
      </c>
      <c r="D47" t="str">
        <f>ToResult(裝備!D47)</f>
        <v/>
      </c>
      <c r="E47" t="str">
        <f>ToResult(裝備!E47)</f>
        <v/>
      </c>
      <c r="F47" t="str">
        <f>ToResult(裝備!F47)</f>
        <v/>
      </c>
      <c r="G47" t="str">
        <f>ToResult(裝備!G47)</f>
        <v/>
      </c>
      <c r="H47" t="str">
        <f>ToResult(裝備!H47)</f>
        <v/>
      </c>
      <c r="I47" t="str">
        <f>ToEquipRange(裝備!I47)</f>
        <v/>
      </c>
      <c r="J47" t="str">
        <f>ToEquipResource(裝備!J47)</f>
        <v/>
      </c>
    </row>
    <row r="48" spans="1:10">
      <c r="A48" t="str">
        <f>ToResult(裝備!A48)</f>
        <v/>
      </c>
      <c r="B48" t="str">
        <f>ToResult(裝備!B48)</f>
        <v/>
      </c>
      <c r="C48" t="str">
        <f>ToEquipMode(裝備!C48)</f>
        <v/>
      </c>
      <c r="D48" t="str">
        <f>ToResult(裝備!D48)</f>
        <v/>
      </c>
      <c r="E48" t="str">
        <f>ToResult(裝備!E48)</f>
        <v/>
      </c>
      <c r="F48" t="str">
        <f>ToResult(裝備!F48)</f>
        <v/>
      </c>
      <c r="G48" t="str">
        <f>ToResult(裝備!G48)</f>
        <v/>
      </c>
      <c r="H48" t="str">
        <f>ToResult(裝備!H48)</f>
        <v/>
      </c>
      <c r="I48" t="str">
        <f>ToEquipRange(裝備!I48)</f>
        <v/>
      </c>
      <c r="J48" t="str">
        <f>ToEquipResource(裝備!J48)</f>
        <v/>
      </c>
    </row>
    <row r="49" spans="1:10">
      <c r="A49" t="str">
        <f>ToResult(裝備!A49)</f>
        <v/>
      </c>
      <c r="B49" t="str">
        <f>ToResult(裝備!B49)</f>
        <v/>
      </c>
      <c r="C49" t="str">
        <f>ToEquipMode(裝備!C49)</f>
        <v/>
      </c>
      <c r="D49" t="str">
        <f>ToResult(裝備!D49)</f>
        <v/>
      </c>
      <c r="E49" t="str">
        <f>ToResult(裝備!E49)</f>
        <v/>
      </c>
      <c r="F49" t="str">
        <f>ToResult(裝備!F49)</f>
        <v/>
      </c>
      <c r="G49" t="str">
        <f>ToResult(裝備!G49)</f>
        <v/>
      </c>
      <c r="H49" t="str">
        <f>ToResult(裝備!H49)</f>
        <v/>
      </c>
      <c r="I49" t="str">
        <f>ToEquipRange(裝備!I49)</f>
        <v/>
      </c>
      <c r="J49" t="str">
        <f>ToEquipResource(裝備!J49)</f>
        <v/>
      </c>
    </row>
    <row r="50" spans="1:10">
      <c r="A50" t="str">
        <f>ToResult(裝備!A50)</f>
        <v/>
      </c>
      <c r="B50" t="str">
        <f>ToResult(裝備!B50)</f>
        <v/>
      </c>
      <c r="C50" t="str">
        <f>ToEquipMode(裝備!C50)</f>
        <v/>
      </c>
      <c r="D50" t="str">
        <f>ToResult(裝備!D50)</f>
        <v/>
      </c>
      <c r="E50" t="str">
        <f>ToResult(裝備!E50)</f>
        <v/>
      </c>
      <c r="F50" t="str">
        <f>ToResult(裝備!F50)</f>
        <v/>
      </c>
      <c r="G50" t="str">
        <f>ToResult(裝備!G50)</f>
        <v/>
      </c>
      <c r="H50" t="str">
        <f>ToResult(裝備!H50)</f>
        <v/>
      </c>
      <c r="I50" t="str">
        <f>ToEquipRange(裝備!I50)</f>
        <v/>
      </c>
      <c r="J50" t="str">
        <f>ToEquipResource(裝備!J50)</f>
        <v/>
      </c>
    </row>
    <row r="51" spans="1:10">
      <c r="A51" t="str">
        <f>ToResult(裝備!A51)</f>
        <v/>
      </c>
      <c r="B51" t="str">
        <f>ToResult(裝備!B51)</f>
        <v/>
      </c>
      <c r="C51" t="str">
        <f>ToEquipMode(裝備!C51)</f>
        <v/>
      </c>
      <c r="D51" t="str">
        <f>ToResult(裝備!D51)</f>
        <v/>
      </c>
      <c r="E51" t="str">
        <f>ToResult(裝備!E51)</f>
        <v/>
      </c>
      <c r="F51" t="str">
        <f>ToResult(裝備!F51)</f>
        <v/>
      </c>
      <c r="G51" t="str">
        <f>ToResult(裝備!G51)</f>
        <v/>
      </c>
      <c r="H51" t="str">
        <f>ToResult(裝備!H51)</f>
        <v/>
      </c>
      <c r="I51" t="str">
        <f>ToEquipRange(裝備!I51)</f>
        <v/>
      </c>
      <c r="J51" t="str">
        <f>ToEquipResource(裝備!J51)</f>
        <v/>
      </c>
    </row>
    <row r="52" spans="1:10">
      <c r="A52" t="str">
        <f>ToResult(裝備!A52)</f>
        <v/>
      </c>
      <c r="B52" t="str">
        <f>ToResult(裝備!B52)</f>
        <v/>
      </c>
      <c r="C52" t="str">
        <f>ToEquipMode(裝備!C52)</f>
        <v/>
      </c>
      <c r="D52" t="str">
        <f>ToResult(裝備!D52)</f>
        <v/>
      </c>
      <c r="E52" t="str">
        <f>ToResult(裝備!E52)</f>
        <v/>
      </c>
      <c r="F52" t="str">
        <f>ToResult(裝備!F52)</f>
        <v/>
      </c>
      <c r="G52" t="str">
        <f>ToResult(裝備!G52)</f>
        <v/>
      </c>
      <c r="H52" t="str">
        <f>ToResult(裝備!H52)</f>
        <v/>
      </c>
      <c r="I52" t="str">
        <f>ToEquipRange(裝備!I52)</f>
        <v/>
      </c>
      <c r="J52" t="str">
        <f>ToEquipResource(裝備!J52)</f>
        <v/>
      </c>
    </row>
    <row r="53" spans="1:10">
      <c r="A53" t="str">
        <f>ToResult(裝備!A53)</f>
        <v/>
      </c>
      <c r="B53" t="str">
        <f>ToResult(裝備!B53)</f>
        <v/>
      </c>
      <c r="C53" t="str">
        <f>ToEquipMode(裝備!C53)</f>
        <v/>
      </c>
      <c r="D53" t="str">
        <f>ToResult(裝備!D53)</f>
        <v/>
      </c>
      <c r="E53" t="str">
        <f>ToResult(裝備!E53)</f>
        <v/>
      </c>
      <c r="F53" t="str">
        <f>ToResult(裝備!F53)</f>
        <v/>
      </c>
      <c r="G53" t="str">
        <f>ToResult(裝備!G53)</f>
        <v/>
      </c>
      <c r="H53" t="str">
        <f>ToResult(裝備!H53)</f>
        <v/>
      </c>
      <c r="I53" t="str">
        <f>ToEquipRange(裝備!I53)</f>
        <v/>
      </c>
      <c r="J53" t="str">
        <f>ToEquipResource(裝備!J53)</f>
        <v/>
      </c>
    </row>
    <row r="54" spans="1:10">
      <c r="A54" t="str">
        <f>ToResult(裝備!A54)</f>
        <v/>
      </c>
      <c r="B54" t="str">
        <f>ToResult(裝備!B54)</f>
        <v/>
      </c>
      <c r="C54" t="str">
        <f>ToEquipMode(裝備!C54)</f>
        <v/>
      </c>
      <c r="D54" t="str">
        <f>ToResult(裝備!D54)</f>
        <v/>
      </c>
      <c r="E54" t="str">
        <f>ToResult(裝備!E54)</f>
        <v/>
      </c>
      <c r="F54" t="str">
        <f>ToResult(裝備!F54)</f>
        <v/>
      </c>
      <c r="G54" t="str">
        <f>ToResult(裝備!G54)</f>
        <v/>
      </c>
      <c r="H54" t="str">
        <f>ToResult(裝備!H54)</f>
        <v/>
      </c>
      <c r="I54" t="str">
        <f>ToEquipRange(裝備!I54)</f>
        <v/>
      </c>
      <c r="J54" t="str">
        <f>ToEquipResource(裝備!J54)</f>
        <v/>
      </c>
    </row>
    <row r="55" spans="1:10">
      <c r="A55" t="str">
        <f>ToResult(裝備!A55)</f>
        <v/>
      </c>
      <c r="B55" t="str">
        <f>ToResult(裝備!B55)</f>
        <v/>
      </c>
      <c r="C55" t="str">
        <f>ToEquipMode(裝備!C55)</f>
        <v/>
      </c>
      <c r="D55" t="str">
        <f>ToResult(裝備!D55)</f>
        <v/>
      </c>
      <c r="E55" t="str">
        <f>ToResult(裝備!E55)</f>
        <v/>
      </c>
      <c r="F55" t="str">
        <f>ToResult(裝備!F55)</f>
        <v/>
      </c>
      <c r="G55" t="str">
        <f>ToResult(裝備!G55)</f>
        <v/>
      </c>
      <c r="H55" t="str">
        <f>ToResult(裝備!H55)</f>
        <v/>
      </c>
      <c r="I55" t="str">
        <f>ToEquipRange(裝備!I55)</f>
        <v/>
      </c>
      <c r="J55" t="str">
        <f>ToEquipResource(裝備!J55)</f>
        <v/>
      </c>
    </row>
    <row r="56" spans="1:10">
      <c r="A56" t="str">
        <f>ToResult(裝備!A56)</f>
        <v/>
      </c>
      <c r="B56" t="str">
        <f>ToResult(裝備!B56)</f>
        <v/>
      </c>
      <c r="C56" t="str">
        <f>ToEquipMode(裝備!C56)</f>
        <v/>
      </c>
      <c r="D56" t="str">
        <f>ToResult(裝備!D56)</f>
        <v/>
      </c>
      <c r="E56" t="str">
        <f>ToResult(裝備!E56)</f>
        <v/>
      </c>
      <c r="F56" t="str">
        <f>ToResult(裝備!F56)</f>
        <v/>
      </c>
      <c r="G56" t="str">
        <f>ToResult(裝備!G56)</f>
        <v/>
      </c>
      <c r="H56" t="str">
        <f>ToResult(裝備!H56)</f>
        <v/>
      </c>
      <c r="I56" t="str">
        <f>ToEquipRange(裝備!I56)</f>
        <v/>
      </c>
      <c r="J56" t="str">
        <f>ToEquipResource(裝備!J56)</f>
        <v/>
      </c>
    </row>
    <row r="57" spans="1:10">
      <c r="A57" t="str">
        <f>ToResult(裝備!A57)</f>
        <v/>
      </c>
      <c r="B57" t="str">
        <f>ToResult(裝備!B57)</f>
        <v/>
      </c>
      <c r="C57" t="str">
        <f>ToEquipMode(裝備!C57)</f>
        <v/>
      </c>
      <c r="D57" t="str">
        <f>ToResult(裝備!D57)</f>
        <v/>
      </c>
      <c r="E57" t="str">
        <f>ToResult(裝備!E57)</f>
        <v/>
      </c>
      <c r="F57" t="str">
        <f>ToResult(裝備!F57)</f>
        <v/>
      </c>
      <c r="G57" t="str">
        <f>ToResult(裝備!G57)</f>
        <v/>
      </c>
      <c r="H57" t="str">
        <f>ToResult(裝備!H57)</f>
        <v/>
      </c>
      <c r="I57" t="str">
        <f>ToEquipRange(裝備!I57)</f>
        <v/>
      </c>
      <c r="J57" t="str">
        <f>ToEquipResource(裝備!J57)</f>
        <v/>
      </c>
    </row>
    <row r="58" spans="1:10">
      <c r="A58" t="str">
        <f>ToResult(裝備!A58)</f>
        <v/>
      </c>
      <c r="B58" t="str">
        <f>ToResult(裝備!B58)</f>
        <v/>
      </c>
      <c r="C58" t="str">
        <f>ToEquipMode(裝備!C58)</f>
        <v/>
      </c>
      <c r="D58" t="str">
        <f>ToResult(裝備!D58)</f>
        <v/>
      </c>
      <c r="E58" t="str">
        <f>ToResult(裝備!E58)</f>
        <v/>
      </c>
      <c r="F58" t="str">
        <f>ToResult(裝備!F58)</f>
        <v/>
      </c>
      <c r="G58" t="str">
        <f>ToResult(裝備!G58)</f>
        <v/>
      </c>
      <c r="H58" t="str">
        <f>ToResult(裝備!H58)</f>
        <v/>
      </c>
      <c r="I58" t="str">
        <f>ToEquipRange(裝備!I58)</f>
        <v/>
      </c>
      <c r="J58" t="str">
        <f>ToEquipResource(裝備!J58)</f>
        <v/>
      </c>
    </row>
    <row r="59" spans="1:10">
      <c r="A59" t="str">
        <f>ToResult(裝備!A59)</f>
        <v/>
      </c>
      <c r="B59" t="str">
        <f>ToResult(裝備!B59)</f>
        <v/>
      </c>
      <c r="C59" t="str">
        <f>ToEquipMode(裝備!C59)</f>
        <v/>
      </c>
      <c r="D59" t="str">
        <f>ToResult(裝備!D59)</f>
        <v/>
      </c>
      <c r="E59" t="str">
        <f>ToResult(裝備!E59)</f>
        <v/>
      </c>
      <c r="F59" t="str">
        <f>ToResult(裝備!F59)</f>
        <v/>
      </c>
      <c r="G59" t="str">
        <f>ToResult(裝備!G59)</f>
        <v/>
      </c>
      <c r="H59" t="str">
        <f>ToResult(裝備!H59)</f>
        <v/>
      </c>
      <c r="I59" t="str">
        <f>ToEquipRange(裝備!I59)</f>
        <v/>
      </c>
      <c r="J59" t="str">
        <f>ToEquipResource(裝備!J59)</f>
        <v/>
      </c>
    </row>
    <row r="60" spans="1:10">
      <c r="A60" t="str">
        <f>ToResult(裝備!A60)</f>
        <v/>
      </c>
      <c r="B60" t="str">
        <f>ToResult(裝備!B60)</f>
        <v/>
      </c>
      <c r="C60" t="str">
        <f>ToEquipMode(裝備!C60)</f>
        <v/>
      </c>
      <c r="D60" t="str">
        <f>ToResult(裝備!D60)</f>
        <v/>
      </c>
      <c r="E60" t="str">
        <f>ToResult(裝備!E60)</f>
        <v/>
      </c>
      <c r="F60" t="str">
        <f>ToResult(裝備!F60)</f>
        <v/>
      </c>
      <c r="G60" t="str">
        <f>ToResult(裝備!G60)</f>
        <v/>
      </c>
      <c r="H60" t="str">
        <f>ToResult(裝備!H60)</f>
        <v/>
      </c>
      <c r="I60" t="str">
        <f>ToEquipRange(裝備!I60)</f>
        <v/>
      </c>
      <c r="J60" t="str">
        <f>ToEquipResource(裝備!J60)</f>
        <v/>
      </c>
    </row>
    <row r="61" spans="1:10">
      <c r="A61" t="str">
        <f>ToResult(裝備!A61)</f>
        <v/>
      </c>
      <c r="B61" t="str">
        <f>ToResult(裝備!B61)</f>
        <v/>
      </c>
      <c r="C61" t="str">
        <f>ToEquipMode(裝備!C61)</f>
        <v/>
      </c>
      <c r="D61" t="str">
        <f>ToResult(裝備!D61)</f>
        <v/>
      </c>
      <c r="E61" t="str">
        <f>ToResult(裝備!E61)</f>
        <v/>
      </c>
      <c r="F61" t="str">
        <f>ToResult(裝備!F61)</f>
        <v/>
      </c>
      <c r="G61" t="str">
        <f>ToResult(裝備!G61)</f>
        <v/>
      </c>
      <c r="H61" t="str">
        <f>ToResult(裝備!H61)</f>
        <v/>
      </c>
      <c r="I61" t="str">
        <f>ToEquipRange(裝備!I61)</f>
        <v/>
      </c>
      <c r="J61" t="str">
        <f>ToEquipResource(裝備!J61)</f>
        <v/>
      </c>
    </row>
    <row r="62" spans="1:10">
      <c r="A62" t="str">
        <f>ToResult(裝備!A62)</f>
        <v/>
      </c>
      <c r="B62" t="str">
        <f>ToResult(裝備!B62)</f>
        <v/>
      </c>
      <c r="C62" t="str">
        <f>ToEquipMode(裝備!C62)</f>
        <v/>
      </c>
      <c r="D62" t="str">
        <f>ToResult(裝備!D62)</f>
        <v/>
      </c>
      <c r="E62" t="str">
        <f>ToResult(裝備!E62)</f>
        <v/>
      </c>
      <c r="F62" t="str">
        <f>ToResult(裝備!F62)</f>
        <v/>
      </c>
      <c r="G62" t="str">
        <f>ToResult(裝備!G62)</f>
        <v/>
      </c>
      <c r="H62" t="str">
        <f>ToResult(裝備!H62)</f>
        <v/>
      </c>
      <c r="I62" t="str">
        <f>ToEquipRange(裝備!I62)</f>
        <v/>
      </c>
      <c r="J62" t="str">
        <f>ToEquipResource(裝備!J62)</f>
        <v/>
      </c>
    </row>
    <row r="63" spans="1:10">
      <c r="A63" t="str">
        <f>ToResult(裝備!A63)</f>
        <v/>
      </c>
      <c r="B63" t="str">
        <f>ToResult(裝備!B63)</f>
        <v/>
      </c>
      <c r="C63" t="str">
        <f>ToEquipMode(裝備!C63)</f>
        <v/>
      </c>
      <c r="D63" t="str">
        <f>ToResult(裝備!D63)</f>
        <v/>
      </c>
      <c r="E63" t="str">
        <f>ToResult(裝備!E63)</f>
        <v/>
      </c>
      <c r="F63" t="str">
        <f>ToResult(裝備!F63)</f>
        <v/>
      </c>
      <c r="G63" t="str">
        <f>ToResult(裝備!G63)</f>
        <v/>
      </c>
      <c r="H63" t="str">
        <f>ToResult(裝備!H63)</f>
        <v/>
      </c>
      <c r="I63" t="str">
        <f>ToEquipRange(裝備!I63)</f>
        <v/>
      </c>
      <c r="J63" t="str">
        <f>ToEquipResource(裝備!J63)</f>
        <v/>
      </c>
    </row>
    <row r="64" spans="1:10">
      <c r="A64" t="str">
        <f>ToResult(裝備!A64)</f>
        <v/>
      </c>
      <c r="B64" t="str">
        <f>ToResult(裝備!B64)</f>
        <v/>
      </c>
      <c r="C64" t="str">
        <f>ToEquipMode(裝備!C64)</f>
        <v/>
      </c>
      <c r="D64" t="str">
        <f>ToResult(裝備!D64)</f>
        <v/>
      </c>
      <c r="E64" t="str">
        <f>ToResult(裝備!E64)</f>
        <v/>
      </c>
      <c r="F64" t="str">
        <f>ToResult(裝備!F64)</f>
        <v/>
      </c>
      <c r="G64" t="str">
        <f>ToResult(裝備!G64)</f>
        <v/>
      </c>
      <c r="H64" t="str">
        <f>ToResult(裝備!H64)</f>
        <v/>
      </c>
      <c r="I64" t="str">
        <f>ToEquipRange(裝備!I64)</f>
        <v/>
      </c>
      <c r="J64" t="str">
        <f>ToEquipResource(裝備!J64)</f>
        <v/>
      </c>
    </row>
    <row r="65" spans="1:10">
      <c r="A65" t="str">
        <f>ToResult(裝備!A65)</f>
        <v/>
      </c>
      <c r="B65" t="str">
        <f>ToResult(裝備!B65)</f>
        <v/>
      </c>
      <c r="C65" t="str">
        <f>ToEquipMode(裝備!C65)</f>
        <v/>
      </c>
      <c r="D65" t="str">
        <f>ToResult(裝備!D65)</f>
        <v/>
      </c>
      <c r="E65" t="str">
        <f>ToResult(裝備!E65)</f>
        <v/>
      </c>
      <c r="F65" t="str">
        <f>ToResult(裝備!F65)</f>
        <v/>
      </c>
      <c r="G65" t="str">
        <f>ToResult(裝備!G65)</f>
        <v/>
      </c>
      <c r="H65" t="str">
        <f>ToResult(裝備!H65)</f>
        <v/>
      </c>
      <c r="I65" t="str">
        <f>ToEquipRange(裝備!I65)</f>
        <v/>
      </c>
      <c r="J65" t="str">
        <f>ToEquipResource(裝備!J65)</f>
        <v/>
      </c>
    </row>
    <row r="66" spans="1:10">
      <c r="A66" t="str">
        <f>ToResult(裝備!A66)</f>
        <v/>
      </c>
      <c r="B66" t="str">
        <f>ToResult(裝備!B66)</f>
        <v/>
      </c>
      <c r="C66" t="str">
        <f>ToEquipMode(裝備!C66)</f>
        <v/>
      </c>
      <c r="D66" t="str">
        <f>ToResult(裝備!D66)</f>
        <v/>
      </c>
      <c r="E66" t="str">
        <f>ToResult(裝備!E66)</f>
        <v/>
      </c>
      <c r="F66" t="str">
        <f>ToResult(裝備!F66)</f>
        <v/>
      </c>
      <c r="G66" t="str">
        <f>ToResult(裝備!G66)</f>
        <v/>
      </c>
      <c r="H66" t="str">
        <f>ToResult(裝備!H66)</f>
        <v/>
      </c>
      <c r="I66" t="str">
        <f>ToEquipRange(裝備!I66)</f>
        <v/>
      </c>
      <c r="J66" t="str">
        <f>ToEquipResource(裝備!J66)</f>
        <v/>
      </c>
    </row>
    <row r="67" spans="1:10">
      <c r="A67" t="str">
        <f>ToResult(裝備!A67)</f>
        <v/>
      </c>
      <c r="B67" t="str">
        <f>ToResult(裝備!B67)</f>
        <v/>
      </c>
      <c r="C67" t="str">
        <f>ToEquipMode(裝備!C67)</f>
        <v/>
      </c>
      <c r="D67" t="str">
        <f>ToResult(裝備!D67)</f>
        <v/>
      </c>
      <c r="E67" t="str">
        <f>ToResult(裝備!E67)</f>
        <v/>
      </c>
      <c r="F67" t="str">
        <f>ToResult(裝備!F67)</f>
        <v/>
      </c>
      <c r="G67" t="str">
        <f>ToResult(裝備!G67)</f>
        <v/>
      </c>
      <c r="H67" t="str">
        <f>ToResult(裝備!H67)</f>
        <v/>
      </c>
      <c r="I67" t="str">
        <f>ToEquipRange(裝備!I67)</f>
        <v/>
      </c>
      <c r="J67" t="str">
        <f>ToEquipResource(裝備!J67)</f>
        <v/>
      </c>
    </row>
    <row r="68" spans="1:10">
      <c r="A68" t="str">
        <f>ToResult(裝備!A68)</f>
        <v/>
      </c>
      <c r="B68" t="str">
        <f>ToResult(裝備!B68)</f>
        <v/>
      </c>
      <c r="C68" t="str">
        <f>ToEquipMode(裝備!C68)</f>
        <v/>
      </c>
      <c r="D68" t="str">
        <f>ToResult(裝備!D68)</f>
        <v/>
      </c>
      <c r="E68" t="str">
        <f>ToResult(裝備!E68)</f>
        <v/>
      </c>
      <c r="F68" t="str">
        <f>ToResult(裝備!F68)</f>
        <v/>
      </c>
      <c r="G68" t="str">
        <f>ToResult(裝備!G68)</f>
        <v/>
      </c>
      <c r="H68" t="str">
        <f>ToResult(裝備!H68)</f>
        <v/>
      </c>
      <c r="I68" t="str">
        <f>ToEquipRange(裝備!I68)</f>
        <v/>
      </c>
      <c r="J68" t="str">
        <f>ToEquipResource(裝備!J68)</f>
        <v/>
      </c>
    </row>
    <row r="69" spans="1:10">
      <c r="A69" t="str">
        <f>ToResult(裝備!A69)</f>
        <v/>
      </c>
      <c r="B69" t="str">
        <f>ToResult(裝備!B69)</f>
        <v/>
      </c>
      <c r="C69" t="str">
        <f>ToEquipMode(裝備!C69)</f>
        <v/>
      </c>
      <c r="D69" t="str">
        <f>ToResult(裝備!D69)</f>
        <v/>
      </c>
      <c r="E69" t="str">
        <f>ToResult(裝備!E69)</f>
        <v/>
      </c>
      <c r="F69" t="str">
        <f>ToResult(裝備!F69)</f>
        <v/>
      </c>
      <c r="G69" t="str">
        <f>ToResult(裝備!G69)</f>
        <v/>
      </c>
      <c r="H69" t="str">
        <f>ToResult(裝備!H69)</f>
        <v/>
      </c>
      <c r="I69" t="str">
        <f>ToEquipRange(裝備!I69)</f>
        <v/>
      </c>
      <c r="J69" t="str">
        <f>ToEquipResource(裝備!J69)</f>
        <v/>
      </c>
    </row>
    <row r="70" spans="1:10">
      <c r="A70" t="str">
        <f>ToResult(裝備!A70)</f>
        <v/>
      </c>
      <c r="B70" t="str">
        <f>ToResult(裝備!B70)</f>
        <v/>
      </c>
      <c r="C70" t="str">
        <f>ToEquipMode(裝備!C70)</f>
        <v/>
      </c>
      <c r="D70" t="str">
        <f>ToResult(裝備!D70)</f>
        <v/>
      </c>
      <c r="E70" t="str">
        <f>ToResult(裝備!E70)</f>
        <v/>
      </c>
      <c r="F70" t="str">
        <f>ToResult(裝備!F70)</f>
        <v/>
      </c>
      <c r="G70" t="str">
        <f>ToResult(裝備!G70)</f>
        <v/>
      </c>
      <c r="H70" t="str">
        <f>ToResult(裝備!H70)</f>
        <v/>
      </c>
      <c r="I70" t="str">
        <f>ToEquipRange(裝備!I70)</f>
        <v/>
      </c>
      <c r="J70" t="str">
        <f>ToEquipResource(裝備!J70)</f>
        <v/>
      </c>
    </row>
    <row r="71" spans="1:10">
      <c r="A71" t="str">
        <f>ToResult(裝備!A71)</f>
        <v/>
      </c>
      <c r="B71" t="str">
        <f>ToResult(裝備!B71)</f>
        <v/>
      </c>
      <c r="C71" t="str">
        <f>ToEquipMode(裝備!C71)</f>
        <v/>
      </c>
      <c r="D71" t="str">
        <f>ToResult(裝備!D71)</f>
        <v/>
      </c>
      <c r="E71" t="str">
        <f>ToResult(裝備!E71)</f>
        <v/>
      </c>
      <c r="F71" t="str">
        <f>ToResult(裝備!F71)</f>
        <v/>
      </c>
      <c r="G71" t="str">
        <f>ToResult(裝備!G71)</f>
        <v/>
      </c>
      <c r="H71" t="str">
        <f>ToResult(裝備!H71)</f>
        <v/>
      </c>
      <c r="I71" t="str">
        <f>ToEquipRange(裝備!I71)</f>
        <v/>
      </c>
      <c r="J71" t="str">
        <f>ToEquipResource(裝備!J71)</f>
        <v/>
      </c>
    </row>
    <row r="72" spans="1:10">
      <c r="A72" t="str">
        <f>ToResult(裝備!A72)</f>
        <v/>
      </c>
      <c r="B72" t="str">
        <f>ToResult(裝備!B72)</f>
        <v/>
      </c>
      <c r="C72" t="str">
        <f>ToEquipMode(裝備!C72)</f>
        <v/>
      </c>
      <c r="D72" t="str">
        <f>ToResult(裝備!D72)</f>
        <v/>
      </c>
      <c r="E72" t="str">
        <f>ToResult(裝備!E72)</f>
        <v/>
      </c>
      <c r="F72" t="str">
        <f>ToResult(裝備!F72)</f>
        <v/>
      </c>
      <c r="G72" t="str">
        <f>ToResult(裝備!G72)</f>
        <v/>
      </c>
      <c r="H72" t="str">
        <f>ToResult(裝備!H72)</f>
        <v/>
      </c>
      <c r="I72" t="str">
        <f>ToEquipRange(裝備!I72)</f>
        <v/>
      </c>
      <c r="J72" t="str">
        <f>ToEquipResource(裝備!J72)</f>
        <v/>
      </c>
    </row>
    <row r="73" spans="1:10">
      <c r="A73" t="str">
        <f>ToResult(裝備!A73)</f>
        <v/>
      </c>
      <c r="B73" t="str">
        <f>ToResult(裝備!B73)</f>
        <v/>
      </c>
      <c r="C73" t="str">
        <f>ToEquipMode(裝備!C73)</f>
        <v/>
      </c>
      <c r="D73" t="str">
        <f>ToResult(裝備!D73)</f>
        <v/>
      </c>
      <c r="E73" t="str">
        <f>ToResult(裝備!E73)</f>
        <v/>
      </c>
      <c r="F73" t="str">
        <f>ToResult(裝備!F73)</f>
        <v/>
      </c>
      <c r="G73" t="str">
        <f>ToResult(裝備!G73)</f>
        <v/>
      </c>
      <c r="H73" t="str">
        <f>ToResult(裝備!H73)</f>
        <v/>
      </c>
      <c r="I73" t="str">
        <f>ToEquipRange(裝備!I73)</f>
        <v/>
      </c>
      <c r="J73" t="str">
        <f>ToEquipResource(裝備!J73)</f>
        <v/>
      </c>
    </row>
    <row r="74" spans="1:10">
      <c r="A74" t="str">
        <f>ToResult(裝備!A74)</f>
        <v/>
      </c>
      <c r="B74" t="str">
        <f>ToResult(裝備!B74)</f>
        <v/>
      </c>
      <c r="C74" t="str">
        <f>ToEquipMode(裝備!C74)</f>
        <v/>
      </c>
      <c r="D74" t="str">
        <f>ToResult(裝備!D74)</f>
        <v/>
      </c>
      <c r="E74" t="str">
        <f>ToResult(裝備!E74)</f>
        <v/>
      </c>
      <c r="F74" t="str">
        <f>ToResult(裝備!F74)</f>
        <v/>
      </c>
      <c r="G74" t="str">
        <f>ToResult(裝備!G74)</f>
        <v/>
      </c>
      <c r="H74" t="str">
        <f>ToResult(裝備!H74)</f>
        <v/>
      </c>
      <c r="I74" t="str">
        <f>ToEquipRange(裝備!I74)</f>
        <v/>
      </c>
      <c r="J74" t="str">
        <f>ToEquipResource(裝備!J74)</f>
        <v/>
      </c>
    </row>
    <row r="75" spans="1:10">
      <c r="A75" t="str">
        <f>ToResult(裝備!A75)</f>
        <v/>
      </c>
      <c r="B75" t="str">
        <f>ToResult(裝備!B75)</f>
        <v/>
      </c>
      <c r="C75" t="str">
        <f>ToEquipMode(裝備!C75)</f>
        <v/>
      </c>
      <c r="D75" t="str">
        <f>ToResult(裝備!D75)</f>
        <v/>
      </c>
      <c r="E75" t="str">
        <f>ToResult(裝備!E75)</f>
        <v/>
      </c>
      <c r="F75" t="str">
        <f>ToResult(裝備!F75)</f>
        <v/>
      </c>
      <c r="G75" t="str">
        <f>ToResult(裝備!G75)</f>
        <v/>
      </c>
      <c r="H75" t="str">
        <f>ToResult(裝備!H75)</f>
        <v/>
      </c>
      <c r="I75" t="str">
        <f>ToEquipRange(裝備!I75)</f>
        <v/>
      </c>
      <c r="J75" t="str">
        <f>ToEquipResource(裝備!J75)</f>
        <v/>
      </c>
    </row>
    <row r="76" spans="1:10">
      <c r="A76" t="str">
        <f>ToResult(裝備!A76)</f>
        <v/>
      </c>
      <c r="B76" t="str">
        <f>ToResult(裝備!B76)</f>
        <v/>
      </c>
      <c r="C76" t="str">
        <f>ToEquipMode(裝備!C76)</f>
        <v/>
      </c>
      <c r="D76" t="str">
        <f>ToResult(裝備!D76)</f>
        <v/>
      </c>
      <c r="E76" t="str">
        <f>ToResult(裝備!E76)</f>
        <v/>
      </c>
      <c r="F76" t="str">
        <f>ToResult(裝備!F76)</f>
        <v/>
      </c>
      <c r="G76" t="str">
        <f>ToResult(裝備!G76)</f>
        <v/>
      </c>
      <c r="H76" t="str">
        <f>ToResult(裝備!H76)</f>
        <v/>
      </c>
      <c r="I76" t="str">
        <f>ToEquipRange(裝備!I76)</f>
        <v/>
      </c>
      <c r="J76" t="str">
        <f>ToEquipResource(裝備!J76)</f>
        <v/>
      </c>
    </row>
    <row r="77" spans="1:10">
      <c r="A77" t="str">
        <f>ToResult(裝備!A77)</f>
        <v/>
      </c>
      <c r="B77" t="str">
        <f>ToResult(裝備!B77)</f>
        <v/>
      </c>
      <c r="C77" t="str">
        <f>ToEquipMode(裝備!C77)</f>
        <v/>
      </c>
      <c r="D77" t="str">
        <f>ToResult(裝備!D77)</f>
        <v/>
      </c>
      <c r="E77" t="str">
        <f>ToResult(裝備!E77)</f>
        <v/>
      </c>
      <c r="F77" t="str">
        <f>ToResult(裝備!F77)</f>
        <v/>
      </c>
      <c r="G77" t="str">
        <f>ToResult(裝備!G77)</f>
        <v/>
      </c>
      <c r="H77" t="str">
        <f>ToResult(裝備!H77)</f>
        <v/>
      </c>
      <c r="I77" t="str">
        <f>ToEquipRange(裝備!I77)</f>
        <v/>
      </c>
      <c r="J77" t="str">
        <f>ToEquipResource(裝備!J77)</f>
        <v/>
      </c>
    </row>
    <row r="78" spans="1:10">
      <c r="A78" t="str">
        <f>ToResult(裝備!A78)</f>
        <v/>
      </c>
      <c r="B78" t="str">
        <f>ToResult(裝備!B78)</f>
        <v/>
      </c>
      <c r="C78" t="str">
        <f>ToEquipMode(裝備!C78)</f>
        <v/>
      </c>
      <c r="D78" t="str">
        <f>ToResult(裝備!D78)</f>
        <v/>
      </c>
      <c r="E78" t="str">
        <f>ToResult(裝備!E78)</f>
        <v/>
      </c>
      <c r="F78" t="str">
        <f>ToResult(裝備!F78)</f>
        <v/>
      </c>
      <c r="G78" t="str">
        <f>ToResult(裝備!G78)</f>
        <v/>
      </c>
      <c r="H78" t="str">
        <f>ToResult(裝備!H78)</f>
        <v/>
      </c>
      <c r="I78" t="str">
        <f>ToEquipRange(裝備!I78)</f>
        <v/>
      </c>
      <c r="J78" t="str">
        <f>ToEquipResource(裝備!J78)</f>
        <v/>
      </c>
    </row>
    <row r="79" spans="1:10">
      <c r="A79" t="str">
        <f>ToResult(裝備!A79)</f>
        <v/>
      </c>
      <c r="B79" t="str">
        <f>ToResult(裝備!B79)</f>
        <v/>
      </c>
      <c r="C79" t="str">
        <f>ToEquipMode(裝備!C79)</f>
        <v/>
      </c>
      <c r="D79" t="str">
        <f>ToResult(裝備!D79)</f>
        <v/>
      </c>
      <c r="E79" t="str">
        <f>ToResult(裝備!E79)</f>
        <v/>
      </c>
      <c r="F79" t="str">
        <f>ToResult(裝備!F79)</f>
        <v/>
      </c>
      <c r="G79" t="str">
        <f>ToResult(裝備!G79)</f>
        <v/>
      </c>
      <c r="H79" t="str">
        <f>ToResult(裝備!H79)</f>
        <v/>
      </c>
      <c r="I79" t="str">
        <f>ToEquipRange(裝備!I79)</f>
        <v/>
      </c>
      <c r="J79" t="str">
        <f>ToEquipResource(裝備!J79)</f>
        <v/>
      </c>
    </row>
    <row r="80" spans="1:10">
      <c r="A80" t="str">
        <f>ToResult(裝備!A80)</f>
        <v/>
      </c>
      <c r="B80" t="str">
        <f>ToResult(裝備!B80)</f>
        <v/>
      </c>
      <c r="C80" t="str">
        <f>ToEquipMode(裝備!C80)</f>
        <v/>
      </c>
      <c r="D80" t="str">
        <f>ToResult(裝備!D80)</f>
        <v/>
      </c>
      <c r="E80" t="str">
        <f>ToResult(裝備!E80)</f>
        <v/>
      </c>
      <c r="F80" t="str">
        <f>ToResult(裝備!F80)</f>
        <v/>
      </c>
      <c r="G80" t="str">
        <f>ToResult(裝備!G80)</f>
        <v/>
      </c>
      <c r="H80" t="str">
        <f>ToResult(裝備!H80)</f>
        <v/>
      </c>
      <c r="I80" t="str">
        <f>ToEquipRange(裝備!I80)</f>
        <v/>
      </c>
      <c r="J80" t="str">
        <f>ToEquipResource(裝備!J80)</f>
        <v/>
      </c>
    </row>
    <row r="81" spans="1:10">
      <c r="A81" t="str">
        <f>ToResult(裝備!A81)</f>
        <v/>
      </c>
      <c r="B81" t="str">
        <f>ToResult(裝備!B81)</f>
        <v/>
      </c>
      <c r="C81" t="str">
        <f>ToEquipMode(裝備!C81)</f>
        <v/>
      </c>
      <c r="D81" t="str">
        <f>ToResult(裝備!D81)</f>
        <v/>
      </c>
      <c r="E81" t="str">
        <f>ToResult(裝備!E81)</f>
        <v/>
      </c>
      <c r="F81" t="str">
        <f>ToResult(裝備!F81)</f>
        <v/>
      </c>
      <c r="G81" t="str">
        <f>ToResult(裝備!G81)</f>
        <v/>
      </c>
      <c r="H81" t="str">
        <f>ToResult(裝備!H81)</f>
        <v/>
      </c>
      <c r="I81" t="str">
        <f>ToEquipRange(裝備!I81)</f>
        <v/>
      </c>
      <c r="J81" t="str">
        <f>ToEquipResource(裝備!J81)</f>
        <v/>
      </c>
    </row>
    <row r="82" spans="1:10">
      <c r="A82" t="str">
        <f>ToResult(裝備!A82)</f>
        <v/>
      </c>
      <c r="B82" t="str">
        <f>ToResult(裝備!B82)</f>
        <v/>
      </c>
      <c r="C82" t="str">
        <f>ToEquipMode(裝備!C82)</f>
        <v/>
      </c>
      <c r="D82" t="str">
        <f>ToResult(裝備!D82)</f>
        <v/>
      </c>
      <c r="E82" t="str">
        <f>ToResult(裝備!E82)</f>
        <v/>
      </c>
      <c r="F82" t="str">
        <f>ToResult(裝備!F82)</f>
        <v/>
      </c>
      <c r="G82" t="str">
        <f>ToResult(裝備!G82)</f>
        <v/>
      </c>
      <c r="H82" t="str">
        <f>ToResult(裝備!H82)</f>
        <v/>
      </c>
      <c r="I82" t="str">
        <f>ToEquipRange(裝備!I82)</f>
        <v/>
      </c>
      <c r="J82" t="str">
        <f>ToEquipResource(裝備!J82)</f>
        <v/>
      </c>
    </row>
    <row r="83" spans="1:10">
      <c r="A83" t="str">
        <f>ToResult(裝備!A83)</f>
        <v/>
      </c>
      <c r="B83" t="str">
        <f>ToResult(裝備!B83)</f>
        <v/>
      </c>
      <c r="C83" t="str">
        <f>ToEquipMode(裝備!C83)</f>
        <v/>
      </c>
      <c r="D83" t="str">
        <f>ToResult(裝備!D83)</f>
        <v/>
      </c>
      <c r="E83" t="str">
        <f>ToResult(裝備!E83)</f>
        <v/>
      </c>
      <c r="F83" t="str">
        <f>ToResult(裝備!F83)</f>
        <v/>
      </c>
      <c r="G83" t="str">
        <f>ToResult(裝備!G83)</f>
        <v/>
      </c>
      <c r="H83" t="str">
        <f>ToResult(裝備!H83)</f>
        <v/>
      </c>
      <c r="I83" t="str">
        <f>ToEquipRange(裝備!I83)</f>
        <v/>
      </c>
      <c r="J83" t="str">
        <f>ToEquipResource(裝備!J83)</f>
        <v/>
      </c>
    </row>
    <row r="84" spans="1:10">
      <c r="A84" t="str">
        <f>ToResult(裝備!A84)</f>
        <v/>
      </c>
      <c r="B84" t="str">
        <f>ToResult(裝備!B84)</f>
        <v/>
      </c>
      <c r="C84" t="str">
        <f>ToEquipMode(裝備!C84)</f>
        <v/>
      </c>
      <c r="D84" t="str">
        <f>ToResult(裝備!D84)</f>
        <v/>
      </c>
      <c r="E84" t="str">
        <f>ToResult(裝備!E84)</f>
        <v/>
      </c>
      <c r="F84" t="str">
        <f>ToResult(裝備!F84)</f>
        <v/>
      </c>
      <c r="G84" t="str">
        <f>ToResult(裝備!G84)</f>
        <v/>
      </c>
      <c r="H84" t="str">
        <f>ToResult(裝備!H84)</f>
        <v/>
      </c>
      <c r="I84" t="str">
        <f>ToEquipRange(裝備!I84)</f>
        <v/>
      </c>
      <c r="J84" t="str">
        <f>ToEquipResource(裝備!J84)</f>
        <v/>
      </c>
    </row>
    <row r="85" spans="1:10">
      <c r="A85" t="str">
        <f>ToResult(裝備!A85)</f>
        <v/>
      </c>
      <c r="B85" t="str">
        <f>ToResult(裝備!B85)</f>
        <v/>
      </c>
      <c r="C85" t="str">
        <f>ToEquipMode(裝備!C85)</f>
        <v/>
      </c>
      <c r="D85" t="str">
        <f>ToResult(裝備!D85)</f>
        <v/>
      </c>
      <c r="E85" t="str">
        <f>ToResult(裝備!E85)</f>
        <v/>
      </c>
      <c r="F85" t="str">
        <f>ToResult(裝備!F85)</f>
        <v/>
      </c>
      <c r="G85" t="str">
        <f>ToResult(裝備!G85)</f>
        <v/>
      </c>
      <c r="H85" t="str">
        <f>ToResult(裝備!H85)</f>
        <v/>
      </c>
      <c r="I85" t="str">
        <f>ToEquipRange(裝備!I85)</f>
        <v/>
      </c>
      <c r="J85" t="str">
        <f>ToEquipResource(裝備!J85)</f>
        <v/>
      </c>
    </row>
    <row r="86" spans="1:10">
      <c r="A86" t="str">
        <f>ToResult(裝備!A86)</f>
        <v/>
      </c>
      <c r="B86" t="str">
        <f>ToResult(裝備!B86)</f>
        <v/>
      </c>
      <c r="C86" t="str">
        <f>ToEquipMode(裝備!C86)</f>
        <v/>
      </c>
      <c r="D86" t="str">
        <f>ToResult(裝備!D86)</f>
        <v/>
      </c>
      <c r="E86" t="str">
        <f>ToResult(裝備!E86)</f>
        <v/>
      </c>
      <c r="F86" t="str">
        <f>ToResult(裝備!F86)</f>
        <v/>
      </c>
      <c r="G86" t="str">
        <f>ToResult(裝備!G86)</f>
        <v/>
      </c>
      <c r="H86" t="str">
        <f>ToResult(裝備!H86)</f>
        <v/>
      </c>
      <c r="I86" t="str">
        <f>ToEquipRange(裝備!I86)</f>
        <v/>
      </c>
      <c r="J86" t="str">
        <f>ToEquipResource(裝備!J86)</f>
        <v/>
      </c>
    </row>
    <row r="87" spans="1:10">
      <c r="A87" t="str">
        <f>ToResult(裝備!A87)</f>
        <v/>
      </c>
      <c r="B87" t="str">
        <f>ToResult(裝備!B87)</f>
        <v/>
      </c>
      <c r="C87" t="str">
        <f>ToEquipMode(裝備!C87)</f>
        <v/>
      </c>
      <c r="D87" t="str">
        <f>ToResult(裝備!D87)</f>
        <v/>
      </c>
      <c r="E87" t="str">
        <f>ToResult(裝備!E87)</f>
        <v/>
      </c>
      <c r="F87" t="str">
        <f>ToResult(裝備!F87)</f>
        <v/>
      </c>
      <c r="G87" t="str">
        <f>ToResult(裝備!G87)</f>
        <v/>
      </c>
      <c r="H87" t="str">
        <f>ToResult(裝備!H87)</f>
        <v/>
      </c>
      <c r="I87" t="str">
        <f>ToEquipRange(裝備!I87)</f>
        <v/>
      </c>
      <c r="J87" t="str">
        <f>ToEquipResource(裝備!J87)</f>
        <v/>
      </c>
    </row>
    <row r="88" spans="1:10">
      <c r="A88" t="str">
        <f>ToResult(裝備!A88)</f>
        <v/>
      </c>
      <c r="B88" t="str">
        <f>ToResult(裝備!B88)</f>
        <v/>
      </c>
      <c r="C88" t="str">
        <f>ToEquipMode(裝備!C88)</f>
        <v/>
      </c>
      <c r="D88" t="str">
        <f>ToResult(裝備!D88)</f>
        <v/>
      </c>
      <c r="E88" t="str">
        <f>ToResult(裝備!E88)</f>
        <v/>
      </c>
      <c r="F88" t="str">
        <f>ToResult(裝備!F88)</f>
        <v/>
      </c>
      <c r="G88" t="str">
        <f>ToResult(裝備!G88)</f>
        <v/>
      </c>
      <c r="H88" t="str">
        <f>ToResult(裝備!H88)</f>
        <v/>
      </c>
      <c r="I88" t="str">
        <f>ToEquipRange(裝備!I88)</f>
        <v/>
      </c>
      <c r="J88" t="str">
        <f>ToEquipResource(裝備!J88)</f>
        <v/>
      </c>
    </row>
    <row r="89" spans="1:10">
      <c r="A89" t="str">
        <f>ToResult(裝備!A89)</f>
        <v/>
      </c>
      <c r="B89" t="str">
        <f>ToResult(裝備!B89)</f>
        <v/>
      </c>
      <c r="C89" t="str">
        <f>ToEquipMode(裝備!C89)</f>
        <v/>
      </c>
      <c r="D89" t="str">
        <f>ToResult(裝備!D89)</f>
        <v/>
      </c>
      <c r="E89" t="str">
        <f>ToResult(裝備!E89)</f>
        <v/>
      </c>
      <c r="F89" t="str">
        <f>ToResult(裝備!F89)</f>
        <v/>
      </c>
      <c r="G89" t="str">
        <f>ToResult(裝備!G89)</f>
        <v/>
      </c>
      <c r="H89" t="str">
        <f>ToResult(裝備!H89)</f>
        <v/>
      </c>
      <c r="I89" t="str">
        <f>ToEquipRange(裝備!I89)</f>
        <v/>
      </c>
      <c r="J89" t="str">
        <f>ToEquipResource(裝備!J89)</f>
        <v/>
      </c>
    </row>
    <row r="90" spans="1:10">
      <c r="A90" t="str">
        <f>ToResult(裝備!A90)</f>
        <v/>
      </c>
      <c r="B90" t="str">
        <f>ToResult(裝備!B90)</f>
        <v/>
      </c>
      <c r="C90" t="str">
        <f>ToEquipMode(裝備!C90)</f>
        <v/>
      </c>
      <c r="D90" t="str">
        <f>ToResult(裝備!D90)</f>
        <v/>
      </c>
      <c r="E90" t="str">
        <f>ToResult(裝備!E90)</f>
        <v/>
      </c>
      <c r="F90" t="str">
        <f>ToResult(裝備!F90)</f>
        <v/>
      </c>
      <c r="G90" t="str">
        <f>ToResult(裝備!G90)</f>
        <v/>
      </c>
      <c r="H90" t="str">
        <f>ToResult(裝備!H90)</f>
        <v/>
      </c>
      <c r="I90" t="str">
        <f>ToEquipRange(裝備!I90)</f>
        <v/>
      </c>
      <c r="J90" t="str">
        <f>ToEquipResource(裝備!J90)</f>
        <v/>
      </c>
    </row>
    <row r="91" spans="1:10">
      <c r="A91" t="str">
        <f>ToResult(裝備!A91)</f>
        <v/>
      </c>
      <c r="B91" t="str">
        <f>ToResult(裝備!B91)</f>
        <v/>
      </c>
      <c r="C91" t="str">
        <f>ToEquipMode(裝備!C91)</f>
        <v/>
      </c>
      <c r="D91" t="str">
        <f>ToResult(裝備!D91)</f>
        <v/>
      </c>
      <c r="E91" t="str">
        <f>ToResult(裝備!E91)</f>
        <v/>
      </c>
      <c r="F91" t="str">
        <f>ToResult(裝備!F91)</f>
        <v/>
      </c>
      <c r="G91" t="str">
        <f>ToResult(裝備!G91)</f>
        <v/>
      </c>
      <c r="H91" t="str">
        <f>ToResult(裝備!H91)</f>
        <v/>
      </c>
      <c r="I91" t="str">
        <f>ToEquipRange(裝備!I91)</f>
        <v/>
      </c>
      <c r="J91" t="str">
        <f>ToEquipResource(裝備!J91)</f>
        <v/>
      </c>
    </row>
    <row r="92" spans="1:10">
      <c r="A92" t="str">
        <f>ToResult(裝備!A92)</f>
        <v/>
      </c>
      <c r="B92" t="str">
        <f>ToResult(裝備!B92)</f>
        <v/>
      </c>
      <c r="C92" t="str">
        <f>ToEquipMode(裝備!C92)</f>
        <v/>
      </c>
      <c r="D92" t="str">
        <f>ToResult(裝備!D92)</f>
        <v/>
      </c>
      <c r="E92" t="str">
        <f>ToResult(裝備!E92)</f>
        <v/>
      </c>
      <c r="F92" t="str">
        <f>ToResult(裝備!F92)</f>
        <v/>
      </c>
      <c r="G92" t="str">
        <f>ToResult(裝備!G92)</f>
        <v/>
      </c>
      <c r="H92" t="str">
        <f>ToResult(裝備!H92)</f>
        <v/>
      </c>
      <c r="I92" t="str">
        <f>ToEquipRange(裝備!I92)</f>
        <v/>
      </c>
      <c r="J92" t="str">
        <f>ToEquipResource(裝備!J92)</f>
        <v/>
      </c>
    </row>
    <row r="93" spans="1:10">
      <c r="A93" t="str">
        <f>ToResult(裝備!A93)</f>
        <v/>
      </c>
      <c r="B93" t="str">
        <f>ToResult(裝備!B93)</f>
        <v/>
      </c>
      <c r="C93" t="str">
        <f>ToEquipMode(裝備!C93)</f>
        <v/>
      </c>
      <c r="D93" t="str">
        <f>ToResult(裝備!D93)</f>
        <v/>
      </c>
      <c r="E93" t="str">
        <f>ToResult(裝備!E93)</f>
        <v/>
      </c>
      <c r="F93" t="str">
        <f>ToResult(裝備!F93)</f>
        <v/>
      </c>
      <c r="G93" t="str">
        <f>ToResult(裝備!G93)</f>
        <v/>
      </c>
      <c r="H93" t="str">
        <f>ToResult(裝備!H93)</f>
        <v/>
      </c>
      <c r="I93" t="str">
        <f>ToEquipRange(裝備!I93)</f>
        <v/>
      </c>
      <c r="J93" t="str">
        <f>ToEquipResource(裝備!J93)</f>
        <v/>
      </c>
    </row>
    <row r="94" spans="1:10">
      <c r="A94" t="str">
        <f>ToResult(裝備!A94)</f>
        <v/>
      </c>
      <c r="B94" t="str">
        <f>ToResult(裝備!B94)</f>
        <v/>
      </c>
      <c r="C94" t="str">
        <f>ToEquipMode(裝備!C94)</f>
        <v/>
      </c>
      <c r="D94" t="str">
        <f>ToResult(裝備!D94)</f>
        <v/>
      </c>
      <c r="E94" t="str">
        <f>ToResult(裝備!E94)</f>
        <v/>
      </c>
      <c r="F94" t="str">
        <f>ToResult(裝備!F94)</f>
        <v/>
      </c>
      <c r="G94" t="str">
        <f>ToResult(裝備!G94)</f>
        <v/>
      </c>
      <c r="H94" t="str">
        <f>ToResult(裝備!H94)</f>
        <v/>
      </c>
      <c r="I94" t="str">
        <f>ToEquipRange(裝備!I94)</f>
        <v/>
      </c>
      <c r="J94" t="str">
        <f>ToEquipResource(裝備!J94)</f>
        <v/>
      </c>
    </row>
    <row r="95" spans="1:10">
      <c r="A95" t="str">
        <f>ToResult(裝備!A95)</f>
        <v/>
      </c>
      <c r="B95" t="str">
        <f>ToResult(裝備!B95)</f>
        <v/>
      </c>
      <c r="C95" t="str">
        <f>ToEquipMode(裝備!C95)</f>
        <v/>
      </c>
      <c r="D95" t="str">
        <f>ToResult(裝備!D95)</f>
        <v/>
      </c>
      <c r="E95" t="str">
        <f>ToResult(裝備!E95)</f>
        <v/>
      </c>
      <c r="F95" t="str">
        <f>ToResult(裝備!F95)</f>
        <v/>
      </c>
      <c r="G95" t="str">
        <f>ToResult(裝備!G95)</f>
        <v/>
      </c>
      <c r="H95" t="str">
        <f>ToResult(裝備!H95)</f>
        <v/>
      </c>
      <c r="I95" t="str">
        <f>ToEquipRange(裝備!I95)</f>
        <v/>
      </c>
      <c r="J95" t="str">
        <f>ToEquipResource(裝備!J95)</f>
        <v/>
      </c>
    </row>
    <row r="96" spans="1:10">
      <c r="A96" t="str">
        <f>ToResult(裝備!A96)</f>
        <v/>
      </c>
      <c r="B96" t="str">
        <f>ToResult(裝備!B96)</f>
        <v/>
      </c>
      <c r="C96" t="str">
        <f>ToEquipMode(裝備!C96)</f>
        <v/>
      </c>
      <c r="D96" t="str">
        <f>ToResult(裝備!D96)</f>
        <v/>
      </c>
      <c r="E96" t="str">
        <f>ToResult(裝備!E96)</f>
        <v/>
      </c>
      <c r="F96" t="str">
        <f>ToResult(裝備!F96)</f>
        <v/>
      </c>
      <c r="G96" t="str">
        <f>ToResult(裝備!G96)</f>
        <v/>
      </c>
      <c r="H96" t="str">
        <f>ToResult(裝備!H96)</f>
        <v/>
      </c>
      <c r="I96" t="str">
        <f>ToEquipRange(裝備!I96)</f>
        <v/>
      </c>
      <c r="J96" t="str">
        <f>ToEquipResource(裝備!J96)</f>
        <v/>
      </c>
    </row>
    <row r="97" spans="1:10">
      <c r="A97" t="str">
        <f>ToResult(裝備!A97)</f>
        <v/>
      </c>
      <c r="B97" t="str">
        <f>ToResult(裝備!B97)</f>
        <v/>
      </c>
      <c r="C97" t="str">
        <f>ToEquipMode(裝備!C97)</f>
        <v/>
      </c>
      <c r="D97" t="str">
        <f>ToResult(裝備!D97)</f>
        <v/>
      </c>
      <c r="E97" t="str">
        <f>ToResult(裝備!E97)</f>
        <v/>
      </c>
      <c r="F97" t="str">
        <f>ToResult(裝備!F97)</f>
        <v/>
      </c>
      <c r="G97" t="str">
        <f>ToResult(裝備!G97)</f>
        <v/>
      </c>
      <c r="H97" t="str">
        <f>ToResult(裝備!H97)</f>
        <v/>
      </c>
      <c r="I97" t="str">
        <f>ToEquipRange(裝備!I97)</f>
        <v/>
      </c>
      <c r="J97" t="str">
        <f>ToEquipResource(裝備!J97)</f>
        <v/>
      </c>
    </row>
    <row r="98" spans="1:10">
      <c r="A98" t="str">
        <f>ToResult(裝備!A98)</f>
        <v/>
      </c>
      <c r="B98" t="str">
        <f>ToResult(裝備!B98)</f>
        <v/>
      </c>
      <c r="C98" t="str">
        <f>ToEquipMode(裝備!C98)</f>
        <v/>
      </c>
      <c r="D98" t="str">
        <f>ToResult(裝備!D98)</f>
        <v/>
      </c>
      <c r="E98" t="str">
        <f>ToResult(裝備!E98)</f>
        <v/>
      </c>
      <c r="F98" t="str">
        <f>ToResult(裝備!F98)</f>
        <v/>
      </c>
      <c r="G98" t="str">
        <f>ToResult(裝備!G98)</f>
        <v/>
      </c>
      <c r="H98" t="str">
        <f>ToResult(裝備!H98)</f>
        <v/>
      </c>
      <c r="I98" t="str">
        <f>ToEquipRange(裝備!I98)</f>
        <v/>
      </c>
      <c r="J98" t="str">
        <f>ToEquipResource(裝備!J98)</f>
        <v/>
      </c>
    </row>
    <row r="99" spans="1:10">
      <c r="A99" t="str">
        <f>ToResult(裝備!A99)</f>
        <v/>
      </c>
      <c r="B99" t="str">
        <f>ToResult(裝備!B99)</f>
        <v/>
      </c>
      <c r="C99" t="str">
        <f>ToEquipMode(裝備!C99)</f>
        <v/>
      </c>
      <c r="D99" t="str">
        <f>ToResult(裝備!D99)</f>
        <v/>
      </c>
      <c r="E99" t="str">
        <f>ToResult(裝備!E99)</f>
        <v/>
      </c>
      <c r="F99" t="str">
        <f>ToResult(裝備!F99)</f>
        <v/>
      </c>
      <c r="G99" t="str">
        <f>ToResult(裝備!G99)</f>
        <v/>
      </c>
      <c r="H99" t="str">
        <f>ToResult(裝備!H99)</f>
        <v/>
      </c>
      <c r="I99" t="str">
        <f>ToEquipRange(裝備!I99)</f>
        <v/>
      </c>
      <c r="J99" t="str">
        <f>ToEquipResource(裝備!J99)</f>
        <v/>
      </c>
    </row>
    <row r="100" spans="1:10">
      <c r="A100" t="str">
        <f>ToResult(裝備!A100)</f>
        <v/>
      </c>
      <c r="B100" t="str">
        <f>ToResult(裝備!B100)</f>
        <v/>
      </c>
      <c r="C100" t="str">
        <f>ToEquipMode(裝備!C100)</f>
        <v/>
      </c>
      <c r="D100" t="str">
        <f>ToResult(裝備!D100)</f>
        <v/>
      </c>
      <c r="E100" t="str">
        <f>ToResult(裝備!E100)</f>
        <v/>
      </c>
      <c r="F100" t="str">
        <f>ToResult(裝備!F100)</f>
        <v/>
      </c>
      <c r="G100" t="str">
        <f>ToResult(裝備!G100)</f>
        <v/>
      </c>
      <c r="H100" t="str">
        <f>ToResult(裝備!H100)</f>
        <v/>
      </c>
      <c r="I100" t="str">
        <f>ToEquipRange(裝備!I100)</f>
        <v/>
      </c>
      <c r="J100" t="str">
        <f>ToEquipResource(裝備!J100)</f>
        <v/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H100"/>
  <sheetViews>
    <sheetView workbookViewId="0">
      <selection activeCell="A100" sqref="A100"/>
    </sheetView>
  </sheetViews>
  <sheetFormatPr defaultRowHeight="16.5"/>
  <cols>
    <col min="1" max="8" width="15.625" customWidth="1"/>
  </cols>
  <sheetData>
    <row r="1" spans="1:8" s="4" customFormat="1">
      <c r="A1" s="4" t="str">
        <f>特性!A1</f>
        <v>GUID</v>
      </c>
      <c r="B1" s="28" t="str">
        <f>特性!B1</f>
        <v>StrID</v>
      </c>
      <c r="C1" s="28" t="str">
        <f>特性!C1</f>
        <v>Mode</v>
      </c>
      <c r="D1" s="28" t="str">
        <f>特性!D1</f>
        <v>Threat</v>
      </c>
      <c r="E1" s="28" t="str">
        <f>特性!E1</f>
        <v>Gain</v>
      </c>
      <c r="F1" s="28" t="str">
        <f>特性!F1</f>
        <v>Group</v>
      </c>
      <c r="G1" s="28" t="str">
        <f>特性!G1</f>
        <v>Value</v>
      </c>
      <c r="H1" s="28" t="str">
        <f>特性!H1</f>
        <v>Description</v>
      </c>
    </row>
    <row r="2" spans="1:8">
      <c r="A2" t="str">
        <f>ToResult(特性!A2)</f>
        <v>1</v>
      </c>
      <c r="B2" t="str">
        <f>ToResult(特性!B2)</f>
        <v>2001</v>
      </c>
      <c r="C2" t="str">
        <f>ToFeatureMode(特性!C2)</f>
        <v>1</v>
      </c>
      <c r="D2" t="str">
        <f>ToResult(特性!D2)</f>
        <v>4</v>
      </c>
      <c r="E2" t="str">
        <f>ToResult(特性!E2)</f>
        <v>3</v>
      </c>
      <c r="F2" t="str">
        <f>ToResult(特性!F2)</f>
        <v>1</v>
      </c>
      <c r="G2" t="str">
        <f>ToResult(特性!G2)</f>
        <v>4</v>
      </c>
      <c r="H2" t="str">
        <f>ToResult(特性!H2)</f>
        <v>3001</v>
      </c>
    </row>
    <row r="3" spans="1:8">
      <c r="A3" t="str">
        <f>ToResult(特性!A3)</f>
        <v>2</v>
      </c>
      <c r="B3" t="str">
        <f>ToResult(特性!B3)</f>
        <v>2002</v>
      </c>
      <c r="C3" t="str">
        <f>ToFeatureMode(特性!C3)</f>
        <v>1</v>
      </c>
      <c r="D3" t="str">
        <f>ToResult(特性!D3)</f>
        <v>6</v>
      </c>
      <c r="E3" t="str">
        <f>ToResult(特性!E3)</f>
        <v>3</v>
      </c>
      <c r="F3" t="str">
        <f>ToResult(特性!F3)</f>
        <v>1</v>
      </c>
      <c r="G3" t="str">
        <f>ToResult(特性!G3)</f>
        <v>8</v>
      </c>
      <c r="H3" t="str">
        <f>ToResult(特性!H3)</f>
        <v>3002</v>
      </c>
    </row>
    <row r="4" spans="1:8">
      <c r="A4" t="str">
        <f>ToResult(特性!A4)</f>
        <v>3</v>
      </c>
      <c r="B4" t="str">
        <f>ToResult(特性!B4)</f>
        <v>2003</v>
      </c>
      <c r="C4" t="str">
        <f>ToFeatureMode(特性!C4)</f>
        <v>1</v>
      </c>
      <c r="D4" t="str">
        <f>ToResult(特性!D4)</f>
        <v>0</v>
      </c>
      <c r="E4" t="str">
        <f>ToResult(特性!E4)</f>
        <v>3</v>
      </c>
      <c r="F4" t="str">
        <f>ToResult(特性!F4)</f>
        <v>2</v>
      </c>
      <c r="G4" t="str">
        <f>ToResult(特性!G4)</f>
        <v>-4</v>
      </c>
      <c r="H4" t="str">
        <f>ToResult(特性!H4)</f>
        <v>3003</v>
      </c>
    </row>
    <row r="5" spans="1:8">
      <c r="A5" t="str">
        <f>ToResult(特性!A5)</f>
        <v>4</v>
      </c>
      <c r="B5" t="str">
        <f>ToResult(特性!B5)</f>
        <v>2004</v>
      </c>
      <c r="C5" t="str">
        <f>ToFeatureMode(特性!C5)</f>
        <v>1</v>
      </c>
      <c r="D5" t="str">
        <f>ToResult(特性!D5)</f>
        <v>0</v>
      </c>
      <c r="E5" t="str">
        <f>ToResult(特性!E5)</f>
        <v>3</v>
      </c>
      <c r="F5" t="str">
        <f>ToResult(特性!F5)</f>
        <v>2</v>
      </c>
      <c r="G5" t="str">
        <f>ToResult(特性!G5)</f>
        <v>-8</v>
      </c>
      <c r="H5" t="str">
        <f>ToResult(特性!H5)</f>
        <v>3004</v>
      </c>
    </row>
    <row r="6" spans="1:8">
      <c r="A6" t="str">
        <f>ToResult(特性!A6)</f>
        <v>5</v>
      </c>
      <c r="B6" t="str">
        <f>ToResult(特性!B6)</f>
        <v>2005</v>
      </c>
      <c r="C6" t="str">
        <f>ToFeatureMode(特性!C6)</f>
        <v>2</v>
      </c>
      <c r="D6" t="str">
        <f>ToResult(特性!D6)</f>
        <v>8</v>
      </c>
      <c r="E6" t="str">
        <f>ToResult(特性!E6)</f>
        <v>3</v>
      </c>
      <c r="F6" t="str">
        <f>ToResult(特性!F6)</f>
        <v>3</v>
      </c>
      <c r="G6" t="str">
        <f>ToResult(特性!G6)</f>
        <v>2</v>
      </c>
      <c r="H6" t="str">
        <f>ToResult(特性!H6)</f>
        <v>3005</v>
      </c>
    </row>
    <row r="7" spans="1:8">
      <c r="A7" t="str">
        <f>ToResult(特性!A7)</f>
        <v>6</v>
      </c>
      <c r="B7" t="str">
        <f>ToResult(特性!B7)</f>
        <v>2006</v>
      </c>
      <c r="C7" t="str">
        <f>ToFeatureMode(特性!C7)</f>
        <v>2</v>
      </c>
      <c r="D7" t="str">
        <f>ToResult(特性!D7)</f>
        <v>10</v>
      </c>
      <c r="E7" t="str">
        <f>ToResult(特性!E7)</f>
        <v>3</v>
      </c>
      <c r="F7" t="str">
        <f>ToResult(特性!F7)</f>
        <v>3</v>
      </c>
      <c r="G7" t="str">
        <f>ToResult(特性!G7)</f>
        <v>3</v>
      </c>
      <c r="H7" t="str">
        <f>ToResult(特性!H7)</f>
        <v>3006</v>
      </c>
    </row>
    <row r="8" spans="1:8">
      <c r="A8" t="str">
        <f>ToResult(特性!A8)</f>
        <v>7</v>
      </c>
      <c r="B8" t="str">
        <f>ToResult(特性!B8)</f>
        <v>2007</v>
      </c>
      <c r="C8" t="str">
        <f>ToFeatureMode(特性!C8)</f>
        <v>2</v>
      </c>
      <c r="D8" t="str">
        <f>ToResult(特性!D8)</f>
        <v>0</v>
      </c>
      <c r="E8" t="str">
        <f>ToResult(特性!E8)</f>
        <v>3</v>
      </c>
      <c r="F8" t="str">
        <f>ToResult(特性!F8)</f>
        <v>3</v>
      </c>
      <c r="G8" t="str">
        <f>ToResult(特性!G8)</f>
        <v>-2</v>
      </c>
      <c r="H8" t="str">
        <f>ToResult(特性!H8)</f>
        <v>3007</v>
      </c>
    </row>
    <row r="9" spans="1:8">
      <c r="A9" t="str">
        <f>ToResult(特性!A9)</f>
        <v>8</v>
      </c>
      <c r="B9" t="str">
        <f>ToResult(特性!B9)</f>
        <v>2008</v>
      </c>
      <c r="C9" t="str">
        <f>ToFeatureMode(特性!C9)</f>
        <v>2</v>
      </c>
      <c r="D9" t="str">
        <f>ToResult(特性!D9)</f>
        <v>0</v>
      </c>
      <c r="E9" t="str">
        <f>ToResult(特性!E9)</f>
        <v>3</v>
      </c>
      <c r="F9" t="str">
        <f>ToResult(特性!F9)</f>
        <v>3</v>
      </c>
      <c r="G9" t="str">
        <f>ToResult(特性!G9)</f>
        <v>-3</v>
      </c>
      <c r="H9" t="str">
        <f>ToResult(特性!H9)</f>
        <v>3008</v>
      </c>
    </row>
    <row r="10" spans="1:8">
      <c r="A10" t="str">
        <f>ToResult(特性!A10)</f>
        <v>9</v>
      </c>
      <c r="B10" t="str">
        <f>ToResult(特性!B10)</f>
        <v>2009</v>
      </c>
      <c r="C10" t="str">
        <f>ToFeatureMode(特性!C10)</f>
        <v>3</v>
      </c>
      <c r="D10" t="str">
        <f>ToResult(特性!D10)</f>
        <v>0</v>
      </c>
      <c r="E10" t="str">
        <f>ToResult(特性!E10)</f>
        <v>3</v>
      </c>
      <c r="F10" t="str">
        <f>ToResult(特性!F10)</f>
        <v>4</v>
      </c>
      <c r="G10" t="str">
        <f>ToResult(特性!G10)</f>
        <v>-0.2</v>
      </c>
      <c r="H10" t="str">
        <f>ToResult(特性!H10)</f>
        <v>3009</v>
      </c>
    </row>
    <row r="11" spans="1:8">
      <c r="A11" t="str">
        <f>ToResult(特性!A11)</f>
        <v>10</v>
      </c>
      <c r="B11" t="str">
        <f>ToResult(特性!B11)</f>
        <v>2010</v>
      </c>
      <c r="C11" t="str">
        <f>ToFeatureMode(特性!C11)</f>
        <v>3</v>
      </c>
      <c r="D11" t="str">
        <f>ToResult(特性!D11)</f>
        <v>0</v>
      </c>
      <c r="E11" t="str">
        <f>ToResult(特性!E11)</f>
        <v>3</v>
      </c>
      <c r="F11" t="str">
        <f>ToResult(特性!F11)</f>
        <v>4</v>
      </c>
      <c r="G11" t="str">
        <f>ToResult(特性!G11)</f>
        <v>-0.1</v>
      </c>
      <c r="H11" t="str">
        <f>ToResult(特性!H11)</f>
        <v>3010</v>
      </c>
    </row>
    <row r="12" spans="1:8">
      <c r="A12" t="str">
        <f>ToResult(特性!A12)</f>
        <v>11</v>
      </c>
      <c r="B12" t="str">
        <f>ToResult(特性!B12)</f>
        <v>2011</v>
      </c>
      <c r="C12" t="str">
        <f>ToFeatureMode(特性!C12)</f>
        <v>3</v>
      </c>
      <c r="D12" t="str">
        <f>ToResult(特性!D12)</f>
        <v>4</v>
      </c>
      <c r="E12" t="str">
        <f>ToResult(特性!E12)</f>
        <v>3</v>
      </c>
      <c r="F12" t="str">
        <f>ToResult(特性!F12)</f>
        <v>4</v>
      </c>
      <c r="G12" t="str">
        <f>ToResult(特性!G12)</f>
        <v>0.1</v>
      </c>
      <c r="H12" t="str">
        <f>ToResult(特性!H12)</f>
        <v>3011</v>
      </c>
    </row>
    <row r="13" spans="1:8">
      <c r="A13" t="str">
        <f>ToResult(特性!A13)</f>
        <v>12</v>
      </c>
      <c r="B13" t="str">
        <f>ToResult(特性!B13)</f>
        <v>2012</v>
      </c>
      <c r="C13" t="str">
        <f>ToFeatureMode(特性!C13)</f>
        <v>3</v>
      </c>
      <c r="D13" t="str">
        <f>ToResult(特性!D13)</f>
        <v>6</v>
      </c>
      <c r="E13" t="str">
        <f>ToResult(特性!E13)</f>
        <v>3</v>
      </c>
      <c r="F13" t="str">
        <f>ToResult(特性!F13)</f>
        <v>4</v>
      </c>
      <c r="G13" t="str">
        <f>ToResult(特性!G13)</f>
        <v>0.2</v>
      </c>
      <c r="H13" t="str">
        <f>ToResult(特性!H13)</f>
        <v>3012</v>
      </c>
    </row>
    <row r="14" spans="1:8">
      <c r="A14" t="str">
        <f>ToResult(特性!A14)</f>
        <v>13</v>
      </c>
      <c r="B14" t="str">
        <f>ToResult(特性!B14)</f>
        <v>2013</v>
      </c>
      <c r="C14" t="str">
        <f>ToFeatureMode(特性!C14)</f>
        <v>4</v>
      </c>
      <c r="D14" t="str">
        <f>ToResult(特性!D14)</f>
        <v>4</v>
      </c>
      <c r="E14" t="str">
        <f>ToResult(特性!E14)</f>
        <v>3</v>
      </c>
      <c r="F14" t="str">
        <f>ToResult(特性!F14)</f>
        <v>5</v>
      </c>
      <c r="G14" t="str">
        <f>ToResult(特性!G14)</f>
        <v>10</v>
      </c>
      <c r="H14" t="str">
        <f>ToResult(特性!H14)</f>
        <v>3013</v>
      </c>
    </row>
    <row r="15" spans="1:8">
      <c r="A15" t="str">
        <f>ToResult(特性!A15)</f>
        <v>14</v>
      </c>
      <c r="B15" t="str">
        <f>ToResult(特性!B15)</f>
        <v>2014</v>
      </c>
      <c r="C15" t="str">
        <f>ToFeatureMode(特性!C15)</f>
        <v>4</v>
      </c>
      <c r="D15" t="str">
        <f>ToResult(特性!D15)</f>
        <v>0</v>
      </c>
      <c r="E15" t="str">
        <f>ToResult(特性!E15)</f>
        <v>3</v>
      </c>
      <c r="F15" t="str">
        <f>ToResult(特性!F15)</f>
        <v>5</v>
      </c>
      <c r="G15" t="str">
        <f>ToResult(特性!G15)</f>
        <v>-10</v>
      </c>
      <c r="H15" t="str">
        <f>ToResult(特性!H15)</f>
        <v>3014</v>
      </c>
    </row>
    <row r="16" spans="1:8">
      <c r="A16" t="str">
        <f>ToResult(特性!A16)</f>
        <v>15</v>
      </c>
      <c r="B16" t="str">
        <f>ToResult(特性!B16)</f>
        <v>2015</v>
      </c>
      <c r="C16" t="str">
        <f>ToFeatureMode(特性!C16)</f>
        <v>5</v>
      </c>
      <c r="D16" t="str">
        <f>ToResult(特性!D16)</f>
        <v>14</v>
      </c>
      <c r="E16" t="str">
        <f>ToResult(特性!E16)</f>
        <v>2</v>
      </c>
      <c r="F16" t="str">
        <f>ToResult(特性!F16)</f>
        <v>6</v>
      </c>
      <c r="G16" t="str">
        <f>ToResult(特性!G16)</f>
        <v>1</v>
      </c>
      <c r="H16" t="str">
        <f>ToResult(特性!H16)</f>
        <v>3015</v>
      </c>
    </row>
    <row r="17" spans="1:8">
      <c r="A17" t="str">
        <f>ToResult(特性!A17)</f>
        <v>16</v>
      </c>
      <c r="B17" t="str">
        <f>ToResult(特性!B17)</f>
        <v>2016</v>
      </c>
      <c r="C17" t="str">
        <f>ToFeatureMode(特性!C17)</f>
        <v>5</v>
      </c>
      <c r="D17" t="str">
        <f>ToResult(特性!D17)</f>
        <v>16</v>
      </c>
      <c r="E17" t="str">
        <f>ToResult(特性!E17)</f>
        <v>1</v>
      </c>
      <c r="F17" t="str">
        <f>ToResult(特性!F17)</f>
        <v>6</v>
      </c>
      <c r="G17" t="str">
        <f>ToResult(特性!G17)</f>
        <v>2</v>
      </c>
      <c r="H17" t="str">
        <f>ToResult(特性!H17)</f>
        <v>3016</v>
      </c>
    </row>
    <row r="18" spans="1:8">
      <c r="A18" t="str">
        <f>ToResult(特性!A18)</f>
        <v>17</v>
      </c>
      <c r="B18" t="str">
        <f>ToResult(特性!B18)</f>
        <v>2017</v>
      </c>
      <c r="C18" t="str">
        <f>ToFeatureMode(特性!C18)</f>
        <v>6</v>
      </c>
      <c r="D18" t="str">
        <f>ToResult(特性!D18)</f>
        <v>4</v>
      </c>
      <c r="E18" t="str">
        <f>ToResult(特性!E18)</f>
        <v>2</v>
      </c>
      <c r="F18" t="str">
        <f>ToResult(特性!F18)</f>
        <v>7</v>
      </c>
      <c r="G18" t="str">
        <f>ToResult(特性!G18)</f>
        <v>2</v>
      </c>
      <c r="H18" t="str">
        <f>ToResult(特性!H18)</f>
        <v>3017</v>
      </c>
    </row>
    <row r="19" spans="1:8">
      <c r="A19" t="str">
        <f>ToResult(特性!A19)</f>
        <v>18</v>
      </c>
      <c r="B19" t="str">
        <f>ToResult(特性!B19)</f>
        <v>2018</v>
      </c>
      <c r="C19" t="str">
        <f>ToFeatureMode(特性!C19)</f>
        <v>6</v>
      </c>
      <c r="D19" t="str">
        <f>ToResult(特性!D19)</f>
        <v>8</v>
      </c>
      <c r="E19" t="str">
        <f>ToResult(特性!E19)</f>
        <v>1</v>
      </c>
      <c r="F19" t="str">
        <f>ToResult(特性!F19)</f>
        <v>7</v>
      </c>
      <c r="G19" t="str">
        <f>ToResult(特性!G19)</f>
        <v>4</v>
      </c>
      <c r="H19" t="str">
        <f>ToResult(特性!H19)</f>
        <v>3018</v>
      </c>
    </row>
    <row r="20" spans="1:8">
      <c r="A20" t="str">
        <f>ToResult(特性!A20)</f>
        <v>19</v>
      </c>
      <c r="B20" t="str">
        <f>ToResult(特性!B20)</f>
        <v>2019</v>
      </c>
      <c r="C20" t="str">
        <f>ToFeatureMode(特性!C20)</f>
        <v>7</v>
      </c>
      <c r="D20" t="str">
        <f>ToResult(特性!D20)</f>
        <v>2</v>
      </c>
      <c r="E20" t="str">
        <f>ToResult(特性!E20)</f>
        <v>3</v>
      </c>
      <c r="F20" t="str">
        <f>ToResult(特性!F20)</f>
        <v>8</v>
      </c>
      <c r="G20" t="str">
        <f>ToResult(特性!G20)</f>
        <v>0.03</v>
      </c>
      <c r="H20" t="str">
        <f>ToResult(特性!H20)</f>
        <v>3019</v>
      </c>
    </row>
    <row r="21" spans="1:8">
      <c r="A21" t="str">
        <f>ToResult(特性!A21)</f>
        <v>20</v>
      </c>
      <c r="B21" t="str">
        <f>ToResult(特性!B21)</f>
        <v>2020</v>
      </c>
      <c r="C21" t="str">
        <f>ToFeatureMode(特性!C21)</f>
        <v>7</v>
      </c>
      <c r="D21" t="str">
        <f>ToResult(特性!D21)</f>
        <v>2</v>
      </c>
      <c r="E21" t="str">
        <f>ToResult(特性!E21)</f>
        <v>2</v>
      </c>
      <c r="F21" t="str">
        <f>ToResult(特性!F21)</f>
        <v>8</v>
      </c>
      <c r="G21" t="str">
        <f>ToResult(特性!G21)</f>
        <v>0.06</v>
      </c>
      <c r="H21" t="str">
        <f>ToResult(特性!H21)</f>
        <v>3020</v>
      </c>
    </row>
    <row r="22" spans="1:8">
      <c r="A22" t="str">
        <f>ToResult(特性!A22)</f>
        <v>21</v>
      </c>
      <c r="B22" t="str">
        <f>ToResult(特性!B22)</f>
        <v>2021</v>
      </c>
      <c r="C22" t="str">
        <f>ToFeatureMode(特性!C22)</f>
        <v>0</v>
      </c>
      <c r="D22" t="str">
        <f>ToResult(特性!D22)</f>
        <v>-10</v>
      </c>
      <c r="E22" t="str">
        <f>ToResult(特性!E22)</f>
        <v>3</v>
      </c>
      <c r="F22" t="str">
        <f>ToResult(特性!F22)</f>
        <v>10</v>
      </c>
      <c r="G22" t="str">
        <f>ToResult(特性!G22)</f>
        <v>0</v>
      </c>
      <c r="H22" t="str">
        <f>ToResult(特性!H22)</f>
        <v>3021</v>
      </c>
    </row>
    <row r="23" spans="1:8">
      <c r="A23" t="str">
        <f>ToResult(特性!A23)</f>
        <v>22</v>
      </c>
      <c r="B23" t="str">
        <f>ToResult(特性!B23)</f>
        <v>2022</v>
      </c>
      <c r="C23" t="str">
        <f>ToFeatureMode(特性!C23)</f>
        <v>0</v>
      </c>
      <c r="D23" t="str">
        <f>ToResult(特性!D23)</f>
        <v>20</v>
      </c>
      <c r="E23" t="str">
        <f>ToResult(特性!E23)</f>
        <v>3</v>
      </c>
      <c r="F23" t="str">
        <f>ToResult(特性!F23)</f>
        <v>10</v>
      </c>
      <c r="G23" t="str">
        <f>ToResult(特性!G23)</f>
        <v>0</v>
      </c>
      <c r="H23" t="str">
        <f>ToResult(特性!H23)</f>
        <v>3022</v>
      </c>
    </row>
    <row r="24" spans="1:8">
      <c r="A24" t="str">
        <f>ToResult(特性!A24)</f>
        <v/>
      </c>
      <c r="B24" t="str">
        <f>ToResult(特性!B24)</f>
        <v/>
      </c>
      <c r="C24" t="str">
        <f>ToFeatureMode(特性!C24)</f>
        <v/>
      </c>
      <c r="D24" t="str">
        <f>ToResult(特性!D24)</f>
        <v/>
      </c>
      <c r="E24" t="str">
        <f>ToResult(特性!E24)</f>
        <v/>
      </c>
      <c r="F24" t="str">
        <f>ToResult(特性!F24)</f>
        <v/>
      </c>
      <c r="G24" t="str">
        <f>ToResult(特性!G24)</f>
        <v/>
      </c>
      <c r="H24" t="str">
        <f>ToResult(特性!H24)</f>
        <v/>
      </c>
    </row>
    <row r="25" spans="1:8">
      <c r="A25" t="str">
        <f>ToResult(特性!A25)</f>
        <v/>
      </c>
      <c r="B25" t="str">
        <f>ToResult(特性!B25)</f>
        <v/>
      </c>
      <c r="C25" t="str">
        <f>ToFeatureMode(特性!C25)</f>
        <v/>
      </c>
      <c r="D25" t="str">
        <f>ToResult(特性!D25)</f>
        <v/>
      </c>
      <c r="E25" t="str">
        <f>ToResult(特性!E25)</f>
        <v/>
      </c>
      <c r="F25" t="str">
        <f>ToResult(特性!F25)</f>
        <v/>
      </c>
      <c r="G25" t="str">
        <f>ToResult(特性!G25)</f>
        <v/>
      </c>
      <c r="H25" t="str">
        <f>ToResult(特性!H25)</f>
        <v/>
      </c>
    </row>
    <row r="26" spans="1:8">
      <c r="A26" t="str">
        <f>ToResult(特性!A26)</f>
        <v/>
      </c>
      <c r="B26" t="str">
        <f>ToResult(特性!B26)</f>
        <v/>
      </c>
      <c r="C26" t="str">
        <f>ToFeatureMode(特性!C26)</f>
        <v/>
      </c>
      <c r="D26" t="str">
        <f>ToResult(特性!D26)</f>
        <v/>
      </c>
      <c r="E26" t="str">
        <f>ToResult(特性!E26)</f>
        <v/>
      </c>
      <c r="F26" t="str">
        <f>ToResult(特性!F26)</f>
        <v/>
      </c>
      <c r="G26" t="str">
        <f>ToResult(特性!G26)</f>
        <v/>
      </c>
      <c r="H26" t="str">
        <f>ToResult(特性!H26)</f>
        <v/>
      </c>
    </row>
    <row r="27" spans="1:8">
      <c r="A27" t="str">
        <f>ToResult(特性!A27)</f>
        <v/>
      </c>
      <c r="B27" t="str">
        <f>ToResult(特性!B27)</f>
        <v/>
      </c>
      <c r="C27" t="str">
        <f>ToFeatureMode(特性!C27)</f>
        <v/>
      </c>
      <c r="D27" t="str">
        <f>ToResult(特性!D27)</f>
        <v/>
      </c>
      <c r="E27" t="str">
        <f>ToResult(特性!E27)</f>
        <v/>
      </c>
      <c r="F27" t="str">
        <f>ToResult(特性!F27)</f>
        <v/>
      </c>
      <c r="G27" t="str">
        <f>ToResult(特性!G27)</f>
        <v/>
      </c>
      <c r="H27" t="str">
        <f>ToResult(特性!H27)</f>
        <v/>
      </c>
    </row>
    <row r="28" spans="1:8">
      <c r="A28" t="str">
        <f>ToResult(特性!A28)</f>
        <v/>
      </c>
      <c r="B28" t="str">
        <f>ToResult(特性!B28)</f>
        <v/>
      </c>
      <c r="C28" t="str">
        <f>ToFeatureMode(特性!C28)</f>
        <v/>
      </c>
      <c r="D28" t="str">
        <f>ToResult(特性!D28)</f>
        <v/>
      </c>
      <c r="E28" t="str">
        <f>ToResult(特性!E28)</f>
        <v/>
      </c>
      <c r="F28" t="str">
        <f>ToResult(特性!F28)</f>
        <v/>
      </c>
      <c r="G28" t="str">
        <f>ToResult(特性!G28)</f>
        <v/>
      </c>
      <c r="H28" t="str">
        <f>ToResult(特性!H28)</f>
        <v/>
      </c>
    </row>
    <row r="29" spans="1:8">
      <c r="A29" t="str">
        <f>ToResult(特性!A29)</f>
        <v/>
      </c>
      <c r="B29" t="str">
        <f>ToResult(特性!B29)</f>
        <v/>
      </c>
      <c r="C29" t="str">
        <f>ToFeatureMode(特性!C29)</f>
        <v/>
      </c>
      <c r="D29" t="str">
        <f>ToResult(特性!D29)</f>
        <v/>
      </c>
      <c r="E29" t="str">
        <f>ToResult(特性!E29)</f>
        <v/>
      </c>
      <c r="F29" t="str">
        <f>ToResult(特性!F29)</f>
        <v/>
      </c>
      <c r="G29" t="str">
        <f>ToResult(特性!G29)</f>
        <v/>
      </c>
      <c r="H29" t="str">
        <f>ToResult(特性!H29)</f>
        <v/>
      </c>
    </row>
    <row r="30" spans="1:8">
      <c r="A30" t="str">
        <f>ToResult(特性!A30)</f>
        <v/>
      </c>
      <c r="B30" t="str">
        <f>ToResult(特性!B30)</f>
        <v/>
      </c>
      <c r="C30" t="str">
        <f>ToFeatureMode(特性!C30)</f>
        <v/>
      </c>
      <c r="D30" t="str">
        <f>ToResult(特性!D30)</f>
        <v/>
      </c>
      <c r="E30" t="str">
        <f>ToResult(特性!E30)</f>
        <v/>
      </c>
      <c r="F30" t="str">
        <f>ToResult(特性!F30)</f>
        <v/>
      </c>
      <c r="G30" t="str">
        <f>ToResult(特性!G30)</f>
        <v/>
      </c>
      <c r="H30" t="str">
        <f>ToResult(特性!H30)</f>
        <v/>
      </c>
    </row>
    <row r="31" spans="1:8">
      <c r="A31" t="str">
        <f>ToResult(特性!A31)</f>
        <v/>
      </c>
      <c r="B31" t="str">
        <f>ToResult(特性!B31)</f>
        <v/>
      </c>
      <c r="C31" t="str">
        <f>ToFeatureMode(特性!C31)</f>
        <v/>
      </c>
      <c r="D31" t="str">
        <f>ToResult(特性!D31)</f>
        <v/>
      </c>
      <c r="E31" t="str">
        <f>ToResult(特性!E31)</f>
        <v/>
      </c>
      <c r="F31" t="str">
        <f>ToResult(特性!F31)</f>
        <v/>
      </c>
      <c r="G31" t="str">
        <f>ToResult(特性!G31)</f>
        <v/>
      </c>
      <c r="H31" t="str">
        <f>ToResult(特性!H31)</f>
        <v/>
      </c>
    </row>
    <row r="32" spans="1:8">
      <c r="A32" t="str">
        <f>ToResult(特性!A32)</f>
        <v/>
      </c>
      <c r="B32" t="str">
        <f>ToResult(特性!B32)</f>
        <v/>
      </c>
      <c r="C32" t="str">
        <f>ToFeatureMode(特性!C32)</f>
        <v/>
      </c>
      <c r="D32" t="str">
        <f>ToResult(特性!D32)</f>
        <v/>
      </c>
      <c r="E32" t="str">
        <f>ToResult(特性!E32)</f>
        <v/>
      </c>
      <c r="F32" t="str">
        <f>ToResult(特性!F32)</f>
        <v/>
      </c>
      <c r="G32" t="str">
        <f>ToResult(特性!G32)</f>
        <v/>
      </c>
      <c r="H32" t="str">
        <f>ToResult(特性!H32)</f>
        <v/>
      </c>
    </row>
    <row r="33" spans="1:8">
      <c r="A33" t="str">
        <f>ToResult(特性!A33)</f>
        <v/>
      </c>
      <c r="B33" t="str">
        <f>ToResult(特性!B33)</f>
        <v/>
      </c>
      <c r="C33" t="str">
        <f>ToFeatureMode(特性!C33)</f>
        <v/>
      </c>
      <c r="D33" t="str">
        <f>ToResult(特性!D33)</f>
        <v/>
      </c>
      <c r="E33" t="str">
        <f>ToResult(特性!E33)</f>
        <v/>
      </c>
      <c r="F33" t="str">
        <f>ToResult(特性!F33)</f>
        <v/>
      </c>
      <c r="G33" t="str">
        <f>ToResult(特性!G33)</f>
        <v/>
      </c>
      <c r="H33" t="str">
        <f>ToResult(特性!H33)</f>
        <v/>
      </c>
    </row>
    <row r="34" spans="1:8">
      <c r="A34" t="str">
        <f>ToResult(特性!A34)</f>
        <v/>
      </c>
      <c r="B34" t="str">
        <f>ToResult(特性!B34)</f>
        <v/>
      </c>
      <c r="C34" t="str">
        <f>ToFeatureMode(特性!C34)</f>
        <v/>
      </c>
      <c r="D34" t="str">
        <f>ToResult(特性!D34)</f>
        <v/>
      </c>
      <c r="E34" t="str">
        <f>ToResult(特性!E34)</f>
        <v/>
      </c>
      <c r="F34" t="str">
        <f>ToResult(特性!F34)</f>
        <v/>
      </c>
      <c r="G34" t="str">
        <f>ToResult(特性!G34)</f>
        <v/>
      </c>
      <c r="H34" t="str">
        <f>ToResult(特性!H34)</f>
        <v/>
      </c>
    </row>
    <row r="35" spans="1:8">
      <c r="A35" t="str">
        <f>ToResult(特性!A35)</f>
        <v/>
      </c>
      <c r="B35" t="str">
        <f>ToResult(特性!B35)</f>
        <v/>
      </c>
      <c r="C35" t="str">
        <f>ToFeatureMode(特性!C35)</f>
        <v/>
      </c>
      <c r="D35" t="str">
        <f>ToResult(特性!D35)</f>
        <v/>
      </c>
      <c r="E35" t="str">
        <f>ToResult(特性!E35)</f>
        <v/>
      </c>
      <c r="F35" t="str">
        <f>ToResult(特性!F35)</f>
        <v/>
      </c>
      <c r="G35" t="str">
        <f>ToResult(特性!G35)</f>
        <v/>
      </c>
      <c r="H35" t="str">
        <f>ToResult(特性!H35)</f>
        <v/>
      </c>
    </row>
    <row r="36" spans="1:8">
      <c r="A36" t="str">
        <f>ToResult(特性!A36)</f>
        <v/>
      </c>
      <c r="B36" t="str">
        <f>ToResult(特性!B36)</f>
        <v/>
      </c>
      <c r="C36" t="str">
        <f>ToFeatureMode(特性!C36)</f>
        <v/>
      </c>
      <c r="D36" t="str">
        <f>ToResult(特性!D36)</f>
        <v/>
      </c>
      <c r="E36" t="str">
        <f>ToResult(特性!E36)</f>
        <v/>
      </c>
      <c r="F36" t="str">
        <f>ToResult(特性!F36)</f>
        <v/>
      </c>
      <c r="G36" t="str">
        <f>ToResult(特性!G36)</f>
        <v/>
      </c>
      <c r="H36" t="str">
        <f>ToResult(特性!H36)</f>
        <v/>
      </c>
    </row>
    <row r="37" spans="1:8">
      <c r="A37" t="str">
        <f>ToResult(特性!A37)</f>
        <v/>
      </c>
      <c r="B37" t="str">
        <f>ToResult(特性!B37)</f>
        <v/>
      </c>
      <c r="C37" t="str">
        <f>ToFeatureMode(特性!C37)</f>
        <v/>
      </c>
      <c r="D37" t="str">
        <f>ToResult(特性!D37)</f>
        <v/>
      </c>
      <c r="E37" t="str">
        <f>ToResult(特性!E37)</f>
        <v/>
      </c>
      <c r="F37" t="str">
        <f>ToResult(特性!F37)</f>
        <v/>
      </c>
      <c r="G37" t="str">
        <f>ToResult(特性!G37)</f>
        <v/>
      </c>
      <c r="H37" t="str">
        <f>ToResult(特性!H37)</f>
        <v/>
      </c>
    </row>
    <row r="38" spans="1:8">
      <c r="A38" t="str">
        <f>ToResult(特性!A38)</f>
        <v/>
      </c>
      <c r="B38" t="str">
        <f>ToResult(特性!B38)</f>
        <v/>
      </c>
      <c r="C38" t="str">
        <f>ToFeatureMode(特性!C38)</f>
        <v/>
      </c>
      <c r="D38" t="str">
        <f>ToResult(特性!D38)</f>
        <v/>
      </c>
      <c r="E38" t="str">
        <f>ToResult(特性!E38)</f>
        <v/>
      </c>
      <c r="F38" t="str">
        <f>ToResult(特性!F38)</f>
        <v/>
      </c>
      <c r="G38" t="str">
        <f>ToResult(特性!G38)</f>
        <v/>
      </c>
      <c r="H38" t="str">
        <f>ToResult(特性!H38)</f>
        <v/>
      </c>
    </row>
    <row r="39" spans="1:8">
      <c r="A39" t="str">
        <f>ToResult(特性!A39)</f>
        <v/>
      </c>
      <c r="B39" t="str">
        <f>ToResult(特性!B39)</f>
        <v/>
      </c>
      <c r="C39" t="str">
        <f>ToFeatureMode(特性!C39)</f>
        <v/>
      </c>
      <c r="D39" t="str">
        <f>ToResult(特性!D39)</f>
        <v/>
      </c>
      <c r="E39" t="str">
        <f>ToResult(特性!E39)</f>
        <v/>
      </c>
      <c r="F39" t="str">
        <f>ToResult(特性!F39)</f>
        <v/>
      </c>
      <c r="G39" t="str">
        <f>ToResult(特性!G39)</f>
        <v/>
      </c>
      <c r="H39" t="str">
        <f>ToResult(特性!H39)</f>
        <v/>
      </c>
    </row>
    <row r="40" spans="1:8">
      <c r="A40" t="str">
        <f>ToResult(特性!A40)</f>
        <v/>
      </c>
      <c r="B40" t="str">
        <f>ToResult(特性!B40)</f>
        <v/>
      </c>
      <c r="C40" t="str">
        <f>ToFeatureMode(特性!C40)</f>
        <v/>
      </c>
      <c r="D40" t="str">
        <f>ToResult(特性!D40)</f>
        <v/>
      </c>
      <c r="E40" t="str">
        <f>ToResult(特性!E40)</f>
        <v/>
      </c>
      <c r="F40" t="str">
        <f>ToResult(特性!F40)</f>
        <v/>
      </c>
      <c r="G40" t="str">
        <f>ToResult(特性!G40)</f>
        <v/>
      </c>
      <c r="H40" t="str">
        <f>ToResult(特性!H40)</f>
        <v/>
      </c>
    </row>
    <row r="41" spans="1:8">
      <c r="A41" t="str">
        <f>ToResult(特性!A41)</f>
        <v/>
      </c>
      <c r="B41" t="str">
        <f>ToResult(特性!B41)</f>
        <v/>
      </c>
      <c r="C41" t="str">
        <f>ToFeatureMode(特性!C41)</f>
        <v/>
      </c>
      <c r="D41" t="str">
        <f>ToResult(特性!D41)</f>
        <v/>
      </c>
      <c r="E41" t="str">
        <f>ToResult(特性!E41)</f>
        <v/>
      </c>
      <c r="F41" t="str">
        <f>ToResult(特性!F41)</f>
        <v/>
      </c>
      <c r="G41" t="str">
        <f>ToResult(特性!G41)</f>
        <v/>
      </c>
      <c r="H41" t="str">
        <f>ToResult(特性!H41)</f>
        <v/>
      </c>
    </row>
    <row r="42" spans="1:8">
      <c r="A42" t="str">
        <f>ToResult(特性!A42)</f>
        <v/>
      </c>
      <c r="B42" t="str">
        <f>ToResult(特性!B42)</f>
        <v/>
      </c>
      <c r="C42" t="str">
        <f>ToFeatureMode(特性!C42)</f>
        <v/>
      </c>
      <c r="D42" t="str">
        <f>ToResult(特性!D42)</f>
        <v/>
      </c>
      <c r="E42" t="str">
        <f>ToResult(特性!E42)</f>
        <v/>
      </c>
      <c r="F42" t="str">
        <f>ToResult(特性!F42)</f>
        <v/>
      </c>
      <c r="G42" t="str">
        <f>ToResult(特性!G42)</f>
        <v/>
      </c>
      <c r="H42" t="str">
        <f>ToResult(特性!H42)</f>
        <v/>
      </c>
    </row>
    <row r="43" spans="1:8">
      <c r="A43" t="str">
        <f>ToResult(特性!A43)</f>
        <v/>
      </c>
      <c r="B43" t="str">
        <f>ToResult(特性!B43)</f>
        <v/>
      </c>
      <c r="C43" t="str">
        <f>ToFeatureMode(特性!C43)</f>
        <v/>
      </c>
      <c r="D43" t="str">
        <f>ToResult(特性!D43)</f>
        <v/>
      </c>
      <c r="E43" t="str">
        <f>ToResult(特性!E43)</f>
        <v/>
      </c>
      <c r="F43" t="str">
        <f>ToResult(特性!F43)</f>
        <v/>
      </c>
      <c r="G43" t="str">
        <f>ToResult(特性!G43)</f>
        <v/>
      </c>
      <c r="H43" t="str">
        <f>ToResult(特性!H43)</f>
        <v/>
      </c>
    </row>
    <row r="44" spans="1:8">
      <c r="A44" t="str">
        <f>ToResult(特性!A44)</f>
        <v/>
      </c>
      <c r="B44" t="str">
        <f>ToResult(特性!B44)</f>
        <v/>
      </c>
      <c r="C44" t="str">
        <f>ToFeatureMode(特性!C44)</f>
        <v/>
      </c>
      <c r="D44" t="str">
        <f>ToResult(特性!D44)</f>
        <v/>
      </c>
      <c r="E44" t="str">
        <f>ToResult(特性!E44)</f>
        <v/>
      </c>
      <c r="F44" t="str">
        <f>ToResult(特性!F44)</f>
        <v/>
      </c>
      <c r="G44" t="str">
        <f>ToResult(特性!G44)</f>
        <v/>
      </c>
      <c r="H44" t="str">
        <f>ToResult(特性!H44)</f>
        <v/>
      </c>
    </row>
    <row r="45" spans="1:8">
      <c r="A45" t="str">
        <f>ToResult(特性!A45)</f>
        <v/>
      </c>
      <c r="B45" t="str">
        <f>ToResult(特性!B45)</f>
        <v/>
      </c>
      <c r="C45" t="str">
        <f>ToFeatureMode(特性!C45)</f>
        <v/>
      </c>
      <c r="D45" t="str">
        <f>ToResult(特性!D45)</f>
        <v/>
      </c>
      <c r="E45" t="str">
        <f>ToResult(特性!E45)</f>
        <v/>
      </c>
      <c r="F45" t="str">
        <f>ToResult(特性!F45)</f>
        <v/>
      </c>
      <c r="G45" t="str">
        <f>ToResult(特性!G45)</f>
        <v/>
      </c>
      <c r="H45" t="str">
        <f>ToResult(特性!H45)</f>
        <v/>
      </c>
    </row>
    <row r="46" spans="1:8">
      <c r="A46" t="str">
        <f>ToResult(特性!A46)</f>
        <v/>
      </c>
      <c r="B46" t="str">
        <f>ToResult(特性!B46)</f>
        <v/>
      </c>
      <c r="C46" t="str">
        <f>ToFeatureMode(特性!C46)</f>
        <v/>
      </c>
      <c r="D46" t="str">
        <f>ToResult(特性!D46)</f>
        <v/>
      </c>
      <c r="E46" t="str">
        <f>ToResult(特性!E46)</f>
        <v/>
      </c>
      <c r="F46" t="str">
        <f>ToResult(特性!F46)</f>
        <v/>
      </c>
      <c r="G46" t="str">
        <f>ToResult(特性!G46)</f>
        <v/>
      </c>
      <c r="H46" t="str">
        <f>ToResult(特性!H46)</f>
        <v/>
      </c>
    </row>
    <row r="47" spans="1:8">
      <c r="A47" t="str">
        <f>ToResult(特性!A47)</f>
        <v/>
      </c>
      <c r="B47" t="str">
        <f>ToResult(特性!B47)</f>
        <v/>
      </c>
      <c r="C47" t="str">
        <f>ToFeatureMode(特性!C47)</f>
        <v/>
      </c>
      <c r="D47" t="str">
        <f>ToResult(特性!D47)</f>
        <v/>
      </c>
      <c r="E47" t="str">
        <f>ToResult(特性!E47)</f>
        <v/>
      </c>
      <c r="F47" t="str">
        <f>ToResult(特性!F47)</f>
        <v/>
      </c>
      <c r="G47" t="str">
        <f>ToResult(特性!G47)</f>
        <v/>
      </c>
      <c r="H47" t="str">
        <f>ToResult(特性!H47)</f>
        <v/>
      </c>
    </row>
    <row r="48" spans="1:8">
      <c r="A48" t="str">
        <f>ToResult(特性!A48)</f>
        <v/>
      </c>
      <c r="B48" t="str">
        <f>ToResult(特性!B48)</f>
        <v/>
      </c>
      <c r="C48" t="str">
        <f>ToFeatureMode(特性!C48)</f>
        <v/>
      </c>
      <c r="D48" t="str">
        <f>ToResult(特性!D48)</f>
        <v/>
      </c>
      <c r="E48" t="str">
        <f>ToResult(特性!E48)</f>
        <v/>
      </c>
      <c r="F48" t="str">
        <f>ToResult(特性!F48)</f>
        <v/>
      </c>
      <c r="G48" t="str">
        <f>ToResult(特性!G48)</f>
        <v/>
      </c>
      <c r="H48" t="str">
        <f>ToResult(特性!H48)</f>
        <v/>
      </c>
    </row>
    <row r="49" spans="1:8">
      <c r="A49" t="str">
        <f>ToResult(特性!A49)</f>
        <v/>
      </c>
      <c r="B49" t="str">
        <f>ToResult(特性!B49)</f>
        <v/>
      </c>
      <c r="C49" t="str">
        <f>ToFeatureMode(特性!C49)</f>
        <v/>
      </c>
      <c r="D49" t="str">
        <f>ToResult(特性!D49)</f>
        <v/>
      </c>
      <c r="E49" t="str">
        <f>ToResult(特性!E49)</f>
        <v/>
      </c>
      <c r="F49" t="str">
        <f>ToResult(特性!F49)</f>
        <v/>
      </c>
      <c r="G49" t="str">
        <f>ToResult(特性!G49)</f>
        <v/>
      </c>
      <c r="H49" t="str">
        <f>ToResult(特性!H49)</f>
        <v/>
      </c>
    </row>
    <row r="50" spans="1:8">
      <c r="A50" t="str">
        <f>ToResult(特性!A50)</f>
        <v/>
      </c>
      <c r="B50" t="str">
        <f>ToResult(特性!B50)</f>
        <v/>
      </c>
      <c r="C50" t="str">
        <f>ToFeatureMode(特性!C50)</f>
        <v/>
      </c>
      <c r="D50" t="str">
        <f>ToResult(特性!D50)</f>
        <v/>
      </c>
      <c r="E50" t="str">
        <f>ToResult(特性!E50)</f>
        <v/>
      </c>
      <c r="F50" t="str">
        <f>ToResult(特性!F50)</f>
        <v/>
      </c>
      <c r="G50" t="str">
        <f>ToResult(特性!G50)</f>
        <v/>
      </c>
      <c r="H50" t="str">
        <f>ToResult(特性!H50)</f>
        <v/>
      </c>
    </row>
    <row r="51" spans="1:8">
      <c r="A51" t="str">
        <f>ToResult(特性!A51)</f>
        <v/>
      </c>
      <c r="B51" t="str">
        <f>ToResult(特性!B51)</f>
        <v/>
      </c>
      <c r="C51" t="str">
        <f>ToFeatureMode(特性!C51)</f>
        <v/>
      </c>
      <c r="D51" t="str">
        <f>ToResult(特性!D51)</f>
        <v/>
      </c>
      <c r="E51" t="str">
        <f>ToResult(特性!E51)</f>
        <v/>
      </c>
      <c r="F51" t="str">
        <f>ToResult(特性!F51)</f>
        <v/>
      </c>
      <c r="G51" t="str">
        <f>ToResult(特性!G51)</f>
        <v/>
      </c>
      <c r="H51" t="str">
        <f>ToResult(特性!H51)</f>
        <v/>
      </c>
    </row>
    <row r="52" spans="1:8">
      <c r="A52" t="str">
        <f>ToResult(特性!A52)</f>
        <v/>
      </c>
      <c r="B52" t="str">
        <f>ToResult(特性!B52)</f>
        <v/>
      </c>
      <c r="C52" t="str">
        <f>ToFeatureMode(特性!C52)</f>
        <v/>
      </c>
      <c r="D52" t="str">
        <f>ToResult(特性!D52)</f>
        <v/>
      </c>
      <c r="E52" t="str">
        <f>ToResult(特性!E52)</f>
        <v/>
      </c>
      <c r="F52" t="str">
        <f>ToResult(特性!F52)</f>
        <v/>
      </c>
      <c r="G52" t="str">
        <f>ToResult(特性!G52)</f>
        <v/>
      </c>
      <c r="H52" t="str">
        <f>ToResult(特性!H52)</f>
        <v/>
      </c>
    </row>
    <row r="53" spans="1:8">
      <c r="A53" t="str">
        <f>ToResult(特性!A53)</f>
        <v/>
      </c>
      <c r="B53" t="str">
        <f>ToResult(特性!B53)</f>
        <v/>
      </c>
      <c r="C53" t="str">
        <f>ToFeatureMode(特性!C53)</f>
        <v/>
      </c>
      <c r="D53" t="str">
        <f>ToResult(特性!D53)</f>
        <v/>
      </c>
      <c r="E53" t="str">
        <f>ToResult(特性!E53)</f>
        <v/>
      </c>
      <c r="F53" t="str">
        <f>ToResult(特性!F53)</f>
        <v/>
      </c>
      <c r="G53" t="str">
        <f>ToResult(特性!G53)</f>
        <v/>
      </c>
      <c r="H53" t="str">
        <f>ToResult(特性!H53)</f>
        <v/>
      </c>
    </row>
    <row r="54" spans="1:8">
      <c r="A54" t="str">
        <f>ToResult(特性!A54)</f>
        <v/>
      </c>
      <c r="B54" t="str">
        <f>ToResult(特性!B54)</f>
        <v/>
      </c>
      <c r="C54" t="str">
        <f>ToFeatureMode(特性!C54)</f>
        <v/>
      </c>
      <c r="D54" t="str">
        <f>ToResult(特性!D54)</f>
        <v/>
      </c>
      <c r="E54" t="str">
        <f>ToResult(特性!E54)</f>
        <v/>
      </c>
      <c r="F54" t="str">
        <f>ToResult(特性!F54)</f>
        <v/>
      </c>
      <c r="G54" t="str">
        <f>ToResult(特性!G54)</f>
        <v/>
      </c>
      <c r="H54" t="str">
        <f>ToResult(特性!H54)</f>
        <v/>
      </c>
    </row>
    <row r="55" spans="1:8">
      <c r="A55" t="str">
        <f>ToResult(特性!A55)</f>
        <v/>
      </c>
      <c r="B55" t="str">
        <f>ToResult(特性!B55)</f>
        <v/>
      </c>
      <c r="C55" t="str">
        <f>ToFeatureMode(特性!C55)</f>
        <v/>
      </c>
      <c r="D55" t="str">
        <f>ToResult(特性!D55)</f>
        <v/>
      </c>
      <c r="E55" t="str">
        <f>ToResult(特性!E55)</f>
        <v/>
      </c>
      <c r="F55" t="str">
        <f>ToResult(特性!F55)</f>
        <v/>
      </c>
      <c r="G55" t="str">
        <f>ToResult(特性!G55)</f>
        <v/>
      </c>
      <c r="H55" t="str">
        <f>ToResult(特性!H55)</f>
        <v/>
      </c>
    </row>
    <row r="56" spans="1:8">
      <c r="A56" t="str">
        <f>ToResult(特性!A56)</f>
        <v/>
      </c>
      <c r="B56" t="str">
        <f>ToResult(特性!B56)</f>
        <v/>
      </c>
      <c r="C56" t="str">
        <f>ToFeatureMode(特性!C56)</f>
        <v/>
      </c>
      <c r="D56" t="str">
        <f>ToResult(特性!D56)</f>
        <v/>
      </c>
      <c r="E56" t="str">
        <f>ToResult(特性!E56)</f>
        <v/>
      </c>
      <c r="F56" t="str">
        <f>ToResult(特性!F56)</f>
        <v/>
      </c>
      <c r="G56" t="str">
        <f>ToResult(特性!G56)</f>
        <v/>
      </c>
      <c r="H56" t="str">
        <f>ToResult(特性!H56)</f>
        <v/>
      </c>
    </row>
    <row r="57" spans="1:8">
      <c r="A57" t="str">
        <f>ToResult(特性!A57)</f>
        <v/>
      </c>
      <c r="B57" t="str">
        <f>ToResult(特性!B57)</f>
        <v/>
      </c>
      <c r="C57" t="str">
        <f>ToFeatureMode(特性!C57)</f>
        <v/>
      </c>
      <c r="D57" t="str">
        <f>ToResult(特性!D57)</f>
        <v/>
      </c>
      <c r="E57" t="str">
        <f>ToResult(特性!E57)</f>
        <v/>
      </c>
      <c r="F57" t="str">
        <f>ToResult(特性!F57)</f>
        <v/>
      </c>
      <c r="G57" t="str">
        <f>ToResult(特性!G57)</f>
        <v/>
      </c>
      <c r="H57" t="str">
        <f>ToResult(特性!H57)</f>
        <v/>
      </c>
    </row>
    <row r="58" spans="1:8">
      <c r="A58" t="str">
        <f>ToResult(特性!A58)</f>
        <v/>
      </c>
      <c r="B58" t="str">
        <f>ToResult(特性!B58)</f>
        <v/>
      </c>
      <c r="C58" t="str">
        <f>ToFeatureMode(特性!C58)</f>
        <v/>
      </c>
      <c r="D58" t="str">
        <f>ToResult(特性!D58)</f>
        <v/>
      </c>
      <c r="E58" t="str">
        <f>ToResult(特性!E58)</f>
        <v/>
      </c>
      <c r="F58" t="str">
        <f>ToResult(特性!F58)</f>
        <v/>
      </c>
      <c r="G58" t="str">
        <f>ToResult(特性!G58)</f>
        <v/>
      </c>
      <c r="H58" t="str">
        <f>ToResult(特性!H58)</f>
        <v/>
      </c>
    </row>
    <row r="59" spans="1:8">
      <c r="A59" t="str">
        <f>ToResult(特性!A59)</f>
        <v/>
      </c>
      <c r="B59" t="str">
        <f>ToResult(特性!B59)</f>
        <v/>
      </c>
      <c r="C59" t="str">
        <f>ToFeatureMode(特性!C59)</f>
        <v/>
      </c>
      <c r="D59" t="str">
        <f>ToResult(特性!D59)</f>
        <v/>
      </c>
      <c r="E59" t="str">
        <f>ToResult(特性!E59)</f>
        <v/>
      </c>
      <c r="F59" t="str">
        <f>ToResult(特性!F59)</f>
        <v/>
      </c>
      <c r="G59" t="str">
        <f>ToResult(特性!G59)</f>
        <v/>
      </c>
      <c r="H59" t="str">
        <f>ToResult(特性!H59)</f>
        <v/>
      </c>
    </row>
    <row r="60" spans="1:8">
      <c r="A60" t="str">
        <f>ToResult(特性!A60)</f>
        <v/>
      </c>
      <c r="B60" t="str">
        <f>ToResult(特性!B60)</f>
        <v/>
      </c>
      <c r="C60" t="str">
        <f>ToFeatureMode(特性!C60)</f>
        <v/>
      </c>
      <c r="D60" t="str">
        <f>ToResult(特性!D60)</f>
        <v/>
      </c>
      <c r="E60" t="str">
        <f>ToResult(特性!E60)</f>
        <v/>
      </c>
      <c r="F60" t="str">
        <f>ToResult(特性!F60)</f>
        <v/>
      </c>
      <c r="G60" t="str">
        <f>ToResult(特性!G60)</f>
        <v/>
      </c>
      <c r="H60" t="str">
        <f>ToResult(特性!H60)</f>
        <v/>
      </c>
    </row>
    <row r="61" spans="1:8">
      <c r="A61" t="str">
        <f>ToResult(特性!A61)</f>
        <v/>
      </c>
      <c r="B61" t="str">
        <f>ToResult(特性!B61)</f>
        <v/>
      </c>
      <c r="C61" t="str">
        <f>ToFeatureMode(特性!C61)</f>
        <v/>
      </c>
      <c r="D61" t="str">
        <f>ToResult(特性!D61)</f>
        <v/>
      </c>
      <c r="E61" t="str">
        <f>ToResult(特性!E61)</f>
        <v/>
      </c>
      <c r="F61" t="str">
        <f>ToResult(特性!F61)</f>
        <v/>
      </c>
      <c r="G61" t="str">
        <f>ToResult(特性!G61)</f>
        <v/>
      </c>
      <c r="H61" t="str">
        <f>ToResult(特性!H61)</f>
        <v/>
      </c>
    </row>
    <row r="62" spans="1:8">
      <c r="A62" t="str">
        <f>ToResult(特性!A62)</f>
        <v/>
      </c>
      <c r="B62" t="str">
        <f>ToResult(特性!B62)</f>
        <v/>
      </c>
      <c r="C62" t="str">
        <f>ToFeatureMode(特性!C62)</f>
        <v/>
      </c>
      <c r="D62" t="str">
        <f>ToResult(特性!D62)</f>
        <v/>
      </c>
      <c r="E62" t="str">
        <f>ToResult(特性!E62)</f>
        <v/>
      </c>
      <c r="F62" t="str">
        <f>ToResult(特性!F62)</f>
        <v/>
      </c>
      <c r="G62" t="str">
        <f>ToResult(特性!G62)</f>
        <v/>
      </c>
      <c r="H62" t="str">
        <f>ToResult(特性!H62)</f>
        <v/>
      </c>
    </row>
    <row r="63" spans="1:8">
      <c r="A63" t="str">
        <f>ToResult(特性!A63)</f>
        <v/>
      </c>
      <c r="B63" t="str">
        <f>ToResult(特性!B63)</f>
        <v/>
      </c>
      <c r="C63" t="str">
        <f>ToFeatureMode(特性!C63)</f>
        <v/>
      </c>
      <c r="D63" t="str">
        <f>ToResult(特性!D63)</f>
        <v/>
      </c>
      <c r="E63" t="str">
        <f>ToResult(特性!E63)</f>
        <v/>
      </c>
      <c r="F63" t="str">
        <f>ToResult(特性!F63)</f>
        <v/>
      </c>
      <c r="G63" t="str">
        <f>ToResult(特性!G63)</f>
        <v/>
      </c>
      <c r="H63" t="str">
        <f>ToResult(特性!H63)</f>
        <v/>
      </c>
    </row>
    <row r="64" spans="1:8">
      <c r="A64" t="str">
        <f>ToResult(特性!A64)</f>
        <v/>
      </c>
      <c r="B64" t="str">
        <f>ToResult(特性!B64)</f>
        <v/>
      </c>
      <c r="C64" t="str">
        <f>ToFeatureMode(特性!C64)</f>
        <v/>
      </c>
      <c r="D64" t="str">
        <f>ToResult(特性!D64)</f>
        <v/>
      </c>
      <c r="E64" t="str">
        <f>ToResult(特性!E64)</f>
        <v/>
      </c>
      <c r="F64" t="str">
        <f>ToResult(特性!F64)</f>
        <v/>
      </c>
      <c r="G64" t="str">
        <f>ToResult(特性!G64)</f>
        <v/>
      </c>
      <c r="H64" t="str">
        <f>ToResult(特性!H64)</f>
        <v/>
      </c>
    </row>
    <row r="65" spans="1:8">
      <c r="A65" t="str">
        <f>ToResult(特性!A65)</f>
        <v/>
      </c>
      <c r="B65" t="str">
        <f>ToResult(特性!B65)</f>
        <v/>
      </c>
      <c r="C65" t="str">
        <f>ToFeatureMode(特性!C65)</f>
        <v/>
      </c>
      <c r="D65" t="str">
        <f>ToResult(特性!D65)</f>
        <v/>
      </c>
      <c r="E65" t="str">
        <f>ToResult(特性!E65)</f>
        <v/>
      </c>
      <c r="F65" t="str">
        <f>ToResult(特性!F65)</f>
        <v/>
      </c>
      <c r="G65" t="str">
        <f>ToResult(特性!G65)</f>
        <v/>
      </c>
      <c r="H65" t="str">
        <f>ToResult(特性!H65)</f>
        <v/>
      </c>
    </row>
    <row r="66" spans="1:8">
      <c r="A66" t="str">
        <f>ToResult(特性!A66)</f>
        <v/>
      </c>
      <c r="B66" t="str">
        <f>ToResult(特性!B66)</f>
        <v/>
      </c>
      <c r="C66" t="str">
        <f>ToFeatureMode(特性!C66)</f>
        <v/>
      </c>
      <c r="D66" t="str">
        <f>ToResult(特性!D66)</f>
        <v/>
      </c>
      <c r="E66" t="str">
        <f>ToResult(特性!E66)</f>
        <v/>
      </c>
      <c r="F66" t="str">
        <f>ToResult(特性!F66)</f>
        <v/>
      </c>
      <c r="G66" t="str">
        <f>ToResult(特性!G66)</f>
        <v/>
      </c>
      <c r="H66" t="str">
        <f>ToResult(特性!H66)</f>
        <v/>
      </c>
    </row>
    <row r="67" spans="1:8">
      <c r="A67" t="str">
        <f>ToResult(特性!A67)</f>
        <v/>
      </c>
      <c r="B67" t="str">
        <f>ToResult(特性!B67)</f>
        <v/>
      </c>
      <c r="C67" t="str">
        <f>ToFeatureMode(特性!C67)</f>
        <v/>
      </c>
      <c r="D67" t="str">
        <f>ToResult(特性!D67)</f>
        <v/>
      </c>
      <c r="E67" t="str">
        <f>ToResult(特性!E67)</f>
        <v/>
      </c>
      <c r="F67" t="str">
        <f>ToResult(特性!F67)</f>
        <v/>
      </c>
      <c r="G67" t="str">
        <f>ToResult(特性!G67)</f>
        <v/>
      </c>
      <c r="H67" t="str">
        <f>ToResult(特性!H67)</f>
        <v/>
      </c>
    </row>
    <row r="68" spans="1:8">
      <c r="A68" t="str">
        <f>ToResult(特性!A68)</f>
        <v/>
      </c>
      <c r="B68" t="str">
        <f>ToResult(特性!B68)</f>
        <v/>
      </c>
      <c r="C68" t="str">
        <f>ToFeatureMode(特性!C68)</f>
        <v/>
      </c>
      <c r="D68" t="str">
        <f>ToResult(特性!D68)</f>
        <v/>
      </c>
      <c r="E68" t="str">
        <f>ToResult(特性!E68)</f>
        <v/>
      </c>
      <c r="F68" t="str">
        <f>ToResult(特性!F68)</f>
        <v/>
      </c>
      <c r="G68" t="str">
        <f>ToResult(特性!G68)</f>
        <v/>
      </c>
      <c r="H68" t="str">
        <f>ToResult(特性!H68)</f>
        <v/>
      </c>
    </row>
    <row r="69" spans="1:8">
      <c r="A69" t="str">
        <f>ToResult(特性!A69)</f>
        <v/>
      </c>
      <c r="B69" t="str">
        <f>ToResult(特性!B69)</f>
        <v/>
      </c>
      <c r="C69" t="str">
        <f>ToFeatureMode(特性!C69)</f>
        <v/>
      </c>
      <c r="D69" t="str">
        <f>ToResult(特性!D69)</f>
        <v/>
      </c>
      <c r="E69" t="str">
        <f>ToResult(特性!E69)</f>
        <v/>
      </c>
      <c r="F69" t="str">
        <f>ToResult(特性!F69)</f>
        <v/>
      </c>
      <c r="G69" t="str">
        <f>ToResult(特性!G69)</f>
        <v/>
      </c>
      <c r="H69" t="str">
        <f>ToResult(特性!H69)</f>
        <v/>
      </c>
    </row>
    <row r="70" spans="1:8">
      <c r="A70" t="str">
        <f>ToResult(特性!A70)</f>
        <v/>
      </c>
      <c r="B70" t="str">
        <f>ToResult(特性!B70)</f>
        <v/>
      </c>
      <c r="C70" t="str">
        <f>ToFeatureMode(特性!C70)</f>
        <v/>
      </c>
      <c r="D70" t="str">
        <f>ToResult(特性!D70)</f>
        <v/>
      </c>
      <c r="E70" t="str">
        <f>ToResult(特性!E70)</f>
        <v/>
      </c>
      <c r="F70" t="str">
        <f>ToResult(特性!F70)</f>
        <v/>
      </c>
      <c r="G70" t="str">
        <f>ToResult(特性!G70)</f>
        <v/>
      </c>
      <c r="H70" t="str">
        <f>ToResult(特性!H70)</f>
        <v/>
      </c>
    </row>
    <row r="71" spans="1:8">
      <c r="A71" t="str">
        <f>ToResult(特性!A71)</f>
        <v/>
      </c>
      <c r="B71" t="str">
        <f>ToResult(特性!B71)</f>
        <v/>
      </c>
      <c r="C71" t="str">
        <f>ToFeatureMode(特性!C71)</f>
        <v/>
      </c>
      <c r="D71" t="str">
        <f>ToResult(特性!D71)</f>
        <v/>
      </c>
      <c r="E71" t="str">
        <f>ToResult(特性!E71)</f>
        <v/>
      </c>
      <c r="F71" t="str">
        <f>ToResult(特性!F71)</f>
        <v/>
      </c>
      <c r="G71" t="str">
        <f>ToResult(特性!G71)</f>
        <v/>
      </c>
      <c r="H71" t="str">
        <f>ToResult(特性!H71)</f>
        <v/>
      </c>
    </row>
    <row r="72" spans="1:8">
      <c r="A72" t="str">
        <f>ToResult(特性!A72)</f>
        <v/>
      </c>
      <c r="B72" t="str">
        <f>ToResult(特性!B72)</f>
        <v/>
      </c>
      <c r="C72" t="str">
        <f>ToFeatureMode(特性!C72)</f>
        <v/>
      </c>
      <c r="D72" t="str">
        <f>ToResult(特性!D72)</f>
        <v/>
      </c>
      <c r="E72" t="str">
        <f>ToResult(特性!E72)</f>
        <v/>
      </c>
      <c r="F72" t="str">
        <f>ToResult(特性!F72)</f>
        <v/>
      </c>
      <c r="G72" t="str">
        <f>ToResult(特性!G72)</f>
        <v/>
      </c>
      <c r="H72" t="str">
        <f>ToResult(特性!H72)</f>
        <v/>
      </c>
    </row>
    <row r="73" spans="1:8">
      <c r="A73" t="str">
        <f>ToResult(特性!A73)</f>
        <v/>
      </c>
      <c r="B73" t="str">
        <f>ToResult(特性!B73)</f>
        <v/>
      </c>
      <c r="C73" t="str">
        <f>ToFeatureMode(特性!C73)</f>
        <v/>
      </c>
      <c r="D73" t="str">
        <f>ToResult(特性!D73)</f>
        <v/>
      </c>
      <c r="E73" t="str">
        <f>ToResult(特性!E73)</f>
        <v/>
      </c>
      <c r="F73" t="str">
        <f>ToResult(特性!F73)</f>
        <v/>
      </c>
      <c r="G73" t="str">
        <f>ToResult(特性!G73)</f>
        <v/>
      </c>
      <c r="H73" t="str">
        <f>ToResult(特性!H73)</f>
        <v/>
      </c>
    </row>
    <row r="74" spans="1:8">
      <c r="A74" t="str">
        <f>ToResult(特性!A74)</f>
        <v/>
      </c>
      <c r="B74" t="str">
        <f>ToResult(特性!B74)</f>
        <v/>
      </c>
      <c r="C74" t="str">
        <f>ToFeatureMode(特性!C74)</f>
        <v/>
      </c>
      <c r="D74" t="str">
        <f>ToResult(特性!D74)</f>
        <v/>
      </c>
      <c r="E74" t="str">
        <f>ToResult(特性!E74)</f>
        <v/>
      </c>
      <c r="F74" t="str">
        <f>ToResult(特性!F74)</f>
        <v/>
      </c>
      <c r="G74" t="str">
        <f>ToResult(特性!G74)</f>
        <v/>
      </c>
      <c r="H74" t="str">
        <f>ToResult(特性!H74)</f>
        <v/>
      </c>
    </row>
    <row r="75" spans="1:8">
      <c r="A75" t="str">
        <f>ToResult(特性!A75)</f>
        <v/>
      </c>
      <c r="B75" t="str">
        <f>ToResult(特性!B75)</f>
        <v/>
      </c>
      <c r="C75" t="str">
        <f>ToFeatureMode(特性!C75)</f>
        <v/>
      </c>
      <c r="D75" t="str">
        <f>ToResult(特性!D75)</f>
        <v/>
      </c>
      <c r="E75" t="str">
        <f>ToResult(特性!E75)</f>
        <v/>
      </c>
      <c r="F75" t="str">
        <f>ToResult(特性!F75)</f>
        <v/>
      </c>
      <c r="G75" t="str">
        <f>ToResult(特性!G75)</f>
        <v/>
      </c>
      <c r="H75" t="str">
        <f>ToResult(特性!H75)</f>
        <v/>
      </c>
    </row>
    <row r="76" spans="1:8">
      <c r="A76" t="str">
        <f>ToResult(特性!A76)</f>
        <v/>
      </c>
      <c r="B76" t="str">
        <f>ToResult(特性!B76)</f>
        <v/>
      </c>
      <c r="C76" t="str">
        <f>ToFeatureMode(特性!C76)</f>
        <v/>
      </c>
      <c r="D76" t="str">
        <f>ToResult(特性!D76)</f>
        <v/>
      </c>
      <c r="E76" t="str">
        <f>ToResult(特性!E76)</f>
        <v/>
      </c>
      <c r="F76" t="str">
        <f>ToResult(特性!F76)</f>
        <v/>
      </c>
      <c r="G76" t="str">
        <f>ToResult(特性!G76)</f>
        <v/>
      </c>
      <c r="H76" t="str">
        <f>ToResult(特性!H76)</f>
        <v/>
      </c>
    </row>
    <row r="77" spans="1:8">
      <c r="A77" t="str">
        <f>ToResult(特性!A77)</f>
        <v/>
      </c>
      <c r="B77" t="str">
        <f>ToResult(特性!B77)</f>
        <v/>
      </c>
      <c r="C77" t="str">
        <f>ToFeatureMode(特性!C77)</f>
        <v/>
      </c>
      <c r="D77" t="str">
        <f>ToResult(特性!D77)</f>
        <v/>
      </c>
      <c r="E77" t="str">
        <f>ToResult(特性!E77)</f>
        <v/>
      </c>
      <c r="F77" t="str">
        <f>ToResult(特性!F77)</f>
        <v/>
      </c>
      <c r="G77" t="str">
        <f>ToResult(特性!G77)</f>
        <v/>
      </c>
      <c r="H77" t="str">
        <f>ToResult(特性!H77)</f>
        <v/>
      </c>
    </row>
    <row r="78" spans="1:8">
      <c r="A78" t="str">
        <f>ToResult(特性!A78)</f>
        <v/>
      </c>
      <c r="B78" t="str">
        <f>ToResult(特性!B78)</f>
        <v/>
      </c>
      <c r="C78" t="str">
        <f>ToFeatureMode(特性!C78)</f>
        <v/>
      </c>
      <c r="D78" t="str">
        <f>ToResult(特性!D78)</f>
        <v/>
      </c>
      <c r="E78" t="str">
        <f>ToResult(特性!E78)</f>
        <v/>
      </c>
      <c r="F78" t="str">
        <f>ToResult(特性!F78)</f>
        <v/>
      </c>
      <c r="G78" t="str">
        <f>ToResult(特性!G78)</f>
        <v/>
      </c>
      <c r="H78" t="str">
        <f>ToResult(特性!H78)</f>
        <v/>
      </c>
    </row>
    <row r="79" spans="1:8">
      <c r="A79" t="str">
        <f>ToResult(特性!A79)</f>
        <v/>
      </c>
      <c r="B79" t="str">
        <f>ToResult(特性!B79)</f>
        <v/>
      </c>
      <c r="C79" t="str">
        <f>ToFeatureMode(特性!C79)</f>
        <v/>
      </c>
      <c r="D79" t="str">
        <f>ToResult(特性!D79)</f>
        <v/>
      </c>
      <c r="E79" t="str">
        <f>ToResult(特性!E79)</f>
        <v/>
      </c>
      <c r="F79" t="str">
        <f>ToResult(特性!F79)</f>
        <v/>
      </c>
      <c r="G79" t="str">
        <f>ToResult(特性!G79)</f>
        <v/>
      </c>
      <c r="H79" t="str">
        <f>ToResult(特性!H79)</f>
        <v/>
      </c>
    </row>
    <row r="80" spans="1:8">
      <c r="A80" t="str">
        <f>ToResult(特性!A80)</f>
        <v/>
      </c>
      <c r="B80" t="str">
        <f>ToResult(特性!B80)</f>
        <v/>
      </c>
      <c r="C80" t="str">
        <f>ToFeatureMode(特性!C80)</f>
        <v/>
      </c>
      <c r="D80" t="str">
        <f>ToResult(特性!D80)</f>
        <v/>
      </c>
      <c r="E80" t="str">
        <f>ToResult(特性!E80)</f>
        <v/>
      </c>
      <c r="F80" t="str">
        <f>ToResult(特性!F80)</f>
        <v/>
      </c>
      <c r="G80" t="str">
        <f>ToResult(特性!G80)</f>
        <v/>
      </c>
      <c r="H80" t="str">
        <f>ToResult(特性!H80)</f>
        <v/>
      </c>
    </row>
    <row r="81" spans="1:8">
      <c r="A81" t="str">
        <f>ToResult(特性!A81)</f>
        <v/>
      </c>
      <c r="B81" t="str">
        <f>ToResult(特性!B81)</f>
        <v/>
      </c>
      <c r="C81" t="str">
        <f>ToFeatureMode(特性!C81)</f>
        <v/>
      </c>
      <c r="D81" t="str">
        <f>ToResult(特性!D81)</f>
        <v/>
      </c>
      <c r="E81" t="str">
        <f>ToResult(特性!E81)</f>
        <v/>
      </c>
      <c r="F81" t="str">
        <f>ToResult(特性!F81)</f>
        <v/>
      </c>
      <c r="G81" t="str">
        <f>ToResult(特性!G81)</f>
        <v/>
      </c>
      <c r="H81" t="str">
        <f>ToResult(特性!H81)</f>
        <v/>
      </c>
    </row>
    <row r="82" spans="1:8">
      <c r="A82" t="str">
        <f>ToResult(特性!A82)</f>
        <v/>
      </c>
      <c r="B82" t="str">
        <f>ToResult(特性!B82)</f>
        <v/>
      </c>
      <c r="C82" t="str">
        <f>ToFeatureMode(特性!C82)</f>
        <v/>
      </c>
      <c r="D82" t="str">
        <f>ToResult(特性!D82)</f>
        <v/>
      </c>
      <c r="E82" t="str">
        <f>ToResult(特性!E82)</f>
        <v/>
      </c>
      <c r="F82" t="str">
        <f>ToResult(特性!F82)</f>
        <v/>
      </c>
      <c r="G82" t="str">
        <f>ToResult(特性!G82)</f>
        <v/>
      </c>
      <c r="H82" t="str">
        <f>ToResult(特性!H82)</f>
        <v/>
      </c>
    </row>
    <row r="83" spans="1:8">
      <c r="A83" t="str">
        <f>ToResult(特性!A83)</f>
        <v/>
      </c>
      <c r="B83" t="str">
        <f>ToResult(特性!B83)</f>
        <v/>
      </c>
      <c r="C83" t="str">
        <f>ToFeatureMode(特性!C83)</f>
        <v/>
      </c>
      <c r="D83" t="str">
        <f>ToResult(特性!D83)</f>
        <v/>
      </c>
      <c r="E83" t="str">
        <f>ToResult(特性!E83)</f>
        <v/>
      </c>
      <c r="F83" t="str">
        <f>ToResult(特性!F83)</f>
        <v/>
      </c>
      <c r="G83" t="str">
        <f>ToResult(特性!G83)</f>
        <v/>
      </c>
      <c r="H83" t="str">
        <f>ToResult(特性!H83)</f>
        <v/>
      </c>
    </row>
    <row r="84" spans="1:8">
      <c r="A84" t="str">
        <f>ToResult(特性!A84)</f>
        <v/>
      </c>
      <c r="B84" t="str">
        <f>ToResult(特性!B84)</f>
        <v/>
      </c>
      <c r="C84" t="str">
        <f>ToFeatureMode(特性!C84)</f>
        <v/>
      </c>
      <c r="D84" t="str">
        <f>ToResult(特性!D84)</f>
        <v/>
      </c>
      <c r="E84" t="str">
        <f>ToResult(特性!E84)</f>
        <v/>
      </c>
      <c r="F84" t="str">
        <f>ToResult(特性!F84)</f>
        <v/>
      </c>
      <c r="G84" t="str">
        <f>ToResult(特性!G84)</f>
        <v/>
      </c>
      <c r="H84" t="str">
        <f>ToResult(特性!H84)</f>
        <v/>
      </c>
    </row>
    <row r="85" spans="1:8">
      <c r="A85" t="str">
        <f>ToResult(特性!A85)</f>
        <v/>
      </c>
      <c r="B85" t="str">
        <f>ToResult(特性!B85)</f>
        <v/>
      </c>
      <c r="C85" t="str">
        <f>ToFeatureMode(特性!C85)</f>
        <v/>
      </c>
      <c r="D85" t="str">
        <f>ToResult(特性!D85)</f>
        <v/>
      </c>
      <c r="E85" t="str">
        <f>ToResult(特性!E85)</f>
        <v/>
      </c>
      <c r="F85" t="str">
        <f>ToResult(特性!F85)</f>
        <v/>
      </c>
      <c r="G85" t="str">
        <f>ToResult(特性!G85)</f>
        <v/>
      </c>
      <c r="H85" t="str">
        <f>ToResult(特性!H85)</f>
        <v/>
      </c>
    </row>
    <row r="86" spans="1:8">
      <c r="A86" t="str">
        <f>ToResult(特性!A86)</f>
        <v/>
      </c>
      <c r="B86" t="str">
        <f>ToResult(特性!B86)</f>
        <v/>
      </c>
      <c r="C86" t="str">
        <f>ToFeatureMode(特性!C86)</f>
        <v/>
      </c>
      <c r="D86" t="str">
        <f>ToResult(特性!D86)</f>
        <v/>
      </c>
      <c r="E86" t="str">
        <f>ToResult(特性!E86)</f>
        <v/>
      </c>
      <c r="F86" t="str">
        <f>ToResult(特性!F86)</f>
        <v/>
      </c>
      <c r="G86" t="str">
        <f>ToResult(特性!G86)</f>
        <v/>
      </c>
      <c r="H86" t="str">
        <f>ToResult(特性!H86)</f>
        <v/>
      </c>
    </row>
    <row r="87" spans="1:8">
      <c r="A87" t="str">
        <f>ToResult(特性!A87)</f>
        <v/>
      </c>
      <c r="B87" t="str">
        <f>ToResult(特性!B87)</f>
        <v/>
      </c>
      <c r="C87" t="str">
        <f>ToFeatureMode(特性!C87)</f>
        <v/>
      </c>
      <c r="D87" t="str">
        <f>ToResult(特性!D87)</f>
        <v/>
      </c>
      <c r="E87" t="str">
        <f>ToResult(特性!E87)</f>
        <v/>
      </c>
      <c r="F87" t="str">
        <f>ToResult(特性!F87)</f>
        <v/>
      </c>
      <c r="G87" t="str">
        <f>ToResult(特性!G87)</f>
        <v/>
      </c>
      <c r="H87" t="str">
        <f>ToResult(特性!H87)</f>
        <v/>
      </c>
    </row>
    <row r="88" spans="1:8">
      <c r="A88" t="str">
        <f>ToResult(特性!A88)</f>
        <v/>
      </c>
      <c r="B88" t="str">
        <f>ToResult(特性!B88)</f>
        <v/>
      </c>
      <c r="C88" t="str">
        <f>ToFeatureMode(特性!C88)</f>
        <v/>
      </c>
      <c r="D88" t="str">
        <f>ToResult(特性!D88)</f>
        <v/>
      </c>
      <c r="E88" t="str">
        <f>ToResult(特性!E88)</f>
        <v/>
      </c>
      <c r="F88" t="str">
        <f>ToResult(特性!F88)</f>
        <v/>
      </c>
      <c r="G88" t="str">
        <f>ToResult(特性!G88)</f>
        <v/>
      </c>
      <c r="H88" t="str">
        <f>ToResult(特性!H88)</f>
        <v/>
      </c>
    </row>
    <row r="89" spans="1:8">
      <c r="A89" t="str">
        <f>ToResult(特性!A89)</f>
        <v/>
      </c>
      <c r="B89" t="str">
        <f>ToResult(特性!B89)</f>
        <v/>
      </c>
      <c r="C89" t="str">
        <f>ToFeatureMode(特性!C89)</f>
        <v/>
      </c>
      <c r="D89" t="str">
        <f>ToResult(特性!D89)</f>
        <v/>
      </c>
      <c r="E89" t="str">
        <f>ToResult(特性!E89)</f>
        <v/>
      </c>
      <c r="F89" t="str">
        <f>ToResult(特性!F89)</f>
        <v/>
      </c>
      <c r="G89" t="str">
        <f>ToResult(特性!G89)</f>
        <v/>
      </c>
      <c r="H89" t="str">
        <f>ToResult(特性!H89)</f>
        <v/>
      </c>
    </row>
    <row r="90" spans="1:8">
      <c r="A90" t="str">
        <f>ToResult(特性!A90)</f>
        <v/>
      </c>
      <c r="B90" t="str">
        <f>ToResult(特性!B90)</f>
        <v/>
      </c>
      <c r="C90" t="str">
        <f>ToFeatureMode(特性!C90)</f>
        <v/>
      </c>
      <c r="D90" t="str">
        <f>ToResult(特性!D90)</f>
        <v/>
      </c>
      <c r="E90" t="str">
        <f>ToResult(特性!E90)</f>
        <v/>
      </c>
      <c r="F90" t="str">
        <f>ToResult(特性!F90)</f>
        <v/>
      </c>
      <c r="G90" t="str">
        <f>ToResult(特性!G90)</f>
        <v/>
      </c>
      <c r="H90" t="str">
        <f>ToResult(特性!H90)</f>
        <v/>
      </c>
    </row>
    <row r="91" spans="1:8">
      <c r="A91" t="str">
        <f>ToResult(特性!A91)</f>
        <v/>
      </c>
      <c r="B91" t="str">
        <f>ToResult(特性!B91)</f>
        <v/>
      </c>
      <c r="C91" t="str">
        <f>ToFeatureMode(特性!C91)</f>
        <v/>
      </c>
      <c r="D91" t="str">
        <f>ToResult(特性!D91)</f>
        <v/>
      </c>
      <c r="E91" t="str">
        <f>ToResult(特性!E91)</f>
        <v/>
      </c>
      <c r="F91" t="str">
        <f>ToResult(特性!F91)</f>
        <v/>
      </c>
      <c r="G91" t="str">
        <f>ToResult(特性!G91)</f>
        <v/>
      </c>
      <c r="H91" t="str">
        <f>ToResult(特性!H91)</f>
        <v/>
      </c>
    </row>
    <row r="92" spans="1:8">
      <c r="A92" t="str">
        <f>ToResult(特性!A92)</f>
        <v/>
      </c>
      <c r="B92" t="str">
        <f>ToResult(特性!B92)</f>
        <v/>
      </c>
      <c r="C92" t="str">
        <f>ToFeatureMode(特性!C92)</f>
        <v/>
      </c>
      <c r="D92" t="str">
        <f>ToResult(特性!D92)</f>
        <v/>
      </c>
      <c r="E92" t="str">
        <f>ToResult(特性!E92)</f>
        <v/>
      </c>
      <c r="F92" t="str">
        <f>ToResult(特性!F92)</f>
        <v/>
      </c>
      <c r="G92" t="str">
        <f>ToResult(特性!G92)</f>
        <v/>
      </c>
      <c r="H92" t="str">
        <f>ToResult(特性!H92)</f>
        <v/>
      </c>
    </row>
    <row r="93" spans="1:8">
      <c r="A93" t="str">
        <f>ToResult(特性!A93)</f>
        <v/>
      </c>
      <c r="B93" t="str">
        <f>ToResult(特性!B93)</f>
        <v/>
      </c>
      <c r="C93" t="str">
        <f>ToFeatureMode(特性!C93)</f>
        <v/>
      </c>
      <c r="D93" t="str">
        <f>ToResult(特性!D93)</f>
        <v/>
      </c>
      <c r="E93" t="str">
        <f>ToResult(特性!E93)</f>
        <v/>
      </c>
      <c r="F93" t="str">
        <f>ToResult(特性!F93)</f>
        <v/>
      </c>
      <c r="G93" t="str">
        <f>ToResult(特性!G93)</f>
        <v/>
      </c>
      <c r="H93" t="str">
        <f>ToResult(特性!H93)</f>
        <v/>
      </c>
    </row>
    <row r="94" spans="1:8">
      <c r="A94" t="str">
        <f>ToResult(特性!A94)</f>
        <v/>
      </c>
      <c r="B94" t="str">
        <f>ToResult(特性!B94)</f>
        <v/>
      </c>
      <c r="C94" t="str">
        <f>ToFeatureMode(特性!C94)</f>
        <v/>
      </c>
      <c r="D94" t="str">
        <f>ToResult(特性!D94)</f>
        <v/>
      </c>
      <c r="E94" t="str">
        <f>ToResult(特性!E94)</f>
        <v/>
      </c>
      <c r="F94" t="str">
        <f>ToResult(特性!F94)</f>
        <v/>
      </c>
      <c r="G94" t="str">
        <f>ToResult(特性!G94)</f>
        <v/>
      </c>
      <c r="H94" t="str">
        <f>ToResult(特性!H94)</f>
        <v/>
      </c>
    </row>
    <row r="95" spans="1:8">
      <c r="A95" t="str">
        <f>ToResult(特性!A95)</f>
        <v/>
      </c>
      <c r="B95" t="str">
        <f>ToResult(特性!B95)</f>
        <v/>
      </c>
      <c r="C95" t="str">
        <f>ToFeatureMode(特性!C95)</f>
        <v/>
      </c>
      <c r="D95" t="str">
        <f>ToResult(特性!D95)</f>
        <v/>
      </c>
      <c r="E95" t="str">
        <f>ToResult(特性!E95)</f>
        <v/>
      </c>
      <c r="F95" t="str">
        <f>ToResult(特性!F95)</f>
        <v/>
      </c>
      <c r="G95" t="str">
        <f>ToResult(特性!G95)</f>
        <v/>
      </c>
      <c r="H95" t="str">
        <f>ToResult(特性!H95)</f>
        <v/>
      </c>
    </row>
    <row r="96" spans="1:8">
      <c r="A96" t="str">
        <f>ToResult(特性!A96)</f>
        <v/>
      </c>
      <c r="B96" t="str">
        <f>ToResult(特性!B96)</f>
        <v/>
      </c>
      <c r="C96" t="str">
        <f>ToFeatureMode(特性!C96)</f>
        <v/>
      </c>
      <c r="D96" t="str">
        <f>ToResult(特性!D96)</f>
        <v/>
      </c>
      <c r="E96" t="str">
        <f>ToResult(特性!E96)</f>
        <v/>
      </c>
      <c r="F96" t="str">
        <f>ToResult(特性!F96)</f>
        <v/>
      </c>
      <c r="G96" t="str">
        <f>ToResult(特性!G96)</f>
        <v/>
      </c>
      <c r="H96" t="str">
        <f>ToResult(特性!H96)</f>
        <v/>
      </c>
    </row>
    <row r="97" spans="1:8">
      <c r="A97" t="str">
        <f>ToResult(特性!A97)</f>
        <v/>
      </c>
      <c r="B97" t="str">
        <f>ToResult(特性!B97)</f>
        <v/>
      </c>
      <c r="C97" t="str">
        <f>ToFeatureMode(特性!C97)</f>
        <v/>
      </c>
      <c r="D97" t="str">
        <f>ToResult(特性!D97)</f>
        <v/>
      </c>
      <c r="E97" t="str">
        <f>ToResult(特性!E97)</f>
        <v/>
      </c>
      <c r="F97" t="str">
        <f>ToResult(特性!F97)</f>
        <v/>
      </c>
      <c r="G97" t="str">
        <f>ToResult(特性!G97)</f>
        <v/>
      </c>
      <c r="H97" t="str">
        <f>ToResult(特性!H97)</f>
        <v/>
      </c>
    </row>
    <row r="98" spans="1:8">
      <c r="A98" t="str">
        <f>ToResult(特性!A98)</f>
        <v/>
      </c>
      <c r="B98" t="str">
        <f>ToResult(特性!B98)</f>
        <v/>
      </c>
      <c r="C98" t="str">
        <f>ToFeatureMode(特性!C98)</f>
        <v/>
      </c>
      <c r="D98" t="str">
        <f>ToResult(特性!D98)</f>
        <v/>
      </c>
      <c r="E98" t="str">
        <f>ToResult(特性!E98)</f>
        <v/>
      </c>
      <c r="F98" t="str">
        <f>ToResult(特性!F98)</f>
        <v/>
      </c>
      <c r="G98" t="str">
        <f>ToResult(特性!G98)</f>
        <v/>
      </c>
      <c r="H98" t="str">
        <f>ToResult(特性!H98)</f>
        <v/>
      </c>
    </row>
    <row r="99" spans="1:8">
      <c r="A99" t="str">
        <f>ToResult(特性!A99)</f>
        <v/>
      </c>
      <c r="B99" t="str">
        <f>ToResult(特性!B99)</f>
        <v/>
      </c>
      <c r="C99" t="str">
        <f>ToFeatureMode(特性!C99)</f>
        <v/>
      </c>
      <c r="D99" t="str">
        <f>ToResult(特性!D99)</f>
        <v/>
      </c>
      <c r="E99" t="str">
        <f>ToResult(特性!E99)</f>
        <v/>
      </c>
      <c r="F99" t="str">
        <f>ToResult(特性!F99)</f>
        <v/>
      </c>
      <c r="G99" t="str">
        <f>ToResult(特性!G99)</f>
        <v/>
      </c>
      <c r="H99" t="str">
        <f>ToResult(特性!H99)</f>
        <v/>
      </c>
    </row>
    <row r="100" spans="1:8">
      <c r="A100" t="str">
        <f>ToResult(特性!A100)</f>
        <v/>
      </c>
      <c r="B100" t="str">
        <f>ToResult(特性!B100)</f>
        <v/>
      </c>
      <c r="C100" t="str">
        <f>ToFeatureMode(特性!C100)</f>
        <v/>
      </c>
      <c r="D100" t="str">
        <f>ToResult(特性!D100)</f>
        <v/>
      </c>
      <c r="E100" t="str">
        <f>ToResult(特性!E100)</f>
        <v/>
      </c>
      <c r="F100" t="str">
        <f>ToResult(特性!F100)</f>
        <v/>
      </c>
      <c r="G100" t="str">
        <f>ToResult(特性!G100)</f>
        <v/>
      </c>
      <c r="H100" t="str">
        <f>ToResult(特性!H100)</f>
        <v/>
      </c>
    </row>
  </sheetData>
  <phoneticPr fontId="1" type="noConversion"/>
  <pageMargins left="0.7" right="0.7" top="0.75" bottom="0.75" header="0.3" footer="0.3"/>
  <pageSetup paperSize="9" orientation="portrait" r:id="rId1"/>
  <ignoredErrors>
    <ignoredError sqref="H15 H16:H99" formula="1"/>
  </ignoredError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G100"/>
  <sheetViews>
    <sheetView topLeftCell="A7" workbookViewId="0">
      <selection activeCell="D19" sqref="D19"/>
    </sheetView>
  </sheetViews>
  <sheetFormatPr defaultRowHeight="16.5"/>
  <cols>
    <col min="1" max="7" width="15.625" customWidth="1"/>
  </cols>
  <sheetData>
    <row r="1" spans="1:7" s="5" customFormat="1">
      <c r="A1" s="5" t="str">
        <f>怪物!A1</f>
        <v>GUID</v>
      </c>
      <c r="B1" s="28" t="str">
        <f>怪物!B1</f>
        <v>Mode</v>
      </c>
      <c r="C1" s="28" t="str">
        <f>怪物!C1</f>
        <v>Threat</v>
      </c>
      <c r="D1" s="28" t="str">
        <f>怪物!D1</f>
        <v>StageID</v>
      </c>
      <c r="E1" s="28" t="str">
        <f>怪物!E1</f>
        <v>Enegry</v>
      </c>
      <c r="F1" s="28" t="str">
        <f>怪物!F1</f>
        <v>HP</v>
      </c>
      <c r="G1" s="28" t="str">
        <f>怪物!G1</f>
        <v>MoveSpeed</v>
      </c>
    </row>
    <row r="2" spans="1:7">
      <c r="A2" t="str">
        <f>ToResult(怪物!A2)</f>
        <v>1</v>
      </c>
      <c r="B2" t="str">
        <f>ToMonsterMode(怪物!B2)</f>
        <v>1</v>
      </c>
      <c r="C2" t="str">
        <f>ToResult(怪物!C2)</f>
        <v>2</v>
      </c>
      <c r="D2" t="str">
        <f>ToResult(怪物!D2)</f>
        <v>1</v>
      </c>
      <c r="E2" t="str">
        <f>ToResult(怪物!E2)</f>
        <v>1</v>
      </c>
      <c r="F2" t="str">
        <f>ToResult(怪物!F2)</f>
        <v>30</v>
      </c>
      <c r="G2" t="str">
        <f>ToResult(怪物!G2)</f>
        <v>0.28</v>
      </c>
    </row>
    <row r="3" spans="1:7">
      <c r="A3" t="str">
        <f>ToResult(怪物!A3)</f>
        <v>2</v>
      </c>
      <c r="B3" t="str">
        <f>ToMonsterMode(怪物!B3)</f>
        <v>1</v>
      </c>
      <c r="C3" t="str">
        <f>ToResult(怪物!C3)</f>
        <v>2</v>
      </c>
      <c r="D3" t="str">
        <f>ToResult(怪物!D3)</f>
        <v>11</v>
      </c>
      <c r="E3" t="str">
        <f>ToResult(怪物!E3)</f>
        <v>2</v>
      </c>
      <c r="F3" t="str">
        <f>ToResult(怪物!F3)</f>
        <v>60</v>
      </c>
      <c r="G3" t="str">
        <f>ToResult(怪物!G3)</f>
        <v>0.28</v>
      </c>
    </row>
    <row r="4" spans="1:7">
      <c r="A4" t="str">
        <f>ToResult(怪物!A4)</f>
        <v>3</v>
      </c>
      <c r="B4" t="str">
        <f>ToMonsterMode(怪物!B4)</f>
        <v>1</v>
      </c>
      <c r="C4" t="str">
        <f>ToResult(怪物!C4)</f>
        <v>2</v>
      </c>
      <c r="D4" t="str">
        <f>ToResult(怪物!D4)</f>
        <v>21</v>
      </c>
      <c r="E4" t="str">
        <f>ToResult(怪物!E4)</f>
        <v>3</v>
      </c>
      <c r="F4" t="str">
        <f>ToResult(怪物!F4)</f>
        <v>90</v>
      </c>
      <c r="G4" t="str">
        <f>ToResult(怪物!G4)</f>
        <v>0.28</v>
      </c>
    </row>
    <row r="5" spans="1:7">
      <c r="A5" t="str">
        <f>ToResult(怪物!A5)</f>
        <v>4</v>
      </c>
      <c r="B5" t="str">
        <f>ToMonsterMode(怪物!B5)</f>
        <v>1</v>
      </c>
      <c r="C5" t="str">
        <f>ToResult(怪物!C5)</f>
        <v>2</v>
      </c>
      <c r="D5" t="str">
        <f>ToResult(怪物!D5)</f>
        <v>31</v>
      </c>
      <c r="E5" t="str">
        <f>ToResult(怪物!E5)</f>
        <v>4</v>
      </c>
      <c r="F5" t="str">
        <f>ToResult(怪物!F5)</f>
        <v>120</v>
      </c>
      <c r="G5" t="str">
        <f>ToResult(怪物!G5)</f>
        <v>0.28</v>
      </c>
    </row>
    <row r="6" spans="1:7">
      <c r="A6" t="str">
        <f>ToResult(怪物!A6)</f>
        <v>5</v>
      </c>
      <c r="B6" t="str">
        <f>ToMonsterMode(怪物!B6)</f>
        <v>1</v>
      </c>
      <c r="C6" t="str">
        <f>ToResult(怪物!C6)</f>
        <v>2</v>
      </c>
      <c r="D6" t="str">
        <f>ToResult(怪物!D6)</f>
        <v>41</v>
      </c>
      <c r="E6" t="str">
        <f>ToResult(怪物!E6)</f>
        <v>5</v>
      </c>
      <c r="F6" t="str">
        <f>ToResult(怪物!F6)</f>
        <v>150</v>
      </c>
      <c r="G6" t="str">
        <f>ToResult(怪物!G6)</f>
        <v>0.28</v>
      </c>
    </row>
    <row r="7" spans="1:7">
      <c r="A7" t="str">
        <f>ToResult(怪物!A7)</f>
        <v>11</v>
      </c>
      <c r="B7" t="str">
        <f>ToMonsterMode(怪物!B7)</f>
        <v>1</v>
      </c>
      <c r="C7" t="str">
        <f>ToResult(怪物!C7)</f>
        <v>5</v>
      </c>
      <c r="D7" t="str">
        <f>ToResult(怪物!D7)</f>
        <v>2</v>
      </c>
      <c r="E7" t="str">
        <f>ToResult(怪物!E7)</f>
        <v>2</v>
      </c>
      <c r="F7" t="str">
        <f>ToResult(怪物!F7)</f>
        <v>60</v>
      </c>
      <c r="G7" t="str">
        <f>ToResult(怪物!G7)</f>
        <v>0.24</v>
      </c>
    </row>
    <row r="8" spans="1:7">
      <c r="A8" t="str">
        <f>ToResult(怪物!A8)</f>
        <v>12</v>
      </c>
      <c r="B8" t="str">
        <f>ToMonsterMode(怪物!B8)</f>
        <v>1</v>
      </c>
      <c r="C8" t="str">
        <f>ToResult(怪物!C8)</f>
        <v>5</v>
      </c>
      <c r="D8" t="str">
        <f>ToResult(怪物!D8)</f>
        <v>12</v>
      </c>
      <c r="E8" t="str">
        <f>ToResult(怪物!E8)</f>
        <v>3</v>
      </c>
      <c r="F8" t="str">
        <f>ToResult(怪物!F8)</f>
        <v>120</v>
      </c>
      <c r="G8" t="str">
        <f>ToResult(怪物!G8)</f>
        <v>0.24</v>
      </c>
    </row>
    <row r="9" spans="1:7">
      <c r="A9" t="str">
        <f>ToResult(怪物!A9)</f>
        <v>13</v>
      </c>
      <c r="B9" t="str">
        <f>ToMonsterMode(怪物!B9)</f>
        <v>1</v>
      </c>
      <c r="C9" t="str">
        <f>ToResult(怪物!C9)</f>
        <v>5</v>
      </c>
      <c r="D9" t="str">
        <f>ToResult(怪物!D9)</f>
        <v>22</v>
      </c>
      <c r="E9" t="str">
        <f>ToResult(怪物!E9)</f>
        <v>4</v>
      </c>
      <c r="F9" t="str">
        <f>ToResult(怪物!F9)</f>
        <v>180</v>
      </c>
      <c r="G9" t="str">
        <f>ToResult(怪物!G9)</f>
        <v>0.24</v>
      </c>
    </row>
    <row r="10" spans="1:7">
      <c r="A10" t="str">
        <f>ToResult(怪物!A10)</f>
        <v>14</v>
      </c>
      <c r="B10" t="str">
        <f>ToMonsterMode(怪物!B10)</f>
        <v>1</v>
      </c>
      <c r="C10" t="str">
        <f>ToResult(怪物!C10)</f>
        <v>5</v>
      </c>
      <c r="D10" t="str">
        <f>ToResult(怪物!D10)</f>
        <v>32</v>
      </c>
      <c r="E10" t="str">
        <f>ToResult(怪物!E10)</f>
        <v>5</v>
      </c>
      <c r="F10" t="str">
        <f>ToResult(怪物!F10)</f>
        <v>240</v>
      </c>
      <c r="G10" t="str">
        <f>ToResult(怪物!G10)</f>
        <v>0.24</v>
      </c>
    </row>
    <row r="11" spans="1:7">
      <c r="A11" t="str">
        <f>ToResult(怪物!A11)</f>
        <v>15</v>
      </c>
      <c r="B11" t="str">
        <f>ToMonsterMode(怪物!B11)</f>
        <v>1</v>
      </c>
      <c r="C11" t="str">
        <f>ToResult(怪物!C11)</f>
        <v>5</v>
      </c>
      <c r="D11" t="str">
        <f>ToResult(怪物!D11)</f>
        <v>42</v>
      </c>
      <c r="E11" t="str">
        <f>ToResult(怪物!E11)</f>
        <v>6</v>
      </c>
      <c r="F11" t="str">
        <f>ToResult(怪物!F11)</f>
        <v>300</v>
      </c>
      <c r="G11" t="str">
        <f>ToResult(怪物!G11)</f>
        <v>0.24</v>
      </c>
    </row>
    <row r="12" spans="1:7">
      <c r="A12" t="str">
        <f>ToResult(怪物!A12)</f>
        <v>21</v>
      </c>
      <c r="B12" t="str">
        <f>ToMonsterMode(怪物!B12)</f>
        <v>1</v>
      </c>
      <c r="C12" t="str">
        <f>ToResult(怪物!C12)</f>
        <v>4</v>
      </c>
      <c r="D12" t="str">
        <f>ToResult(怪物!D12)</f>
        <v>3</v>
      </c>
      <c r="E12" t="str">
        <f>ToResult(怪物!E12)</f>
        <v>2</v>
      </c>
      <c r="F12" t="str">
        <f>ToResult(怪物!F12)</f>
        <v>60</v>
      </c>
      <c r="G12" t="str">
        <f>ToResult(怪物!G12)</f>
        <v>0.6</v>
      </c>
    </row>
    <row r="13" spans="1:7">
      <c r="A13" t="str">
        <f>ToResult(怪物!A13)</f>
        <v>22</v>
      </c>
      <c r="B13" t="str">
        <f>ToMonsterMode(怪物!B13)</f>
        <v>1</v>
      </c>
      <c r="C13" t="str">
        <f>ToResult(怪物!C13)</f>
        <v>4</v>
      </c>
      <c r="D13" t="str">
        <f>ToResult(怪物!D13)</f>
        <v>13</v>
      </c>
      <c r="E13" t="str">
        <f>ToResult(怪物!E13)</f>
        <v>3</v>
      </c>
      <c r="F13" t="str">
        <f>ToResult(怪物!F13)</f>
        <v>80</v>
      </c>
      <c r="G13" t="str">
        <f>ToResult(怪物!G13)</f>
        <v>0.6</v>
      </c>
    </row>
    <row r="14" spans="1:7">
      <c r="A14" t="str">
        <f>ToResult(怪物!A14)</f>
        <v>23</v>
      </c>
      <c r="B14" t="str">
        <f>ToMonsterMode(怪物!B14)</f>
        <v>1</v>
      </c>
      <c r="C14" t="str">
        <f>ToResult(怪物!C14)</f>
        <v>4</v>
      </c>
      <c r="D14" t="str">
        <f>ToResult(怪物!D14)</f>
        <v>23</v>
      </c>
      <c r="E14" t="str">
        <f>ToResult(怪物!E14)</f>
        <v>4</v>
      </c>
      <c r="F14" t="str">
        <f>ToResult(怪物!F14)</f>
        <v>100</v>
      </c>
      <c r="G14" t="str">
        <f>ToResult(怪物!G14)</f>
        <v>0.6</v>
      </c>
    </row>
    <row r="15" spans="1:7">
      <c r="A15" t="str">
        <f>ToResult(怪物!A15)</f>
        <v>24</v>
      </c>
      <c r="B15" t="str">
        <f>ToMonsterMode(怪物!B15)</f>
        <v>1</v>
      </c>
      <c r="C15" t="str">
        <f>ToResult(怪物!C15)</f>
        <v>4</v>
      </c>
      <c r="D15" t="str">
        <f>ToResult(怪物!D15)</f>
        <v>33</v>
      </c>
      <c r="E15" t="str">
        <f>ToResult(怪物!E15)</f>
        <v>5</v>
      </c>
      <c r="F15" t="str">
        <f>ToResult(怪物!F15)</f>
        <v>120</v>
      </c>
      <c r="G15" t="str">
        <f>ToResult(怪物!G15)</f>
        <v>0.6</v>
      </c>
    </row>
    <row r="16" spans="1:7">
      <c r="A16" t="str">
        <f>ToResult(怪物!A16)</f>
        <v>25</v>
      </c>
      <c r="B16" t="str">
        <f>ToMonsterMode(怪物!B16)</f>
        <v>1</v>
      </c>
      <c r="C16" t="str">
        <f>ToResult(怪物!C16)</f>
        <v>4</v>
      </c>
      <c r="D16" t="str">
        <f>ToResult(怪物!D16)</f>
        <v>43</v>
      </c>
      <c r="E16" t="str">
        <f>ToResult(怪物!E16)</f>
        <v>6</v>
      </c>
      <c r="F16" t="str">
        <f>ToResult(怪物!F16)</f>
        <v>140</v>
      </c>
      <c r="G16" t="str">
        <f>ToResult(怪物!G16)</f>
        <v>0.6</v>
      </c>
    </row>
    <row r="17" spans="1:7">
      <c r="A17" t="str">
        <f>ToResult(怪物!A17)</f>
        <v>31</v>
      </c>
      <c r="B17" t="str">
        <f>ToMonsterMode(怪物!B17)</f>
        <v>2</v>
      </c>
      <c r="C17" t="str">
        <f>ToResult(怪物!C17)</f>
        <v>1</v>
      </c>
      <c r="D17" t="str">
        <f>ToResult(怪物!D17)</f>
        <v>6</v>
      </c>
      <c r="E17" t="str">
        <f>ToResult(怪物!E17)</f>
        <v>4</v>
      </c>
      <c r="F17" t="str">
        <f>ToResult(怪物!F17)</f>
        <v>180</v>
      </c>
      <c r="G17" t="str">
        <f>ToResult(怪物!G17)</f>
        <v>0.4</v>
      </c>
    </row>
    <row r="18" spans="1:7">
      <c r="A18" t="str">
        <f>ToResult(怪物!A18)</f>
        <v>32</v>
      </c>
      <c r="B18" t="str">
        <f>ToMonsterMode(怪物!B18)</f>
        <v>2</v>
      </c>
      <c r="C18" t="str">
        <f>ToResult(怪物!C18)</f>
        <v>1</v>
      </c>
      <c r="D18" t="str">
        <f>ToResult(怪物!D18)</f>
        <v>26</v>
      </c>
      <c r="E18" t="str">
        <f>ToResult(怪物!E18)</f>
        <v>6</v>
      </c>
      <c r="F18" t="str">
        <f>ToResult(怪物!F18)</f>
        <v>240</v>
      </c>
      <c r="G18" t="str">
        <f>ToResult(怪物!G18)</f>
        <v>0.4</v>
      </c>
    </row>
    <row r="19" spans="1:7">
      <c r="A19" t="str">
        <f>ToResult(怪物!A19)</f>
        <v>41</v>
      </c>
      <c r="B19" t="str">
        <f>ToMonsterMode(怪物!B19)</f>
        <v>3</v>
      </c>
      <c r="C19" t="str">
        <f>ToResult(怪物!C19)</f>
        <v>3</v>
      </c>
      <c r="D19" t="str">
        <f>ToResult(怪物!D19)</f>
        <v>4</v>
      </c>
      <c r="E19" t="str">
        <f>ToResult(怪物!E19)</f>
        <v>2</v>
      </c>
      <c r="F19" t="str">
        <f>ToResult(怪物!F19)</f>
        <v>60</v>
      </c>
      <c r="G19" t="str">
        <f>ToResult(怪物!G19)</f>
        <v>0.3</v>
      </c>
    </row>
    <row r="20" spans="1:7">
      <c r="A20" t="str">
        <f>ToResult(怪物!A20)</f>
        <v>42</v>
      </c>
      <c r="B20" t="str">
        <f>ToMonsterMode(怪物!B20)</f>
        <v>3</v>
      </c>
      <c r="C20" t="str">
        <f>ToResult(怪物!C20)</f>
        <v>3</v>
      </c>
      <c r="D20" t="str">
        <f>ToResult(怪物!D20)</f>
        <v>14</v>
      </c>
      <c r="E20" t="str">
        <f>ToResult(怪物!E20)</f>
        <v>3</v>
      </c>
      <c r="F20" t="str">
        <f>ToResult(怪物!F20)</f>
        <v>100</v>
      </c>
      <c r="G20" t="str">
        <f>ToResult(怪物!G20)</f>
        <v>0.3</v>
      </c>
    </row>
    <row r="21" spans="1:7">
      <c r="A21" t="str">
        <f>ToResult(怪物!A21)</f>
        <v>43</v>
      </c>
      <c r="B21" t="str">
        <f>ToMonsterMode(怪物!B21)</f>
        <v>3</v>
      </c>
      <c r="C21" t="str">
        <f>ToResult(怪物!C21)</f>
        <v>3</v>
      </c>
      <c r="D21" t="str">
        <f>ToResult(怪物!D21)</f>
        <v>24</v>
      </c>
      <c r="E21" t="str">
        <f>ToResult(怪物!E21)</f>
        <v>4</v>
      </c>
      <c r="F21" t="str">
        <f>ToResult(怪物!F21)</f>
        <v>140</v>
      </c>
      <c r="G21" t="str">
        <f>ToResult(怪物!G21)</f>
        <v>0.3</v>
      </c>
    </row>
    <row r="22" spans="1:7">
      <c r="A22" t="str">
        <f>ToResult(怪物!A22)</f>
        <v>44</v>
      </c>
      <c r="B22" t="str">
        <f>ToMonsterMode(怪物!B22)</f>
        <v>3</v>
      </c>
      <c r="C22" t="str">
        <f>ToResult(怪物!C22)</f>
        <v>3</v>
      </c>
      <c r="D22" t="str">
        <f>ToResult(怪物!D22)</f>
        <v>34</v>
      </c>
      <c r="E22" t="str">
        <f>ToResult(怪物!E22)</f>
        <v>5</v>
      </c>
      <c r="F22" t="str">
        <f>ToResult(怪物!F22)</f>
        <v>180</v>
      </c>
      <c r="G22" t="str">
        <f>ToResult(怪物!G22)</f>
        <v>0.3</v>
      </c>
    </row>
    <row r="23" spans="1:7">
      <c r="A23" t="str">
        <f>ToResult(怪物!A23)</f>
        <v>45</v>
      </c>
      <c r="B23" t="str">
        <f>ToMonsterMode(怪物!B23)</f>
        <v>3</v>
      </c>
      <c r="C23" t="str">
        <f>ToResult(怪物!C23)</f>
        <v>3</v>
      </c>
      <c r="D23" t="str">
        <f>ToResult(怪物!D23)</f>
        <v>44</v>
      </c>
      <c r="E23" t="str">
        <f>ToResult(怪物!E23)</f>
        <v>6</v>
      </c>
      <c r="F23" t="str">
        <f>ToResult(怪物!F23)</f>
        <v>220</v>
      </c>
      <c r="G23" t="str">
        <f>ToResult(怪物!G23)</f>
        <v>0.3</v>
      </c>
    </row>
    <row r="24" spans="1:7">
      <c r="A24" t="str">
        <f>ToResult(怪物!A24)</f>
        <v>51</v>
      </c>
      <c r="B24" t="str">
        <f>ToMonsterMode(怪物!B24)</f>
        <v>4</v>
      </c>
      <c r="C24" t="str">
        <f>ToResult(怪物!C24)</f>
        <v>5</v>
      </c>
      <c r="D24" t="str">
        <f>ToResult(怪物!D24)</f>
        <v>8</v>
      </c>
      <c r="E24" t="str">
        <f>ToResult(怪物!E24)</f>
        <v>6</v>
      </c>
      <c r="F24" t="str">
        <f>ToResult(怪物!F24)</f>
        <v>240</v>
      </c>
      <c r="G24" t="str">
        <f>ToResult(怪物!G24)</f>
        <v>0</v>
      </c>
    </row>
    <row r="25" spans="1:7">
      <c r="A25" t="str">
        <f>ToResult(怪物!A25)</f>
        <v>52</v>
      </c>
      <c r="B25" t="str">
        <f>ToMonsterMode(怪物!B25)</f>
        <v>4</v>
      </c>
      <c r="C25" t="str">
        <f>ToResult(怪物!C25)</f>
        <v>5</v>
      </c>
      <c r="D25" t="str">
        <f>ToResult(怪物!D25)</f>
        <v>28</v>
      </c>
      <c r="E25" t="str">
        <f>ToResult(怪物!E25)</f>
        <v>8</v>
      </c>
      <c r="F25" t="str">
        <f>ToResult(怪物!F25)</f>
        <v>480</v>
      </c>
      <c r="G25" t="str">
        <f>ToResult(怪物!G25)</f>
        <v>0</v>
      </c>
    </row>
    <row r="26" spans="1:7">
      <c r="A26" t="str">
        <f>ToResult(怪物!A26)</f>
        <v>61</v>
      </c>
      <c r="B26" t="str">
        <f>ToMonsterMode(怪物!B26)</f>
        <v>5</v>
      </c>
      <c r="C26" t="str">
        <f>ToResult(怪物!C26)</f>
        <v>4</v>
      </c>
      <c r="D26" t="str">
        <f>ToResult(怪物!D26)</f>
        <v>16</v>
      </c>
      <c r="E26" t="str">
        <f>ToResult(怪物!E26)</f>
        <v>16</v>
      </c>
      <c r="F26" t="str">
        <f>ToResult(怪物!F26)</f>
        <v>720</v>
      </c>
      <c r="G26" t="str">
        <f>ToResult(怪物!G26)</f>
        <v>0.5</v>
      </c>
    </row>
    <row r="27" spans="1:7">
      <c r="A27" t="str">
        <f>ToResult(怪物!A27)</f>
        <v>71</v>
      </c>
      <c r="B27" t="str">
        <f>ToMonsterMode(怪物!B27)</f>
        <v>6</v>
      </c>
      <c r="C27" t="str">
        <f>ToResult(怪物!C27)</f>
        <v>8</v>
      </c>
      <c r="D27" t="str">
        <f>ToResult(怪物!D27)</f>
        <v>9999</v>
      </c>
      <c r="E27" t="str">
        <f>ToResult(怪物!E27)</f>
        <v>0</v>
      </c>
      <c r="F27" t="str">
        <f>ToResult(怪物!F27)</f>
        <v>240</v>
      </c>
      <c r="G27" t="str">
        <f>ToResult(怪物!G27)</f>
        <v>0.2</v>
      </c>
    </row>
    <row r="28" spans="1:7">
      <c r="A28" t="str">
        <f>ToResult(怪物!A28)</f>
        <v>1001</v>
      </c>
      <c r="B28" t="str">
        <f>ToMonsterMode(怪物!B28)</f>
        <v>7</v>
      </c>
      <c r="C28" t="str">
        <f>ToResult(怪物!C28)</f>
        <v>6</v>
      </c>
      <c r="D28" t="str">
        <f>ToResult(怪物!D28)</f>
        <v>9999</v>
      </c>
      <c r="E28" t="str">
        <f>ToResult(怪物!E28)</f>
        <v>9999</v>
      </c>
      <c r="F28" t="str">
        <f>ToResult(怪物!F28)</f>
        <v>800</v>
      </c>
      <c r="G28" t="str">
        <f>ToResult(怪物!G28)</f>
        <v>0.3</v>
      </c>
    </row>
    <row r="29" spans="1:7">
      <c r="A29" t="str">
        <f>ToResult(怪物!A29)</f>
        <v>1002</v>
      </c>
      <c r="B29" t="str">
        <f>ToMonsterMode(怪物!B29)</f>
        <v>7</v>
      </c>
      <c r="C29" t="str">
        <f>ToResult(怪物!C29)</f>
        <v>6</v>
      </c>
      <c r="D29" t="str">
        <f>ToResult(怪物!D29)</f>
        <v>9999</v>
      </c>
      <c r="E29" t="str">
        <f>ToResult(怪物!E29)</f>
        <v>9999</v>
      </c>
      <c r="F29" t="str">
        <f>ToResult(怪物!F29)</f>
        <v>800</v>
      </c>
      <c r="G29" t="str">
        <f>ToResult(怪物!G29)</f>
        <v>0.3</v>
      </c>
    </row>
    <row r="30" spans="1:7">
      <c r="A30" t="str">
        <f>ToResult(怪物!A30)</f>
        <v>1003</v>
      </c>
      <c r="B30" t="str">
        <f>ToMonsterMode(怪物!B30)</f>
        <v>7</v>
      </c>
      <c r="C30" t="str">
        <f>ToResult(怪物!C30)</f>
        <v>6</v>
      </c>
      <c r="D30" t="str">
        <f>ToResult(怪物!D30)</f>
        <v>9999</v>
      </c>
      <c r="E30" t="str">
        <f>ToResult(怪物!E30)</f>
        <v>9999</v>
      </c>
      <c r="F30" t="str">
        <f>ToResult(怪物!F30)</f>
        <v>800</v>
      </c>
      <c r="G30" t="str">
        <f>ToResult(怪物!G30)</f>
        <v>0.3</v>
      </c>
    </row>
    <row r="31" spans="1:7">
      <c r="A31" t="str">
        <f>ToResult(怪物!A31)</f>
        <v>1004</v>
      </c>
      <c r="B31" t="str">
        <f>ToMonsterMode(怪物!B31)</f>
        <v>7</v>
      </c>
      <c r="C31" t="str">
        <f>ToResult(怪物!C31)</f>
        <v>6</v>
      </c>
      <c r="D31" t="str">
        <f>ToResult(怪物!D31)</f>
        <v>9999</v>
      </c>
      <c r="E31" t="str">
        <f>ToResult(怪物!E31)</f>
        <v>9999</v>
      </c>
      <c r="F31" t="str">
        <f>ToResult(怪物!F31)</f>
        <v>800</v>
      </c>
      <c r="G31" t="str">
        <f>ToResult(怪物!G31)</f>
        <v>0.3</v>
      </c>
    </row>
    <row r="32" spans="1:7">
      <c r="A32" t="str">
        <f>ToResult(怪物!A32)</f>
        <v>1005</v>
      </c>
      <c r="B32" t="str">
        <f>ToMonsterMode(怪物!B32)</f>
        <v>7</v>
      </c>
      <c r="C32" t="str">
        <f>ToResult(怪物!C32)</f>
        <v>6</v>
      </c>
      <c r="D32" t="str">
        <f>ToResult(怪物!D32)</f>
        <v>9999</v>
      </c>
      <c r="E32" t="str">
        <f>ToResult(怪物!E32)</f>
        <v>9999</v>
      </c>
      <c r="F32" t="str">
        <f>ToResult(怪物!F32)</f>
        <v>800</v>
      </c>
      <c r="G32" t="str">
        <f>ToResult(怪物!G32)</f>
        <v>0.3</v>
      </c>
    </row>
    <row r="33" spans="1:7">
      <c r="A33" t="str">
        <f>ToResult(怪物!A33)</f>
        <v>1006</v>
      </c>
      <c r="B33" t="str">
        <f>ToMonsterMode(怪物!B33)</f>
        <v>7</v>
      </c>
      <c r="C33" t="str">
        <f>ToResult(怪物!C33)</f>
        <v>6</v>
      </c>
      <c r="D33" t="str">
        <f>ToResult(怪物!D33)</f>
        <v>9999</v>
      </c>
      <c r="E33" t="str">
        <f>ToResult(怪物!E33)</f>
        <v>9999</v>
      </c>
      <c r="F33" t="str">
        <f>ToResult(怪物!F33)</f>
        <v>800</v>
      </c>
      <c r="G33" t="str">
        <f>ToResult(怪物!G33)</f>
        <v>0.3</v>
      </c>
    </row>
    <row r="34" spans="1:7">
      <c r="A34" t="str">
        <f>ToResult(怪物!A34)</f>
        <v>1007</v>
      </c>
      <c r="B34" t="str">
        <f>ToMonsterMode(怪物!B34)</f>
        <v>7</v>
      </c>
      <c r="C34" t="str">
        <f>ToResult(怪物!C34)</f>
        <v>6</v>
      </c>
      <c r="D34" t="str">
        <f>ToResult(怪物!D34)</f>
        <v>9999</v>
      </c>
      <c r="E34" t="str">
        <f>ToResult(怪物!E34)</f>
        <v>9999</v>
      </c>
      <c r="F34" t="str">
        <f>ToResult(怪物!F34)</f>
        <v>800</v>
      </c>
      <c r="G34" t="str">
        <f>ToResult(怪物!G34)</f>
        <v>0.3</v>
      </c>
    </row>
    <row r="35" spans="1:7">
      <c r="A35" t="str">
        <f>ToResult(怪物!A35)</f>
        <v>1008</v>
      </c>
      <c r="B35" t="str">
        <f>ToMonsterMode(怪物!B35)</f>
        <v>7</v>
      </c>
      <c r="C35" t="str">
        <f>ToResult(怪物!C35)</f>
        <v>6</v>
      </c>
      <c r="D35" t="str">
        <f>ToResult(怪物!D35)</f>
        <v>9999</v>
      </c>
      <c r="E35" t="str">
        <f>ToResult(怪物!E35)</f>
        <v>9999</v>
      </c>
      <c r="F35" t="str">
        <f>ToResult(怪物!F35)</f>
        <v>800</v>
      </c>
      <c r="G35" t="str">
        <f>ToResult(怪物!G35)</f>
        <v>0.3</v>
      </c>
    </row>
    <row r="36" spans="1:7">
      <c r="A36" t="str">
        <f>ToResult(怪物!A36)</f>
        <v>1009</v>
      </c>
      <c r="B36" t="str">
        <f>ToMonsterMode(怪物!B36)</f>
        <v>7</v>
      </c>
      <c r="C36" t="str">
        <f>ToResult(怪物!C36)</f>
        <v>6</v>
      </c>
      <c r="D36" t="str">
        <f>ToResult(怪物!D36)</f>
        <v>9999</v>
      </c>
      <c r="E36" t="str">
        <f>ToResult(怪物!E36)</f>
        <v>9999</v>
      </c>
      <c r="F36" t="str">
        <f>ToResult(怪物!F36)</f>
        <v>800</v>
      </c>
      <c r="G36" t="str">
        <f>ToResult(怪物!G36)</f>
        <v>0.3</v>
      </c>
    </row>
    <row r="37" spans="1:7">
      <c r="A37" t="str">
        <f>ToResult(怪物!A37)</f>
        <v>2001</v>
      </c>
      <c r="B37" t="str">
        <f>ToMonsterMode(怪物!B37)</f>
        <v>1</v>
      </c>
      <c r="C37" t="str">
        <f>ToResult(怪物!C37)</f>
        <v>5</v>
      </c>
      <c r="D37" t="str">
        <f>ToResult(怪物!D37)</f>
        <v>9999</v>
      </c>
      <c r="E37" t="str">
        <f>ToResult(怪物!E37)</f>
        <v>9999</v>
      </c>
      <c r="F37" t="str">
        <f>ToResult(怪物!F37)</f>
        <v>30</v>
      </c>
      <c r="G37" t="str">
        <f>ToResult(怪物!G37)</f>
        <v>0.28</v>
      </c>
    </row>
    <row r="38" spans="1:7">
      <c r="A38" t="str">
        <f>ToResult(怪物!A38)</f>
        <v/>
      </c>
      <c r="B38" t="str">
        <f>ToMonsterMode(怪物!B38)</f>
        <v/>
      </c>
      <c r="C38" t="str">
        <f>ToResult(怪物!C38)</f>
        <v/>
      </c>
      <c r="D38" t="str">
        <f>ToResult(怪物!D38)</f>
        <v/>
      </c>
      <c r="E38" t="str">
        <f>ToResult(怪物!E38)</f>
        <v/>
      </c>
      <c r="F38" t="str">
        <f>ToResult(怪物!F38)</f>
        <v/>
      </c>
      <c r="G38" t="str">
        <f>ToResult(怪物!G38)</f>
        <v/>
      </c>
    </row>
    <row r="39" spans="1:7">
      <c r="A39" t="str">
        <f>ToResult(怪物!A39)</f>
        <v/>
      </c>
      <c r="B39" t="str">
        <f>ToMonsterMode(怪物!B39)</f>
        <v/>
      </c>
      <c r="C39" t="str">
        <f>ToResult(怪物!C39)</f>
        <v/>
      </c>
      <c r="D39" t="str">
        <f>ToResult(怪物!D39)</f>
        <v/>
      </c>
      <c r="E39" t="str">
        <f>ToResult(怪物!E39)</f>
        <v/>
      </c>
      <c r="F39" t="str">
        <f>ToResult(怪物!F39)</f>
        <v/>
      </c>
      <c r="G39" t="str">
        <f>ToResult(怪物!G39)</f>
        <v/>
      </c>
    </row>
    <row r="40" spans="1:7">
      <c r="A40" t="str">
        <f>ToResult(怪物!A40)</f>
        <v/>
      </c>
      <c r="B40" t="str">
        <f>ToMonsterMode(怪物!B40)</f>
        <v/>
      </c>
      <c r="C40" t="str">
        <f>ToResult(怪物!C40)</f>
        <v/>
      </c>
      <c r="D40" t="str">
        <f>ToResult(怪物!D40)</f>
        <v/>
      </c>
      <c r="E40" t="str">
        <f>ToResult(怪物!E40)</f>
        <v/>
      </c>
      <c r="F40" t="str">
        <f>ToResult(怪物!F40)</f>
        <v/>
      </c>
      <c r="G40" t="str">
        <f>ToResult(怪物!G40)</f>
        <v/>
      </c>
    </row>
    <row r="41" spans="1:7">
      <c r="A41" t="str">
        <f>ToResult(怪物!A41)</f>
        <v/>
      </c>
      <c r="B41" t="str">
        <f>ToMonsterMode(怪物!B41)</f>
        <v/>
      </c>
      <c r="C41" t="str">
        <f>ToResult(怪物!C41)</f>
        <v/>
      </c>
      <c r="D41" t="str">
        <f>ToResult(怪物!D41)</f>
        <v/>
      </c>
      <c r="E41" t="str">
        <f>ToResult(怪物!E41)</f>
        <v/>
      </c>
      <c r="F41" t="str">
        <f>ToResult(怪物!F41)</f>
        <v/>
      </c>
      <c r="G41" t="str">
        <f>ToResult(怪物!G41)</f>
        <v/>
      </c>
    </row>
    <row r="42" spans="1:7">
      <c r="A42" t="str">
        <f>ToResult(怪物!A42)</f>
        <v/>
      </c>
      <c r="B42" t="str">
        <f>ToMonsterMode(怪物!B42)</f>
        <v/>
      </c>
      <c r="C42" t="str">
        <f>ToResult(怪物!C42)</f>
        <v/>
      </c>
      <c r="D42" t="str">
        <f>ToResult(怪物!D42)</f>
        <v/>
      </c>
      <c r="E42" t="str">
        <f>ToResult(怪物!E42)</f>
        <v/>
      </c>
      <c r="F42" t="str">
        <f>ToResult(怪物!F42)</f>
        <v/>
      </c>
      <c r="G42" t="str">
        <f>ToResult(怪物!G42)</f>
        <v/>
      </c>
    </row>
    <row r="43" spans="1:7">
      <c r="A43" t="str">
        <f>ToResult(怪物!A43)</f>
        <v/>
      </c>
      <c r="B43" t="str">
        <f>ToMonsterMode(怪物!B43)</f>
        <v/>
      </c>
      <c r="C43" t="str">
        <f>ToResult(怪物!C43)</f>
        <v/>
      </c>
      <c r="D43" t="str">
        <f>ToResult(怪物!D43)</f>
        <v/>
      </c>
      <c r="E43" t="str">
        <f>ToResult(怪物!E43)</f>
        <v/>
      </c>
      <c r="F43" t="str">
        <f>ToResult(怪物!F43)</f>
        <v/>
      </c>
      <c r="G43" t="str">
        <f>ToResult(怪物!G43)</f>
        <v/>
      </c>
    </row>
    <row r="44" spans="1:7">
      <c r="A44" t="str">
        <f>ToResult(怪物!A44)</f>
        <v/>
      </c>
      <c r="B44" t="str">
        <f>ToMonsterMode(怪物!B44)</f>
        <v/>
      </c>
      <c r="C44" t="str">
        <f>ToResult(怪物!C44)</f>
        <v/>
      </c>
      <c r="D44" t="str">
        <f>ToResult(怪物!D44)</f>
        <v/>
      </c>
      <c r="E44" t="str">
        <f>ToResult(怪物!E44)</f>
        <v/>
      </c>
      <c r="F44" t="str">
        <f>ToResult(怪物!F44)</f>
        <v/>
      </c>
      <c r="G44" t="str">
        <f>ToResult(怪物!G44)</f>
        <v/>
      </c>
    </row>
    <row r="45" spans="1:7">
      <c r="A45" t="str">
        <f>ToResult(怪物!A45)</f>
        <v/>
      </c>
      <c r="B45" t="str">
        <f>ToMonsterMode(怪物!B45)</f>
        <v/>
      </c>
      <c r="C45" t="str">
        <f>ToResult(怪物!C45)</f>
        <v/>
      </c>
      <c r="D45" t="str">
        <f>ToResult(怪物!D45)</f>
        <v/>
      </c>
      <c r="E45" t="str">
        <f>ToResult(怪物!E45)</f>
        <v/>
      </c>
      <c r="F45" t="str">
        <f>ToResult(怪物!F45)</f>
        <v/>
      </c>
      <c r="G45" t="str">
        <f>ToResult(怪物!G45)</f>
        <v/>
      </c>
    </row>
    <row r="46" spans="1:7">
      <c r="A46" t="str">
        <f>ToResult(怪物!A46)</f>
        <v/>
      </c>
      <c r="B46" t="str">
        <f>ToMonsterMode(怪物!B46)</f>
        <v/>
      </c>
      <c r="C46" t="str">
        <f>ToResult(怪物!C46)</f>
        <v/>
      </c>
      <c r="D46" t="str">
        <f>ToResult(怪物!D46)</f>
        <v/>
      </c>
      <c r="E46" t="str">
        <f>ToResult(怪物!E46)</f>
        <v/>
      </c>
      <c r="F46" t="str">
        <f>ToResult(怪物!F46)</f>
        <v/>
      </c>
      <c r="G46" t="str">
        <f>ToResult(怪物!G46)</f>
        <v/>
      </c>
    </row>
    <row r="47" spans="1:7">
      <c r="A47" t="str">
        <f>ToResult(怪物!A47)</f>
        <v/>
      </c>
      <c r="B47" t="str">
        <f>ToMonsterMode(怪物!B47)</f>
        <v/>
      </c>
      <c r="C47" t="str">
        <f>ToResult(怪物!C47)</f>
        <v/>
      </c>
      <c r="D47" t="str">
        <f>ToResult(怪物!D47)</f>
        <v/>
      </c>
      <c r="E47" t="str">
        <f>ToResult(怪物!E47)</f>
        <v/>
      </c>
      <c r="F47" t="str">
        <f>ToResult(怪物!F47)</f>
        <v/>
      </c>
      <c r="G47" t="str">
        <f>ToResult(怪物!G47)</f>
        <v/>
      </c>
    </row>
    <row r="48" spans="1:7">
      <c r="A48" t="str">
        <f>ToResult(怪物!A48)</f>
        <v/>
      </c>
      <c r="B48" t="str">
        <f>ToMonsterMode(怪物!B48)</f>
        <v/>
      </c>
      <c r="C48" t="str">
        <f>ToResult(怪物!C48)</f>
        <v/>
      </c>
      <c r="D48" t="str">
        <f>ToResult(怪物!D48)</f>
        <v/>
      </c>
      <c r="E48" t="str">
        <f>ToResult(怪物!E48)</f>
        <v/>
      </c>
      <c r="F48" t="str">
        <f>ToResult(怪物!F48)</f>
        <v/>
      </c>
      <c r="G48" t="str">
        <f>ToResult(怪物!G48)</f>
        <v/>
      </c>
    </row>
    <row r="49" spans="1:7">
      <c r="A49" t="str">
        <f>ToResult(怪物!A49)</f>
        <v/>
      </c>
      <c r="B49" t="str">
        <f>ToMonsterMode(怪物!B49)</f>
        <v/>
      </c>
      <c r="C49" t="str">
        <f>ToResult(怪物!C49)</f>
        <v/>
      </c>
      <c r="D49" t="str">
        <f>ToResult(怪物!D49)</f>
        <v/>
      </c>
      <c r="E49" t="str">
        <f>ToResult(怪物!E49)</f>
        <v/>
      </c>
      <c r="F49" t="str">
        <f>ToResult(怪物!F49)</f>
        <v/>
      </c>
      <c r="G49" t="str">
        <f>ToResult(怪物!G49)</f>
        <v/>
      </c>
    </row>
    <row r="50" spans="1:7">
      <c r="A50" t="str">
        <f>ToResult(怪物!A50)</f>
        <v/>
      </c>
      <c r="B50" t="str">
        <f>ToMonsterMode(怪物!B50)</f>
        <v/>
      </c>
      <c r="C50" t="str">
        <f>ToResult(怪物!C50)</f>
        <v/>
      </c>
      <c r="D50" t="str">
        <f>ToResult(怪物!D50)</f>
        <v/>
      </c>
      <c r="E50" t="str">
        <f>ToResult(怪物!E50)</f>
        <v/>
      </c>
      <c r="F50" t="str">
        <f>ToResult(怪物!F50)</f>
        <v/>
      </c>
      <c r="G50" t="str">
        <f>ToResult(怪物!G50)</f>
        <v/>
      </c>
    </row>
    <row r="51" spans="1:7">
      <c r="A51" t="str">
        <f>ToResult(怪物!A51)</f>
        <v/>
      </c>
      <c r="B51" t="str">
        <f>ToMonsterMode(怪物!B51)</f>
        <v/>
      </c>
      <c r="C51" t="str">
        <f>ToResult(怪物!C51)</f>
        <v/>
      </c>
      <c r="D51" t="str">
        <f>ToResult(怪物!D51)</f>
        <v/>
      </c>
      <c r="E51" t="str">
        <f>ToResult(怪物!E51)</f>
        <v/>
      </c>
      <c r="F51" t="str">
        <f>ToResult(怪物!F51)</f>
        <v/>
      </c>
      <c r="G51" t="str">
        <f>ToResult(怪物!G51)</f>
        <v/>
      </c>
    </row>
    <row r="52" spans="1:7">
      <c r="A52" t="str">
        <f>ToResult(怪物!A52)</f>
        <v/>
      </c>
      <c r="B52" t="str">
        <f>ToMonsterMode(怪物!B52)</f>
        <v/>
      </c>
      <c r="C52" t="str">
        <f>ToResult(怪物!C52)</f>
        <v/>
      </c>
      <c r="D52" t="str">
        <f>ToResult(怪物!D52)</f>
        <v/>
      </c>
      <c r="E52" t="str">
        <f>ToResult(怪物!E52)</f>
        <v/>
      </c>
      <c r="F52" t="str">
        <f>ToResult(怪物!F52)</f>
        <v/>
      </c>
      <c r="G52" t="str">
        <f>ToResult(怪物!G52)</f>
        <v/>
      </c>
    </row>
    <row r="53" spans="1:7">
      <c r="A53" t="str">
        <f>ToResult(怪物!A53)</f>
        <v/>
      </c>
      <c r="B53" t="str">
        <f>ToMonsterMode(怪物!B53)</f>
        <v/>
      </c>
      <c r="C53" t="str">
        <f>ToResult(怪物!C53)</f>
        <v/>
      </c>
      <c r="D53" t="str">
        <f>ToResult(怪物!D53)</f>
        <v/>
      </c>
      <c r="E53" t="str">
        <f>ToResult(怪物!E53)</f>
        <v/>
      </c>
      <c r="F53" t="str">
        <f>ToResult(怪物!F53)</f>
        <v/>
      </c>
      <c r="G53" t="str">
        <f>ToResult(怪物!G53)</f>
        <v/>
      </c>
    </row>
    <row r="54" spans="1:7">
      <c r="A54" t="str">
        <f>ToResult(怪物!A54)</f>
        <v/>
      </c>
      <c r="B54" t="str">
        <f>ToMonsterMode(怪物!B54)</f>
        <v/>
      </c>
      <c r="C54" t="str">
        <f>ToResult(怪物!C54)</f>
        <v/>
      </c>
      <c r="D54" t="str">
        <f>ToResult(怪物!D54)</f>
        <v/>
      </c>
      <c r="E54" t="str">
        <f>ToResult(怪物!E54)</f>
        <v/>
      </c>
      <c r="F54" t="str">
        <f>ToResult(怪物!F54)</f>
        <v/>
      </c>
      <c r="G54" t="str">
        <f>ToResult(怪物!G54)</f>
        <v/>
      </c>
    </row>
    <row r="55" spans="1:7">
      <c r="A55" t="str">
        <f>ToResult(怪物!A55)</f>
        <v/>
      </c>
      <c r="B55" t="str">
        <f>ToMonsterMode(怪物!B55)</f>
        <v/>
      </c>
      <c r="C55" t="str">
        <f>ToResult(怪物!C55)</f>
        <v/>
      </c>
      <c r="D55" t="str">
        <f>ToResult(怪物!D55)</f>
        <v/>
      </c>
      <c r="E55" t="str">
        <f>ToResult(怪物!E55)</f>
        <v/>
      </c>
      <c r="F55" t="str">
        <f>ToResult(怪物!F55)</f>
        <v/>
      </c>
      <c r="G55" t="str">
        <f>ToResult(怪物!G55)</f>
        <v/>
      </c>
    </row>
    <row r="56" spans="1:7">
      <c r="A56" t="str">
        <f>ToResult(怪物!A56)</f>
        <v/>
      </c>
      <c r="B56" t="str">
        <f>ToMonsterMode(怪物!B56)</f>
        <v/>
      </c>
      <c r="C56" t="str">
        <f>ToResult(怪物!C56)</f>
        <v/>
      </c>
      <c r="D56" t="str">
        <f>ToResult(怪物!D56)</f>
        <v/>
      </c>
      <c r="E56" t="str">
        <f>ToResult(怪物!E56)</f>
        <v/>
      </c>
      <c r="F56" t="str">
        <f>ToResult(怪物!F56)</f>
        <v/>
      </c>
      <c r="G56" t="str">
        <f>ToResult(怪物!G56)</f>
        <v/>
      </c>
    </row>
    <row r="57" spans="1:7">
      <c r="A57" t="str">
        <f>ToResult(怪物!A57)</f>
        <v/>
      </c>
      <c r="B57" t="str">
        <f>ToMonsterMode(怪物!B57)</f>
        <v/>
      </c>
      <c r="C57" t="str">
        <f>ToResult(怪物!C57)</f>
        <v/>
      </c>
      <c r="D57" t="str">
        <f>ToResult(怪物!D57)</f>
        <v/>
      </c>
      <c r="E57" t="str">
        <f>ToResult(怪物!E57)</f>
        <v/>
      </c>
      <c r="F57" t="str">
        <f>ToResult(怪物!F57)</f>
        <v/>
      </c>
      <c r="G57" t="str">
        <f>ToResult(怪物!G57)</f>
        <v/>
      </c>
    </row>
    <row r="58" spans="1:7">
      <c r="A58" t="str">
        <f>ToResult(怪物!A58)</f>
        <v/>
      </c>
      <c r="B58" t="str">
        <f>ToMonsterMode(怪物!B58)</f>
        <v/>
      </c>
      <c r="C58" t="str">
        <f>ToResult(怪物!C58)</f>
        <v/>
      </c>
      <c r="D58" t="str">
        <f>ToResult(怪物!D58)</f>
        <v/>
      </c>
      <c r="E58" t="str">
        <f>ToResult(怪物!E58)</f>
        <v/>
      </c>
      <c r="F58" t="str">
        <f>ToResult(怪物!F58)</f>
        <v/>
      </c>
      <c r="G58" t="str">
        <f>ToResult(怪物!G58)</f>
        <v/>
      </c>
    </row>
    <row r="59" spans="1:7">
      <c r="A59" t="str">
        <f>ToResult(怪物!A59)</f>
        <v/>
      </c>
      <c r="B59" t="str">
        <f>ToMonsterMode(怪物!B59)</f>
        <v/>
      </c>
      <c r="C59" t="str">
        <f>ToResult(怪物!C59)</f>
        <v/>
      </c>
      <c r="D59" t="str">
        <f>ToResult(怪物!D59)</f>
        <v/>
      </c>
      <c r="E59" t="str">
        <f>ToResult(怪物!E59)</f>
        <v/>
      </c>
      <c r="F59" t="str">
        <f>ToResult(怪物!F59)</f>
        <v/>
      </c>
      <c r="G59" t="str">
        <f>ToResult(怪物!G59)</f>
        <v/>
      </c>
    </row>
    <row r="60" spans="1:7">
      <c r="A60" t="str">
        <f>ToResult(怪物!A60)</f>
        <v/>
      </c>
      <c r="B60" t="str">
        <f>ToMonsterMode(怪物!B60)</f>
        <v/>
      </c>
      <c r="C60" t="str">
        <f>ToResult(怪物!C60)</f>
        <v/>
      </c>
      <c r="D60" t="str">
        <f>ToResult(怪物!D60)</f>
        <v/>
      </c>
      <c r="E60" t="str">
        <f>ToResult(怪物!E60)</f>
        <v/>
      </c>
      <c r="F60" t="str">
        <f>ToResult(怪物!F60)</f>
        <v/>
      </c>
      <c r="G60" t="str">
        <f>ToResult(怪物!G60)</f>
        <v/>
      </c>
    </row>
    <row r="61" spans="1:7">
      <c r="A61" t="str">
        <f>ToResult(怪物!A61)</f>
        <v/>
      </c>
      <c r="B61" t="str">
        <f>ToMonsterMode(怪物!B61)</f>
        <v/>
      </c>
      <c r="C61" t="str">
        <f>ToResult(怪物!C61)</f>
        <v/>
      </c>
      <c r="D61" t="str">
        <f>ToResult(怪物!D61)</f>
        <v/>
      </c>
      <c r="E61" t="str">
        <f>ToResult(怪物!E61)</f>
        <v/>
      </c>
      <c r="F61" t="str">
        <f>ToResult(怪物!F61)</f>
        <v/>
      </c>
      <c r="G61" t="str">
        <f>ToResult(怪物!G61)</f>
        <v/>
      </c>
    </row>
    <row r="62" spans="1:7">
      <c r="A62" t="str">
        <f>ToResult(怪物!A62)</f>
        <v/>
      </c>
      <c r="B62" t="str">
        <f>ToMonsterMode(怪物!B62)</f>
        <v/>
      </c>
      <c r="C62" t="str">
        <f>ToResult(怪物!C62)</f>
        <v/>
      </c>
      <c r="D62" t="str">
        <f>ToResult(怪物!D62)</f>
        <v/>
      </c>
      <c r="E62" t="str">
        <f>ToResult(怪物!E62)</f>
        <v/>
      </c>
      <c r="F62" t="str">
        <f>ToResult(怪物!F62)</f>
        <v/>
      </c>
      <c r="G62" t="str">
        <f>ToResult(怪物!G62)</f>
        <v/>
      </c>
    </row>
    <row r="63" spans="1:7">
      <c r="A63" t="str">
        <f>ToResult(怪物!A63)</f>
        <v/>
      </c>
      <c r="B63" t="str">
        <f>ToMonsterMode(怪物!B63)</f>
        <v/>
      </c>
      <c r="C63" t="str">
        <f>ToResult(怪物!C63)</f>
        <v/>
      </c>
      <c r="D63" t="str">
        <f>ToResult(怪物!D63)</f>
        <v/>
      </c>
      <c r="E63" t="str">
        <f>ToResult(怪物!E63)</f>
        <v/>
      </c>
      <c r="F63" t="str">
        <f>ToResult(怪物!F63)</f>
        <v/>
      </c>
      <c r="G63" t="str">
        <f>ToResult(怪物!G63)</f>
        <v/>
      </c>
    </row>
    <row r="64" spans="1:7">
      <c r="A64" t="str">
        <f>ToResult(怪物!A64)</f>
        <v/>
      </c>
      <c r="B64" t="str">
        <f>ToMonsterMode(怪物!B64)</f>
        <v/>
      </c>
      <c r="C64" t="str">
        <f>ToResult(怪物!C64)</f>
        <v/>
      </c>
      <c r="D64" t="str">
        <f>ToResult(怪物!D64)</f>
        <v/>
      </c>
      <c r="E64" t="str">
        <f>ToResult(怪物!E64)</f>
        <v/>
      </c>
      <c r="F64" t="str">
        <f>ToResult(怪物!F64)</f>
        <v/>
      </c>
      <c r="G64" t="str">
        <f>ToResult(怪物!G64)</f>
        <v/>
      </c>
    </row>
    <row r="65" spans="1:7">
      <c r="A65" t="str">
        <f>ToResult(怪物!A65)</f>
        <v/>
      </c>
      <c r="B65" t="str">
        <f>ToMonsterMode(怪物!B65)</f>
        <v/>
      </c>
      <c r="C65" t="str">
        <f>ToResult(怪物!C65)</f>
        <v/>
      </c>
      <c r="D65" t="str">
        <f>ToResult(怪物!D65)</f>
        <v/>
      </c>
      <c r="E65" t="str">
        <f>ToResult(怪物!E65)</f>
        <v/>
      </c>
      <c r="F65" t="str">
        <f>ToResult(怪物!F65)</f>
        <v/>
      </c>
      <c r="G65" t="str">
        <f>ToResult(怪物!G65)</f>
        <v/>
      </c>
    </row>
    <row r="66" spans="1:7">
      <c r="A66" t="str">
        <f>ToResult(怪物!A66)</f>
        <v/>
      </c>
      <c r="B66" t="str">
        <f>ToMonsterMode(怪物!B66)</f>
        <v/>
      </c>
      <c r="C66" t="str">
        <f>ToResult(怪物!C66)</f>
        <v/>
      </c>
      <c r="D66" t="str">
        <f>ToResult(怪物!D66)</f>
        <v/>
      </c>
      <c r="E66" t="str">
        <f>ToResult(怪物!E66)</f>
        <v/>
      </c>
      <c r="F66" t="str">
        <f>ToResult(怪物!F66)</f>
        <v/>
      </c>
      <c r="G66" t="str">
        <f>ToResult(怪物!G66)</f>
        <v/>
      </c>
    </row>
    <row r="67" spans="1:7">
      <c r="A67" t="str">
        <f>ToResult(怪物!A67)</f>
        <v/>
      </c>
      <c r="B67" t="str">
        <f>ToMonsterMode(怪物!B67)</f>
        <v/>
      </c>
      <c r="C67" t="str">
        <f>ToResult(怪物!C67)</f>
        <v/>
      </c>
      <c r="D67" t="str">
        <f>ToResult(怪物!D67)</f>
        <v/>
      </c>
      <c r="E67" t="str">
        <f>ToResult(怪物!E67)</f>
        <v/>
      </c>
      <c r="F67" t="str">
        <f>ToResult(怪物!F67)</f>
        <v/>
      </c>
      <c r="G67" t="str">
        <f>ToResult(怪物!G67)</f>
        <v/>
      </c>
    </row>
    <row r="68" spans="1:7">
      <c r="A68" t="str">
        <f>ToResult(怪物!A68)</f>
        <v/>
      </c>
      <c r="B68" t="str">
        <f>ToMonsterMode(怪物!B68)</f>
        <v/>
      </c>
      <c r="C68" t="str">
        <f>ToResult(怪物!C68)</f>
        <v/>
      </c>
      <c r="D68" t="str">
        <f>ToResult(怪物!D68)</f>
        <v/>
      </c>
      <c r="E68" t="str">
        <f>ToResult(怪物!E68)</f>
        <v/>
      </c>
      <c r="F68" t="str">
        <f>ToResult(怪物!F68)</f>
        <v/>
      </c>
      <c r="G68" t="str">
        <f>ToResult(怪物!G68)</f>
        <v/>
      </c>
    </row>
    <row r="69" spans="1:7">
      <c r="A69" t="str">
        <f>ToResult(怪物!A69)</f>
        <v/>
      </c>
      <c r="B69" t="str">
        <f>ToMonsterMode(怪物!B69)</f>
        <v/>
      </c>
      <c r="C69" t="str">
        <f>ToResult(怪物!C69)</f>
        <v/>
      </c>
      <c r="D69" t="str">
        <f>ToResult(怪物!D69)</f>
        <v/>
      </c>
      <c r="E69" t="str">
        <f>ToResult(怪物!E69)</f>
        <v/>
      </c>
      <c r="F69" t="str">
        <f>ToResult(怪物!F69)</f>
        <v/>
      </c>
      <c r="G69" t="str">
        <f>ToResult(怪物!G69)</f>
        <v/>
      </c>
    </row>
    <row r="70" spans="1:7">
      <c r="A70" t="str">
        <f>ToResult(怪物!A70)</f>
        <v/>
      </c>
      <c r="B70" t="str">
        <f>ToMonsterMode(怪物!B70)</f>
        <v/>
      </c>
      <c r="C70" t="str">
        <f>ToResult(怪物!C70)</f>
        <v/>
      </c>
      <c r="D70" t="str">
        <f>ToResult(怪物!D70)</f>
        <v/>
      </c>
      <c r="E70" t="str">
        <f>ToResult(怪物!E70)</f>
        <v/>
      </c>
      <c r="F70" t="str">
        <f>ToResult(怪物!F70)</f>
        <v/>
      </c>
      <c r="G70" t="str">
        <f>ToResult(怪物!G70)</f>
        <v/>
      </c>
    </row>
    <row r="71" spans="1:7">
      <c r="A71" t="str">
        <f>ToResult(怪物!A71)</f>
        <v/>
      </c>
      <c r="B71" t="str">
        <f>ToMonsterMode(怪物!B71)</f>
        <v/>
      </c>
      <c r="C71" t="str">
        <f>ToResult(怪物!C71)</f>
        <v/>
      </c>
      <c r="D71" t="str">
        <f>ToResult(怪物!D71)</f>
        <v/>
      </c>
      <c r="E71" t="str">
        <f>ToResult(怪物!E71)</f>
        <v/>
      </c>
      <c r="F71" t="str">
        <f>ToResult(怪物!F71)</f>
        <v/>
      </c>
      <c r="G71" t="str">
        <f>ToResult(怪物!G71)</f>
        <v/>
      </c>
    </row>
    <row r="72" spans="1:7">
      <c r="A72" t="str">
        <f>ToResult(怪物!A72)</f>
        <v/>
      </c>
      <c r="B72" t="str">
        <f>ToMonsterMode(怪物!B72)</f>
        <v/>
      </c>
      <c r="C72" t="str">
        <f>ToResult(怪物!C72)</f>
        <v/>
      </c>
      <c r="D72" t="str">
        <f>ToResult(怪物!D72)</f>
        <v/>
      </c>
      <c r="E72" t="str">
        <f>ToResult(怪物!E72)</f>
        <v/>
      </c>
      <c r="F72" t="str">
        <f>ToResult(怪物!F72)</f>
        <v/>
      </c>
      <c r="G72" t="str">
        <f>ToResult(怪物!G72)</f>
        <v/>
      </c>
    </row>
    <row r="73" spans="1:7">
      <c r="A73" t="str">
        <f>ToResult(怪物!A73)</f>
        <v/>
      </c>
      <c r="B73" t="str">
        <f>ToMonsterMode(怪物!B73)</f>
        <v/>
      </c>
      <c r="C73" t="str">
        <f>ToResult(怪物!C73)</f>
        <v/>
      </c>
      <c r="D73" t="str">
        <f>ToResult(怪物!D73)</f>
        <v/>
      </c>
      <c r="E73" t="str">
        <f>ToResult(怪物!E73)</f>
        <v/>
      </c>
      <c r="F73" t="str">
        <f>ToResult(怪物!F73)</f>
        <v/>
      </c>
      <c r="G73" t="str">
        <f>ToResult(怪物!G73)</f>
        <v/>
      </c>
    </row>
    <row r="74" spans="1:7">
      <c r="A74" t="str">
        <f>ToResult(怪物!A74)</f>
        <v/>
      </c>
      <c r="B74" t="str">
        <f>ToMonsterMode(怪物!B74)</f>
        <v/>
      </c>
      <c r="C74" t="str">
        <f>ToResult(怪物!C74)</f>
        <v/>
      </c>
      <c r="D74" t="str">
        <f>ToResult(怪物!D74)</f>
        <v/>
      </c>
      <c r="E74" t="str">
        <f>ToResult(怪物!E74)</f>
        <v/>
      </c>
      <c r="F74" t="str">
        <f>ToResult(怪物!F74)</f>
        <v/>
      </c>
      <c r="G74" t="str">
        <f>ToResult(怪物!G74)</f>
        <v/>
      </c>
    </row>
    <row r="75" spans="1:7">
      <c r="A75" t="str">
        <f>ToResult(怪物!A75)</f>
        <v/>
      </c>
      <c r="B75" t="str">
        <f>ToMonsterMode(怪物!B75)</f>
        <v/>
      </c>
      <c r="C75" t="str">
        <f>ToResult(怪物!C75)</f>
        <v/>
      </c>
      <c r="D75" t="str">
        <f>ToResult(怪物!D75)</f>
        <v/>
      </c>
      <c r="E75" t="str">
        <f>ToResult(怪物!E75)</f>
        <v/>
      </c>
      <c r="F75" t="str">
        <f>ToResult(怪物!F75)</f>
        <v/>
      </c>
      <c r="G75" t="str">
        <f>ToResult(怪物!G75)</f>
        <v/>
      </c>
    </row>
    <row r="76" spans="1:7">
      <c r="A76" t="str">
        <f>ToResult(怪物!A76)</f>
        <v/>
      </c>
      <c r="B76" t="str">
        <f>ToMonsterMode(怪物!B76)</f>
        <v/>
      </c>
      <c r="C76" t="str">
        <f>ToResult(怪物!C76)</f>
        <v/>
      </c>
      <c r="D76" t="str">
        <f>ToResult(怪物!D76)</f>
        <v/>
      </c>
      <c r="E76" t="str">
        <f>ToResult(怪物!E76)</f>
        <v/>
      </c>
      <c r="F76" t="str">
        <f>ToResult(怪物!F76)</f>
        <v/>
      </c>
      <c r="G76" t="str">
        <f>ToResult(怪物!G76)</f>
        <v/>
      </c>
    </row>
    <row r="77" spans="1:7">
      <c r="A77" t="str">
        <f>ToResult(怪物!A77)</f>
        <v/>
      </c>
      <c r="B77" t="str">
        <f>ToMonsterMode(怪物!B77)</f>
        <v/>
      </c>
      <c r="C77" t="str">
        <f>ToResult(怪物!C77)</f>
        <v/>
      </c>
      <c r="D77" t="str">
        <f>ToResult(怪物!D77)</f>
        <v/>
      </c>
      <c r="E77" t="str">
        <f>ToResult(怪物!E77)</f>
        <v/>
      </c>
      <c r="F77" t="str">
        <f>ToResult(怪物!F77)</f>
        <v/>
      </c>
      <c r="G77" t="str">
        <f>ToResult(怪物!G77)</f>
        <v/>
      </c>
    </row>
    <row r="78" spans="1:7">
      <c r="A78" t="str">
        <f>ToResult(怪物!A78)</f>
        <v/>
      </c>
      <c r="B78" t="str">
        <f>ToMonsterMode(怪物!B78)</f>
        <v/>
      </c>
      <c r="C78" t="str">
        <f>ToResult(怪物!C78)</f>
        <v/>
      </c>
      <c r="D78" t="str">
        <f>ToResult(怪物!D78)</f>
        <v/>
      </c>
      <c r="E78" t="str">
        <f>ToResult(怪物!E78)</f>
        <v/>
      </c>
      <c r="F78" t="str">
        <f>ToResult(怪物!F78)</f>
        <v/>
      </c>
      <c r="G78" t="str">
        <f>ToResult(怪物!G78)</f>
        <v/>
      </c>
    </row>
    <row r="79" spans="1:7">
      <c r="A79" t="str">
        <f>ToResult(怪物!A79)</f>
        <v/>
      </c>
      <c r="B79" t="str">
        <f>ToMonsterMode(怪物!B79)</f>
        <v/>
      </c>
      <c r="C79" t="str">
        <f>ToResult(怪物!C79)</f>
        <v/>
      </c>
      <c r="D79" t="str">
        <f>ToResult(怪物!D79)</f>
        <v/>
      </c>
      <c r="E79" t="str">
        <f>ToResult(怪物!E79)</f>
        <v/>
      </c>
      <c r="F79" t="str">
        <f>ToResult(怪物!F79)</f>
        <v/>
      </c>
      <c r="G79" t="str">
        <f>ToResult(怪物!G79)</f>
        <v/>
      </c>
    </row>
    <row r="80" spans="1:7">
      <c r="A80" t="str">
        <f>ToResult(怪物!A80)</f>
        <v/>
      </c>
      <c r="B80" t="str">
        <f>ToMonsterMode(怪物!B80)</f>
        <v/>
      </c>
      <c r="C80" t="str">
        <f>ToResult(怪物!C80)</f>
        <v/>
      </c>
      <c r="D80" t="str">
        <f>ToResult(怪物!D80)</f>
        <v/>
      </c>
      <c r="E80" t="str">
        <f>ToResult(怪物!E80)</f>
        <v/>
      </c>
      <c r="F80" t="str">
        <f>ToResult(怪物!F80)</f>
        <v/>
      </c>
      <c r="G80" t="str">
        <f>ToResult(怪物!G80)</f>
        <v/>
      </c>
    </row>
    <row r="81" spans="1:7">
      <c r="A81" t="str">
        <f>ToResult(怪物!A81)</f>
        <v/>
      </c>
      <c r="B81" t="str">
        <f>ToMonsterMode(怪物!B81)</f>
        <v/>
      </c>
      <c r="C81" t="str">
        <f>ToResult(怪物!C81)</f>
        <v/>
      </c>
      <c r="D81" t="str">
        <f>ToResult(怪物!D81)</f>
        <v/>
      </c>
      <c r="E81" t="str">
        <f>ToResult(怪物!E81)</f>
        <v/>
      </c>
      <c r="F81" t="str">
        <f>ToResult(怪物!F81)</f>
        <v/>
      </c>
      <c r="G81" t="str">
        <f>ToResult(怪物!G81)</f>
        <v/>
      </c>
    </row>
    <row r="82" spans="1:7">
      <c r="A82" t="str">
        <f>ToResult(怪物!A82)</f>
        <v/>
      </c>
      <c r="B82" t="str">
        <f>ToMonsterMode(怪物!B82)</f>
        <v/>
      </c>
      <c r="C82" t="str">
        <f>ToResult(怪物!C82)</f>
        <v/>
      </c>
      <c r="D82" t="str">
        <f>ToResult(怪物!D82)</f>
        <v/>
      </c>
      <c r="E82" t="str">
        <f>ToResult(怪物!E82)</f>
        <v/>
      </c>
      <c r="F82" t="str">
        <f>ToResult(怪物!F82)</f>
        <v/>
      </c>
      <c r="G82" t="str">
        <f>ToResult(怪物!G82)</f>
        <v/>
      </c>
    </row>
    <row r="83" spans="1:7">
      <c r="A83" t="str">
        <f>ToResult(怪物!A83)</f>
        <v/>
      </c>
      <c r="B83" t="str">
        <f>ToMonsterMode(怪物!B83)</f>
        <v/>
      </c>
      <c r="C83" t="str">
        <f>ToResult(怪物!C83)</f>
        <v/>
      </c>
      <c r="D83" t="str">
        <f>ToResult(怪物!D83)</f>
        <v/>
      </c>
      <c r="E83" t="str">
        <f>ToResult(怪物!E83)</f>
        <v/>
      </c>
      <c r="F83" t="str">
        <f>ToResult(怪物!F83)</f>
        <v/>
      </c>
      <c r="G83" t="str">
        <f>ToResult(怪物!G83)</f>
        <v/>
      </c>
    </row>
    <row r="84" spans="1:7">
      <c r="A84" t="str">
        <f>ToResult(怪物!A84)</f>
        <v/>
      </c>
      <c r="B84" t="str">
        <f>ToMonsterMode(怪物!B84)</f>
        <v/>
      </c>
      <c r="C84" t="str">
        <f>ToResult(怪物!C84)</f>
        <v/>
      </c>
      <c r="D84" t="str">
        <f>ToResult(怪物!D84)</f>
        <v/>
      </c>
      <c r="E84" t="str">
        <f>ToResult(怪物!E84)</f>
        <v/>
      </c>
      <c r="F84" t="str">
        <f>ToResult(怪物!F84)</f>
        <v/>
      </c>
      <c r="G84" t="str">
        <f>ToResult(怪物!G84)</f>
        <v/>
      </c>
    </row>
    <row r="85" spans="1:7">
      <c r="A85" t="str">
        <f>ToResult(怪物!A85)</f>
        <v/>
      </c>
      <c r="B85" t="str">
        <f>ToMonsterMode(怪物!B85)</f>
        <v/>
      </c>
      <c r="C85" t="str">
        <f>ToResult(怪物!C85)</f>
        <v/>
      </c>
      <c r="D85" t="str">
        <f>ToResult(怪物!D85)</f>
        <v/>
      </c>
      <c r="E85" t="str">
        <f>ToResult(怪物!E85)</f>
        <v/>
      </c>
      <c r="F85" t="str">
        <f>ToResult(怪物!F85)</f>
        <v/>
      </c>
      <c r="G85" t="str">
        <f>ToResult(怪物!G85)</f>
        <v/>
      </c>
    </row>
    <row r="86" spans="1:7">
      <c r="A86" t="str">
        <f>ToResult(怪物!A86)</f>
        <v/>
      </c>
      <c r="B86" t="str">
        <f>ToMonsterMode(怪物!B86)</f>
        <v/>
      </c>
      <c r="C86" t="str">
        <f>ToResult(怪物!C86)</f>
        <v/>
      </c>
      <c r="D86" t="str">
        <f>ToResult(怪物!D86)</f>
        <v/>
      </c>
      <c r="E86" t="str">
        <f>ToResult(怪物!E86)</f>
        <v/>
      </c>
      <c r="F86" t="str">
        <f>ToResult(怪物!F86)</f>
        <v/>
      </c>
      <c r="G86" t="str">
        <f>ToResult(怪物!G86)</f>
        <v/>
      </c>
    </row>
    <row r="87" spans="1:7">
      <c r="A87" t="str">
        <f>ToResult(怪物!A87)</f>
        <v/>
      </c>
      <c r="B87" t="str">
        <f>ToMonsterMode(怪物!B87)</f>
        <v/>
      </c>
      <c r="C87" t="str">
        <f>ToResult(怪物!C87)</f>
        <v/>
      </c>
      <c r="D87" t="str">
        <f>ToResult(怪物!D87)</f>
        <v/>
      </c>
      <c r="E87" t="str">
        <f>ToResult(怪物!E87)</f>
        <v/>
      </c>
      <c r="F87" t="str">
        <f>ToResult(怪物!F87)</f>
        <v/>
      </c>
      <c r="G87" t="str">
        <f>ToResult(怪物!G87)</f>
        <v/>
      </c>
    </row>
    <row r="88" spans="1:7">
      <c r="A88" t="str">
        <f>ToResult(怪物!A88)</f>
        <v/>
      </c>
      <c r="B88" t="str">
        <f>ToMonsterMode(怪物!B88)</f>
        <v/>
      </c>
      <c r="C88" t="str">
        <f>ToResult(怪物!C88)</f>
        <v/>
      </c>
      <c r="D88" t="str">
        <f>ToResult(怪物!D88)</f>
        <v/>
      </c>
      <c r="E88" t="str">
        <f>ToResult(怪物!E88)</f>
        <v/>
      </c>
      <c r="F88" t="str">
        <f>ToResult(怪物!F88)</f>
        <v/>
      </c>
      <c r="G88" t="str">
        <f>ToResult(怪物!G88)</f>
        <v/>
      </c>
    </row>
    <row r="89" spans="1:7">
      <c r="A89" t="str">
        <f>ToResult(怪物!A89)</f>
        <v/>
      </c>
      <c r="B89" t="str">
        <f>ToMonsterMode(怪物!B89)</f>
        <v/>
      </c>
      <c r="C89" t="str">
        <f>ToResult(怪物!C89)</f>
        <v/>
      </c>
      <c r="D89" t="str">
        <f>ToResult(怪物!D89)</f>
        <v/>
      </c>
      <c r="E89" t="str">
        <f>ToResult(怪物!E89)</f>
        <v/>
      </c>
      <c r="F89" t="str">
        <f>ToResult(怪物!F89)</f>
        <v/>
      </c>
      <c r="G89" t="str">
        <f>ToResult(怪物!G89)</f>
        <v/>
      </c>
    </row>
    <row r="90" spans="1:7">
      <c r="A90" t="str">
        <f>ToResult(怪物!A90)</f>
        <v/>
      </c>
      <c r="B90" t="str">
        <f>ToMonsterMode(怪物!B90)</f>
        <v/>
      </c>
      <c r="C90" t="str">
        <f>ToResult(怪物!C90)</f>
        <v/>
      </c>
      <c r="D90" t="str">
        <f>ToResult(怪物!D90)</f>
        <v/>
      </c>
      <c r="E90" t="str">
        <f>ToResult(怪物!E90)</f>
        <v/>
      </c>
      <c r="F90" t="str">
        <f>ToResult(怪物!F90)</f>
        <v/>
      </c>
      <c r="G90" t="str">
        <f>ToResult(怪物!G90)</f>
        <v/>
      </c>
    </row>
    <row r="91" spans="1:7">
      <c r="A91" t="str">
        <f>ToResult(怪物!A91)</f>
        <v/>
      </c>
      <c r="B91" t="str">
        <f>ToMonsterMode(怪物!B91)</f>
        <v/>
      </c>
      <c r="C91" t="str">
        <f>ToResult(怪物!C91)</f>
        <v/>
      </c>
      <c r="D91" t="str">
        <f>ToResult(怪物!D91)</f>
        <v/>
      </c>
      <c r="E91" t="str">
        <f>ToResult(怪物!E91)</f>
        <v/>
      </c>
      <c r="F91" t="str">
        <f>ToResult(怪物!F91)</f>
        <v/>
      </c>
      <c r="G91" t="str">
        <f>ToResult(怪物!G91)</f>
        <v/>
      </c>
    </row>
    <row r="92" spans="1:7">
      <c r="A92" t="str">
        <f>ToResult(怪物!A92)</f>
        <v/>
      </c>
      <c r="B92" t="str">
        <f>ToMonsterMode(怪物!B92)</f>
        <v/>
      </c>
      <c r="C92" t="str">
        <f>ToResult(怪物!C92)</f>
        <v/>
      </c>
      <c r="D92" t="str">
        <f>ToResult(怪物!D92)</f>
        <v/>
      </c>
      <c r="E92" t="str">
        <f>ToResult(怪物!E92)</f>
        <v/>
      </c>
      <c r="F92" t="str">
        <f>ToResult(怪物!F92)</f>
        <v/>
      </c>
      <c r="G92" t="str">
        <f>ToResult(怪物!G92)</f>
        <v/>
      </c>
    </row>
    <row r="93" spans="1:7">
      <c r="A93" t="str">
        <f>ToResult(怪物!A93)</f>
        <v/>
      </c>
      <c r="B93" t="str">
        <f>ToMonsterMode(怪物!B93)</f>
        <v/>
      </c>
      <c r="C93" t="str">
        <f>ToResult(怪物!C93)</f>
        <v/>
      </c>
      <c r="D93" t="str">
        <f>ToResult(怪物!D93)</f>
        <v/>
      </c>
      <c r="E93" t="str">
        <f>ToResult(怪物!E93)</f>
        <v/>
      </c>
      <c r="F93" t="str">
        <f>ToResult(怪物!F93)</f>
        <v/>
      </c>
      <c r="G93" t="str">
        <f>ToResult(怪物!G93)</f>
        <v/>
      </c>
    </row>
    <row r="94" spans="1:7">
      <c r="A94" t="str">
        <f>ToResult(怪物!A94)</f>
        <v/>
      </c>
      <c r="B94" t="str">
        <f>ToMonsterMode(怪物!B94)</f>
        <v/>
      </c>
      <c r="C94" t="str">
        <f>ToResult(怪物!C94)</f>
        <v/>
      </c>
      <c r="D94" t="str">
        <f>ToResult(怪物!D94)</f>
        <v/>
      </c>
      <c r="E94" t="str">
        <f>ToResult(怪物!E94)</f>
        <v/>
      </c>
      <c r="F94" t="str">
        <f>ToResult(怪物!F94)</f>
        <v/>
      </c>
      <c r="G94" t="str">
        <f>ToResult(怪物!G94)</f>
        <v/>
      </c>
    </row>
    <row r="95" spans="1:7">
      <c r="A95" t="str">
        <f>ToResult(怪物!A95)</f>
        <v/>
      </c>
      <c r="B95" t="str">
        <f>ToMonsterMode(怪物!B95)</f>
        <v/>
      </c>
      <c r="C95" t="str">
        <f>ToResult(怪物!C95)</f>
        <v/>
      </c>
      <c r="D95" t="str">
        <f>ToResult(怪物!D95)</f>
        <v/>
      </c>
      <c r="E95" t="str">
        <f>ToResult(怪物!E95)</f>
        <v/>
      </c>
      <c r="F95" t="str">
        <f>ToResult(怪物!F95)</f>
        <v/>
      </c>
      <c r="G95" t="str">
        <f>ToResult(怪物!G95)</f>
        <v/>
      </c>
    </row>
    <row r="96" spans="1:7">
      <c r="A96" t="str">
        <f>ToResult(怪物!A96)</f>
        <v/>
      </c>
      <c r="B96" t="str">
        <f>ToMonsterMode(怪物!B96)</f>
        <v/>
      </c>
      <c r="C96" t="str">
        <f>ToResult(怪物!C96)</f>
        <v/>
      </c>
      <c r="D96" t="str">
        <f>ToResult(怪物!D96)</f>
        <v/>
      </c>
      <c r="E96" t="str">
        <f>ToResult(怪物!E96)</f>
        <v/>
      </c>
      <c r="F96" t="str">
        <f>ToResult(怪物!F96)</f>
        <v/>
      </c>
      <c r="G96" t="str">
        <f>ToResult(怪物!G96)</f>
        <v/>
      </c>
    </row>
    <row r="97" spans="1:7">
      <c r="A97" t="str">
        <f>ToResult(怪物!A97)</f>
        <v/>
      </c>
      <c r="B97" t="str">
        <f>ToMonsterMode(怪物!B97)</f>
        <v/>
      </c>
      <c r="C97" t="str">
        <f>ToResult(怪物!C97)</f>
        <v/>
      </c>
      <c r="D97" t="str">
        <f>ToResult(怪物!D97)</f>
        <v/>
      </c>
      <c r="E97" t="str">
        <f>ToResult(怪物!E97)</f>
        <v/>
      </c>
      <c r="F97" t="str">
        <f>ToResult(怪物!F97)</f>
        <v/>
      </c>
      <c r="G97" t="str">
        <f>ToResult(怪物!G97)</f>
        <v/>
      </c>
    </row>
    <row r="98" spans="1:7">
      <c r="A98" t="str">
        <f>ToResult(怪物!A98)</f>
        <v/>
      </c>
      <c r="B98" t="str">
        <f>ToMonsterMode(怪物!B98)</f>
        <v/>
      </c>
      <c r="C98" t="str">
        <f>ToResult(怪物!C98)</f>
        <v/>
      </c>
      <c r="D98" t="str">
        <f>ToResult(怪物!D98)</f>
        <v/>
      </c>
      <c r="E98" t="str">
        <f>ToResult(怪物!E98)</f>
        <v/>
      </c>
      <c r="F98" t="str">
        <f>ToResult(怪物!F98)</f>
        <v/>
      </c>
      <c r="G98" t="str">
        <f>ToResult(怪物!G98)</f>
        <v/>
      </c>
    </row>
    <row r="99" spans="1:7">
      <c r="A99" t="str">
        <f>ToResult(怪物!A99)</f>
        <v/>
      </c>
      <c r="B99" t="str">
        <f>ToMonsterMode(怪物!B99)</f>
        <v/>
      </c>
      <c r="C99" t="str">
        <f>ToResult(怪物!C99)</f>
        <v/>
      </c>
      <c r="D99" t="str">
        <f>ToResult(怪物!D99)</f>
        <v/>
      </c>
      <c r="E99" t="str">
        <f>ToResult(怪物!E99)</f>
        <v/>
      </c>
      <c r="F99" t="str">
        <f>ToResult(怪物!F99)</f>
        <v/>
      </c>
      <c r="G99" t="str">
        <f>ToResult(怪物!G99)</f>
        <v/>
      </c>
    </row>
    <row r="100" spans="1:7">
      <c r="A100" t="str">
        <f>ToResult(怪物!A100)</f>
        <v/>
      </c>
      <c r="B100" t="str">
        <f>ToMonsterMode(怪物!B100)</f>
        <v/>
      </c>
      <c r="C100" t="str">
        <f>ToResult(怪物!C100)</f>
        <v/>
      </c>
      <c r="D100" t="str">
        <f>ToResult(怪物!D100)</f>
        <v/>
      </c>
      <c r="E100" t="str">
        <f>ToResult(怪物!E100)</f>
        <v/>
      </c>
      <c r="F100" t="str">
        <f>ToResult(怪物!F100)</f>
        <v/>
      </c>
      <c r="G100" t="str">
        <f>ToResult(怪物!G100)</f>
        <v/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/>
  <dimension ref="A1:Q100"/>
  <sheetViews>
    <sheetView workbookViewId="0">
      <selection activeCell="C5" sqref="C5"/>
    </sheetView>
  </sheetViews>
  <sheetFormatPr defaultRowHeight="16.5"/>
  <cols>
    <col min="1" max="15" width="15.625" customWidth="1"/>
  </cols>
  <sheetData>
    <row r="1" spans="1:17">
      <c r="A1" s="28" t="str">
        <f>成就!A1</f>
        <v>GUID</v>
      </c>
      <c r="B1" s="28" t="str">
        <f>成就!B1</f>
        <v>Name</v>
      </c>
      <c r="C1" s="46" t="str">
        <f>成就!C1</f>
        <v>MaxLevel</v>
      </c>
      <c r="D1" s="28" t="str">
        <f>成就!D1</f>
        <v>Lv1Value</v>
      </c>
      <c r="E1" s="28" t="str">
        <f>成就!E1</f>
        <v>Lv2Value</v>
      </c>
      <c r="F1" s="28" t="str">
        <f>成就!F1</f>
        <v>Lv3Value</v>
      </c>
      <c r="G1" s="28" t="str">
        <f>成就!G1</f>
        <v>Lv4Value</v>
      </c>
      <c r="H1" s="40" t="str">
        <f>成就!H1</f>
        <v>Lv5Value</v>
      </c>
      <c r="I1" s="40" t="str">
        <f>成就!I1</f>
        <v>Lv6Value</v>
      </c>
      <c r="J1" s="40" t="str">
        <f>成就!J1</f>
        <v>Lv1Reward</v>
      </c>
      <c r="K1" s="40" t="str">
        <f>成就!K1</f>
        <v>Lv2Reward</v>
      </c>
      <c r="L1" s="40" t="str">
        <f>成就!L1</f>
        <v>Lv3Reward</v>
      </c>
      <c r="M1" s="40" t="str">
        <f>成就!M1</f>
        <v>Lv4Reward</v>
      </c>
      <c r="N1" s="40" t="str">
        <f>成就!N1</f>
        <v>Lv5Reward</v>
      </c>
      <c r="O1" s="40" t="str">
        <f>成就!O1</f>
        <v>Lv6Reward</v>
      </c>
      <c r="P1" s="40"/>
      <c r="Q1" s="40"/>
    </row>
    <row r="2" spans="1:17">
      <c r="A2" t="str">
        <f>ToAchievement(成就!A2)</f>
        <v>1</v>
      </c>
      <c r="B2" t="str">
        <f>ToResult(成就!B2)</f>
        <v>7001</v>
      </c>
      <c r="C2" t="str">
        <f>ToResult(成就!C2)</f>
        <v>2</v>
      </c>
      <c r="D2" t="str">
        <f>ToResult(成就!D2)</f>
        <v>12</v>
      </c>
      <c r="E2" t="str">
        <f>ToResult(成就!E2)</f>
        <v>24</v>
      </c>
      <c r="F2" t="str">
        <f>ToResult(成就!F2)</f>
        <v>0</v>
      </c>
      <c r="G2" t="str">
        <f>ToResult(成就!G2)</f>
        <v>0</v>
      </c>
      <c r="H2" t="str">
        <f>ToResult(成就!H2)</f>
        <v>0</v>
      </c>
      <c r="I2" t="str">
        <f>ToResult(成就!I2)</f>
        <v>0</v>
      </c>
      <c r="J2" t="str">
        <f>ToResult(成就!J2)</f>
        <v>1</v>
      </c>
      <c r="K2" t="str">
        <f>ToResult(成就!K2)</f>
        <v>0</v>
      </c>
      <c r="L2" t="str">
        <f>ToResult(成就!L2)</f>
        <v>0</v>
      </c>
      <c r="M2" t="str">
        <f>ToResult(成就!M2)</f>
        <v>0</v>
      </c>
      <c r="N2" t="str">
        <f>ToResult(成就!N2)</f>
        <v>0</v>
      </c>
      <c r="O2" t="str">
        <f>ToResult(成就!O2)</f>
        <v>0</v>
      </c>
    </row>
    <row r="3" spans="1:17">
      <c r="A3" t="str">
        <f>ToAchievement(成就!A3)</f>
        <v>2</v>
      </c>
      <c r="B3" t="str">
        <f>ToResult(成就!B3)</f>
        <v>7002</v>
      </c>
      <c r="C3" t="str">
        <f>ToResult(成就!C3)</f>
        <v>2</v>
      </c>
      <c r="D3" t="str">
        <f>ToResult(成就!D3)</f>
        <v>8</v>
      </c>
      <c r="E3" t="str">
        <f>ToResult(成就!E3)</f>
        <v>16</v>
      </c>
      <c r="F3" t="str">
        <f>ToResult(成就!F3)</f>
        <v>0</v>
      </c>
      <c r="G3" t="str">
        <f>ToResult(成就!G3)</f>
        <v>0</v>
      </c>
      <c r="H3" t="str">
        <f>ToResult(成就!H3)</f>
        <v>0</v>
      </c>
      <c r="I3" t="str">
        <f>ToResult(成就!I3)</f>
        <v>0</v>
      </c>
      <c r="J3" t="str">
        <f>ToResult(成就!J3)</f>
        <v>6</v>
      </c>
      <c r="K3" t="str">
        <f>ToResult(成就!K3)</f>
        <v>0</v>
      </c>
      <c r="L3" t="str">
        <f>ToResult(成就!L3)</f>
        <v>0</v>
      </c>
      <c r="M3" t="str">
        <f>ToResult(成就!M3)</f>
        <v>0</v>
      </c>
      <c r="N3" t="str">
        <f>ToResult(成就!N3)</f>
        <v>0</v>
      </c>
      <c r="O3" t="str">
        <f>ToResult(成就!O3)</f>
        <v>0</v>
      </c>
    </row>
    <row r="4" spans="1:17">
      <c r="A4" t="str">
        <f>ToAchievement(成就!A4)</f>
        <v>3</v>
      </c>
      <c r="B4" t="str">
        <f>ToResult(成就!B4)</f>
        <v>7003</v>
      </c>
      <c r="C4" t="str">
        <f>ToResult(成就!C4)</f>
        <v>2</v>
      </c>
      <c r="D4" t="str">
        <f>ToResult(成就!D4)</f>
        <v>8</v>
      </c>
      <c r="E4" t="str">
        <f>ToResult(成就!E4)</f>
        <v>16</v>
      </c>
      <c r="F4" t="str">
        <f>ToResult(成就!F4)</f>
        <v>0</v>
      </c>
      <c r="G4" t="str">
        <f>ToResult(成就!G4)</f>
        <v>0</v>
      </c>
      <c r="H4" t="str">
        <f>ToResult(成就!H4)</f>
        <v>0</v>
      </c>
      <c r="I4" t="str">
        <f>ToResult(成就!I4)</f>
        <v>0</v>
      </c>
      <c r="J4" t="str">
        <f>ToResult(成就!J4)</f>
        <v>2</v>
      </c>
      <c r="K4" t="str">
        <f>ToResult(成就!K4)</f>
        <v>0</v>
      </c>
      <c r="L4" t="str">
        <f>ToResult(成就!L4)</f>
        <v>0</v>
      </c>
      <c r="M4" t="str">
        <f>ToResult(成就!M4)</f>
        <v>0</v>
      </c>
      <c r="N4" t="str">
        <f>ToResult(成就!N4)</f>
        <v>0</v>
      </c>
      <c r="O4" t="str">
        <f>ToResult(成就!O4)</f>
        <v>0</v>
      </c>
    </row>
    <row r="5" spans="1:17">
      <c r="A5" t="str">
        <f>ToAchievement(成就!A5)</f>
        <v>4</v>
      </c>
      <c r="B5" t="str">
        <f>ToResult(成就!B5)</f>
        <v>7004</v>
      </c>
      <c r="C5" t="str">
        <f>ToResult(成就!C5)</f>
        <v>6</v>
      </c>
      <c r="D5" t="str">
        <f>ToResult(成就!D5)</f>
        <v>12</v>
      </c>
      <c r="E5" t="str">
        <f>ToResult(成就!E5)</f>
        <v>24</v>
      </c>
      <c r="F5" t="str">
        <f>ToResult(成就!F5)</f>
        <v>36</v>
      </c>
      <c r="G5" t="str">
        <f>ToResult(成就!G5)</f>
        <v>48</v>
      </c>
      <c r="H5" t="str">
        <f>ToResult(成就!H5)</f>
        <v>60</v>
      </c>
      <c r="I5" t="str">
        <f>ToResult(成就!I5)</f>
        <v>72</v>
      </c>
      <c r="J5" t="str">
        <f>ToResult(成就!J5)</f>
        <v>8</v>
      </c>
      <c r="K5" t="str">
        <f>ToResult(成就!K5)</f>
        <v>3</v>
      </c>
      <c r="L5" t="str">
        <f>ToResult(成就!L5)</f>
        <v>9</v>
      </c>
      <c r="M5" t="str">
        <f>ToResult(成就!M5)</f>
        <v>4</v>
      </c>
      <c r="N5" t="str">
        <f>ToResult(成就!N5)</f>
        <v>10</v>
      </c>
      <c r="O5" t="str">
        <f>ToResult(成就!O5)</f>
        <v>5</v>
      </c>
    </row>
    <row r="6" spans="1:17">
      <c r="A6" t="str">
        <f>ToAchievement(成就!A6)</f>
        <v>5</v>
      </c>
      <c r="B6" t="str">
        <f>ToResult(成就!B6)</f>
        <v>7005</v>
      </c>
      <c r="C6" t="str">
        <f>ToResult(成就!C6)</f>
        <v>0</v>
      </c>
      <c r="D6" t="str">
        <f>ToResult(成就!D6)</f>
        <v>0</v>
      </c>
      <c r="E6" t="str">
        <f>ToResult(成就!E6)</f>
        <v>0</v>
      </c>
      <c r="F6" t="str">
        <f>ToResult(成就!F6)</f>
        <v>0</v>
      </c>
      <c r="G6" t="str">
        <f>ToResult(成就!G6)</f>
        <v>0</v>
      </c>
      <c r="H6" t="str">
        <f>ToResult(成就!H6)</f>
        <v>0</v>
      </c>
      <c r="I6" t="str">
        <f>ToResult(成就!I6)</f>
        <v>0</v>
      </c>
      <c r="J6" t="str">
        <f>ToResult(成就!J6)</f>
        <v>0</v>
      </c>
      <c r="K6" t="str">
        <f>ToResult(成就!K6)</f>
        <v>0</v>
      </c>
      <c r="L6" t="str">
        <f>ToResult(成就!L6)</f>
        <v>0</v>
      </c>
      <c r="M6" t="str">
        <f>ToResult(成就!M6)</f>
        <v>0</v>
      </c>
      <c r="N6" t="str">
        <f>ToResult(成就!N6)</f>
        <v>0</v>
      </c>
      <c r="O6" t="str">
        <f>ToResult(成就!O6)</f>
        <v>0</v>
      </c>
    </row>
    <row r="7" spans="1:17">
      <c r="A7" t="str">
        <f>ToAchievement(成就!A7)</f>
        <v>6</v>
      </c>
      <c r="B7" t="str">
        <f>ToResult(成就!B7)</f>
        <v>7006</v>
      </c>
      <c r="C7" t="str">
        <f>ToResult(成就!C7)</f>
        <v>6</v>
      </c>
      <c r="D7" t="str">
        <f>ToResult(成就!D7)</f>
        <v>1000</v>
      </c>
      <c r="E7" t="str">
        <f>ToResult(成就!E7)</f>
        <v>3000</v>
      </c>
      <c r="F7" t="str">
        <f>ToResult(成就!F7)</f>
        <v>6000</v>
      </c>
      <c r="G7" t="str">
        <f>ToResult(成就!G7)</f>
        <v>10000</v>
      </c>
      <c r="H7" t="str">
        <f>ToResult(成就!H7)</f>
        <v>15000</v>
      </c>
      <c r="I7" t="str">
        <f>ToResult(成就!I7)</f>
        <v>21000</v>
      </c>
      <c r="J7" t="str">
        <f>ToResult(成就!J7)</f>
        <v>100</v>
      </c>
      <c r="K7" t="str">
        <f>ToResult(成就!K7)</f>
        <v>101</v>
      </c>
      <c r="L7" t="str">
        <f>ToResult(成就!L7)</f>
        <v>102</v>
      </c>
      <c r="M7" t="str">
        <f>ToResult(成就!M7)</f>
        <v>103</v>
      </c>
      <c r="N7" t="str">
        <f>ToResult(成就!N7)</f>
        <v>104</v>
      </c>
      <c r="O7" t="str">
        <f>ToResult(成就!O7)</f>
        <v>105</v>
      </c>
    </row>
    <row r="8" spans="1:17">
      <c r="A8" t="str">
        <f>ToAchievement(成就!A8)</f>
        <v>7</v>
      </c>
      <c r="B8" t="str">
        <f>ToResult(成就!B8)</f>
        <v>7007</v>
      </c>
      <c r="C8" t="str">
        <f>ToResult(成就!C8)</f>
        <v>6</v>
      </c>
      <c r="D8" t="str">
        <f>ToResult(成就!D8)</f>
        <v>1000</v>
      </c>
      <c r="E8" t="str">
        <f>ToResult(成就!E8)</f>
        <v>2000</v>
      </c>
      <c r="F8" t="str">
        <f>ToResult(成就!F8)</f>
        <v>3000</v>
      </c>
      <c r="G8" t="str">
        <f>ToResult(成就!G8)</f>
        <v>4000</v>
      </c>
      <c r="H8" t="str">
        <f>ToResult(成就!H8)</f>
        <v>5000</v>
      </c>
      <c r="I8" t="str">
        <f>ToResult(成就!I8)</f>
        <v>6000</v>
      </c>
      <c r="J8" t="str">
        <f>ToResult(成就!J8)</f>
        <v>200</v>
      </c>
      <c r="K8" t="str">
        <f>ToResult(成就!K8)</f>
        <v>201</v>
      </c>
      <c r="L8" t="str">
        <f>ToResult(成就!L8)</f>
        <v>202</v>
      </c>
      <c r="M8" t="str">
        <f>ToResult(成就!M8)</f>
        <v>203</v>
      </c>
      <c r="N8" t="str">
        <f>ToResult(成就!N8)</f>
        <v>204</v>
      </c>
      <c r="O8" t="str">
        <f>ToResult(成就!O8)</f>
        <v>205</v>
      </c>
    </row>
    <row r="9" spans="1:17">
      <c r="A9" t="str">
        <f>ToAchievement(成就!A9)</f>
        <v>8</v>
      </c>
      <c r="B9" t="str">
        <f>ToResult(成就!B9)</f>
        <v>7008</v>
      </c>
      <c r="C9" t="str">
        <f>ToResult(成就!C9)</f>
        <v>6</v>
      </c>
      <c r="D9" t="str">
        <f>ToResult(成就!D9)</f>
        <v>500</v>
      </c>
      <c r="E9" t="str">
        <f>ToResult(成就!E9)</f>
        <v>1000</v>
      </c>
      <c r="F9" t="str">
        <f>ToResult(成就!F9)</f>
        <v>2000</v>
      </c>
      <c r="G9" t="str">
        <f>ToResult(成就!G9)</f>
        <v>3000</v>
      </c>
      <c r="H9" t="str">
        <f>ToResult(成就!H9)</f>
        <v>4000</v>
      </c>
      <c r="I9" t="str">
        <f>ToResult(成就!I9)</f>
        <v>5000</v>
      </c>
      <c r="J9" t="str">
        <f>ToResult(成就!J9)</f>
        <v>300</v>
      </c>
      <c r="K9" t="str">
        <f>ToResult(成就!K9)</f>
        <v>301</v>
      </c>
      <c r="L9" t="str">
        <f>ToResult(成就!L9)</f>
        <v>302</v>
      </c>
      <c r="M9" t="str">
        <f>ToResult(成就!M9)</f>
        <v>303</v>
      </c>
      <c r="N9" t="str">
        <f>ToResult(成就!N9)</f>
        <v>304</v>
      </c>
      <c r="O9" t="str">
        <f>ToResult(成就!O9)</f>
        <v>305</v>
      </c>
    </row>
    <row r="10" spans="1:17">
      <c r="A10" t="str">
        <f>ToAchievement(成就!A10)</f>
        <v>9</v>
      </c>
      <c r="B10" t="str">
        <f>ToResult(成就!B10)</f>
        <v>7009</v>
      </c>
      <c r="C10" t="str">
        <f>ToResult(成就!C10)</f>
        <v>6</v>
      </c>
      <c r="D10" t="str">
        <f>ToResult(成就!D10)</f>
        <v>500</v>
      </c>
      <c r="E10" t="str">
        <f>ToResult(成就!E10)</f>
        <v>1000</v>
      </c>
      <c r="F10" t="str">
        <f>ToResult(成就!F10)</f>
        <v>2000</v>
      </c>
      <c r="G10" t="str">
        <f>ToResult(成就!G10)</f>
        <v>3000</v>
      </c>
      <c r="H10" t="str">
        <f>ToResult(成就!H10)</f>
        <v>4000</v>
      </c>
      <c r="I10" t="str">
        <f>ToResult(成就!I10)</f>
        <v>5000</v>
      </c>
      <c r="J10" t="str">
        <f>ToResult(成就!J10)</f>
        <v>400</v>
      </c>
      <c r="K10" t="str">
        <f>ToResult(成就!K10)</f>
        <v>401</v>
      </c>
      <c r="L10" t="str">
        <f>ToResult(成就!L10)</f>
        <v>402</v>
      </c>
      <c r="M10" t="str">
        <f>ToResult(成就!M10)</f>
        <v>403</v>
      </c>
      <c r="N10" t="str">
        <f>ToResult(成就!N10)</f>
        <v>404</v>
      </c>
      <c r="O10" t="str">
        <f>ToResult(成就!O10)</f>
        <v>405</v>
      </c>
    </row>
    <row r="11" spans="1:17">
      <c r="A11" t="str">
        <f>ToAchievement(成就!A11)</f>
        <v>10</v>
      </c>
      <c r="B11" t="str">
        <f>ToResult(成就!B11)</f>
        <v>7010</v>
      </c>
      <c r="C11" t="str">
        <f>ToResult(成就!C11)</f>
        <v>4</v>
      </c>
      <c r="D11" t="str">
        <f>ToResult(成就!D11)</f>
        <v>10</v>
      </c>
      <c r="E11" t="str">
        <f>ToResult(成就!E11)</f>
        <v>30</v>
      </c>
      <c r="F11" t="str">
        <f>ToResult(成就!F11)</f>
        <v>60</v>
      </c>
      <c r="G11" t="str">
        <f>ToResult(成就!G11)</f>
        <v>100</v>
      </c>
      <c r="H11" t="str">
        <f>ToResult(成就!H11)</f>
        <v>0</v>
      </c>
      <c r="I11" t="str">
        <f>ToResult(成就!I11)</f>
        <v>0</v>
      </c>
      <c r="J11" t="str">
        <f>ToResult(成就!J11)</f>
        <v>500</v>
      </c>
      <c r="K11" t="str">
        <f>ToResult(成就!K11)</f>
        <v>501</v>
      </c>
      <c r="L11" t="str">
        <f>ToResult(成就!L11)</f>
        <v>502</v>
      </c>
      <c r="M11" t="str">
        <f>ToResult(成就!M11)</f>
        <v>503</v>
      </c>
      <c r="N11" t="str">
        <f>ToResult(成就!N11)</f>
        <v>0</v>
      </c>
      <c r="O11" t="str">
        <f>ToResult(成就!O11)</f>
        <v>0</v>
      </c>
    </row>
    <row r="12" spans="1:17">
      <c r="A12" t="str">
        <f>ToAchievement(成就!A12)</f>
        <v>11</v>
      </c>
      <c r="B12" t="str">
        <f>ToResult(成就!B12)</f>
        <v>7011</v>
      </c>
      <c r="C12" t="str">
        <f>ToResult(成就!C12)</f>
        <v>2</v>
      </c>
      <c r="D12" t="str">
        <f>ToResult(成就!D12)</f>
        <v>1000</v>
      </c>
      <c r="E12" t="str">
        <f>ToResult(成就!E12)</f>
        <v>2000</v>
      </c>
      <c r="F12" t="str">
        <f>ToResult(成就!F12)</f>
        <v>0</v>
      </c>
      <c r="G12" t="str">
        <f>ToResult(成就!G12)</f>
        <v>0</v>
      </c>
      <c r="H12" t="str">
        <f>ToResult(成就!H12)</f>
        <v>0</v>
      </c>
      <c r="I12" t="str">
        <f>ToResult(成就!I12)</f>
        <v>0</v>
      </c>
      <c r="J12" t="str">
        <f>ToResult(成就!J12)</f>
        <v>7</v>
      </c>
      <c r="K12" t="str">
        <f>ToResult(成就!K12)</f>
        <v>0</v>
      </c>
      <c r="L12" t="str">
        <f>ToResult(成就!L12)</f>
        <v>0</v>
      </c>
      <c r="M12" t="str">
        <f>ToResult(成就!M12)</f>
        <v>0</v>
      </c>
      <c r="N12" t="str">
        <f>ToResult(成就!N12)</f>
        <v>0</v>
      </c>
      <c r="O12" t="str">
        <f>ToResult(成就!O12)</f>
        <v>0</v>
      </c>
    </row>
    <row r="13" spans="1:17">
      <c r="A13" t="str">
        <f>ToAchievement(成就!A13)</f>
        <v/>
      </c>
      <c r="B13" t="str">
        <f>ToResult(成就!B13)</f>
        <v/>
      </c>
      <c r="C13" t="str">
        <f>ToResult(成就!C13)</f>
        <v/>
      </c>
      <c r="D13" t="str">
        <f>ToResult(成就!D13)</f>
        <v/>
      </c>
      <c r="E13" t="str">
        <f>ToResult(成就!E13)</f>
        <v/>
      </c>
      <c r="F13" t="str">
        <f>ToResult(成就!F13)</f>
        <v/>
      </c>
      <c r="G13" t="str">
        <f>ToResult(成就!G13)</f>
        <v/>
      </c>
      <c r="H13" t="str">
        <f>ToResult(成就!H13)</f>
        <v/>
      </c>
      <c r="I13" t="str">
        <f>ToResult(成就!I13)</f>
        <v/>
      </c>
      <c r="J13" t="str">
        <f>ToResult(成就!J13)</f>
        <v/>
      </c>
      <c r="K13" t="str">
        <f>ToResult(成就!K13)</f>
        <v/>
      </c>
      <c r="L13" t="str">
        <f>ToResult(成就!L13)</f>
        <v/>
      </c>
      <c r="M13" t="str">
        <f>ToResult(成就!M13)</f>
        <v/>
      </c>
      <c r="N13" t="str">
        <f>ToResult(成就!N13)</f>
        <v/>
      </c>
      <c r="O13" t="str">
        <f>ToResult(成就!O13)</f>
        <v/>
      </c>
    </row>
    <row r="14" spans="1:17">
      <c r="A14" t="str">
        <f>ToAchievement(成就!A14)</f>
        <v/>
      </c>
      <c r="B14" t="str">
        <f>ToResult(成就!B14)</f>
        <v/>
      </c>
      <c r="C14" t="str">
        <f>ToResult(成就!C14)</f>
        <v/>
      </c>
      <c r="D14" t="str">
        <f>ToResult(成就!D14)</f>
        <v/>
      </c>
      <c r="E14" t="str">
        <f>ToResult(成就!E14)</f>
        <v/>
      </c>
      <c r="F14" t="str">
        <f>ToResult(成就!F14)</f>
        <v/>
      </c>
      <c r="G14" t="str">
        <f>ToResult(成就!G14)</f>
        <v/>
      </c>
      <c r="H14" t="str">
        <f>ToResult(成就!H14)</f>
        <v/>
      </c>
      <c r="I14" t="str">
        <f>ToResult(成就!I14)</f>
        <v/>
      </c>
      <c r="J14" t="str">
        <f>ToResult(成就!J14)</f>
        <v/>
      </c>
      <c r="K14" t="str">
        <f>ToResult(成就!K14)</f>
        <v/>
      </c>
      <c r="L14" t="str">
        <f>ToResult(成就!L14)</f>
        <v/>
      </c>
      <c r="M14" t="str">
        <f>ToResult(成就!M14)</f>
        <v/>
      </c>
      <c r="N14" t="str">
        <f>ToResult(成就!N14)</f>
        <v/>
      </c>
      <c r="O14" t="str">
        <f>ToResult(成就!O14)</f>
        <v/>
      </c>
    </row>
    <row r="15" spans="1:17">
      <c r="A15" t="str">
        <f>ToAchievement(成就!A15)</f>
        <v/>
      </c>
      <c r="B15" t="str">
        <f>ToResult(成就!B15)</f>
        <v/>
      </c>
      <c r="C15" t="str">
        <f>ToResult(成就!C15)</f>
        <v/>
      </c>
      <c r="D15" t="str">
        <f>ToResult(成就!D15)</f>
        <v/>
      </c>
      <c r="E15" t="str">
        <f>ToResult(成就!E15)</f>
        <v/>
      </c>
      <c r="F15" t="str">
        <f>ToResult(成就!F15)</f>
        <v/>
      </c>
      <c r="G15" t="str">
        <f>ToResult(成就!G15)</f>
        <v/>
      </c>
      <c r="H15" t="str">
        <f>ToResult(成就!H15)</f>
        <v/>
      </c>
      <c r="I15" t="str">
        <f>ToResult(成就!I15)</f>
        <v/>
      </c>
      <c r="J15" t="str">
        <f>ToResult(成就!J15)</f>
        <v/>
      </c>
      <c r="K15" t="str">
        <f>ToResult(成就!K15)</f>
        <v/>
      </c>
      <c r="L15" t="str">
        <f>ToResult(成就!L15)</f>
        <v/>
      </c>
      <c r="M15" t="str">
        <f>ToResult(成就!M15)</f>
        <v/>
      </c>
      <c r="N15" t="str">
        <f>ToResult(成就!N15)</f>
        <v/>
      </c>
      <c r="O15" t="str">
        <f>ToResult(成就!O15)</f>
        <v/>
      </c>
    </row>
    <row r="16" spans="1:17">
      <c r="A16" t="str">
        <f>ToAchievement(成就!A16)</f>
        <v/>
      </c>
      <c r="B16" t="str">
        <f>ToResult(成就!B16)</f>
        <v/>
      </c>
      <c r="C16" t="str">
        <f>ToResult(成就!C16)</f>
        <v/>
      </c>
      <c r="D16" t="str">
        <f>ToResult(成就!D16)</f>
        <v/>
      </c>
      <c r="E16" t="str">
        <f>ToResult(成就!E16)</f>
        <v/>
      </c>
      <c r="F16" t="str">
        <f>ToResult(成就!F16)</f>
        <v/>
      </c>
      <c r="G16" t="str">
        <f>ToResult(成就!G16)</f>
        <v/>
      </c>
      <c r="H16" t="str">
        <f>ToResult(成就!H16)</f>
        <v/>
      </c>
      <c r="I16" t="str">
        <f>ToResult(成就!I16)</f>
        <v/>
      </c>
      <c r="J16" t="str">
        <f>ToResult(成就!J16)</f>
        <v/>
      </c>
      <c r="K16" t="str">
        <f>ToResult(成就!K16)</f>
        <v/>
      </c>
      <c r="L16" t="str">
        <f>ToResult(成就!L16)</f>
        <v/>
      </c>
      <c r="M16" t="str">
        <f>ToResult(成就!M16)</f>
        <v/>
      </c>
      <c r="N16" t="str">
        <f>ToResult(成就!N16)</f>
        <v/>
      </c>
      <c r="O16" t="str">
        <f>ToResult(成就!O16)</f>
        <v/>
      </c>
    </row>
    <row r="17" spans="1:15">
      <c r="A17" t="str">
        <f>ToAchievement(成就!A17)</f>
        <v/>
      </c>
      <c r="B17" t="str">
        <f>ToResult(成就!B17)</f>
        <v/>
      </c>
      <c r="C17" t="str">
        <f>ToResult(成就!C17)</f>
        <v/>
      </c>
      <c r="D17" t="str">
        <f>ToResult(成就!D17)</f>
        <v/>
      </c>
      <c r="E17" t="str">
        <f>ToResult(成就!E17)</f>
        <v/>
      </c>
      <c r="F17" t="str">
        <f>ToResult(成就!F17)</f>
        <v/>
      </c>
      <c r="G17" t="str">
        <f>ToResult(成就!G17)</f>
        <v/>
      </c>
      <c r="H17" t="str">
        <f>ToResult(成就!H17)</f>
        <v/>
      </c>
      <c r="I17" t="str">
        <f>ToResult(成就!I17)</f>
        <v/>
      </c>
      <c r="J17" t="str">
        <f>ToResult(成就!J17)</f>
        <v/>
      </c>
      <c r="K17" t="str">
        <f>ToResult(成就!K17)</f>
        <v/>
      </c>
      <c r="L17" t="str">
        <f>ToResult(成就!L17)</f>
        <v/>
      </c>
      <c r="M17" t="str">
        <f>ToResult(成就!M17)</f>
        <v/>
      </c>
      <c r="N17" t="str">
        <f>ToResult(成就!N17)</f>
        <v/>
      </c>
      <c r="O17" t="str">
        <f>ToResult(成就!O17)</f>
        <v/>
      </c>
    </row>
    <row r="18" spans="1:15">
      <c r="A18" t="str">
        <f>ToAchievement(成就!A18)</f>
        <v/>
      </c>
      <c r="B18" t="str">
        <f>ToResult(成就!B18)</f>
        <v/>
      </c>
      <c r="C18" t="str">
        <f>ToResult(成就!C18)</f>
        <v/>
      </c>
      <c r="D18" t="str">
        <f>ToResult(成就!D18)</f>
        <v/>
      </c>
      <c r="E18" t="str">
        <f>ToResult(成就!E18)</f>
        <v/>
      </c>
      <c r="F18" t="str">
        <f>ToResult(成就!F18)</f>
        <v/>
      </c>
      <c r="G18" t="str">
        <f>ToResult(成就!G18)</f>
        <v/>
      </c>
      <c r="H18" t="str">
        <f>ToResult(成就!H18)</f>
        <v/>
      </c>
      <c r="I18" t="str">
        <f>ToResult(成就!I18)</f>
        <v/>
      </c>
      <c r="J18" t="str">
        <f>ToResult(成就!J18)</f>
        <v/>
      </c>
      <c r="K18" t="str">
        <f>ToResult(成就!K18)</f>
        <v/>
      </c>
      <c r="L18" t="str">
        <f>ToResult(成就!L18)</f>
        <v/>
      </c>
      <c r="M18" t="str">
        <f>ToResult(成就!M18)</f>
        <v/>
      </c>
      <c r="N18" t="str">
        <f>ToResult(成就!N18)</f>
        <v/>
      </c>
      <c r="O18" t="str">
        <f>ToResult(成就!O18)</f>
        <v/>
      </c>
    </row>
    <row r="19" spans="1:15">
      <c r="A19" t="str">
        <f>ToAchievement(成就!A19)</f>
        <v/>
      </c>
      <c r="B19" t="str">
        <f>ToResult(成就!B19)</f>
        <v/>
      </c>
      <c r="C19" t="str">
        <f>ToResult(成就!C19)</f>
        <v/>
      </c>
      <c r="D19" t="str">
        <f>ToResult(成就!D19)</f>
        <v/>
      </c>
      <c r="E19" t="str">
        <f>ToResult(成就!E19)</f>
        <v/>
      </c>
      <c r="F19" t="str">
        <f>ToResult(成就!F19)</f>
        <v/>
      </c>
      <c r="G19" t="str">
        <f>ToResult(成就!G19)</f>
        <v/>
      </c>
      <c r="H19" t="str">
        <f>ToResult(成就!H19)</f>
        <v/>
      </c>
      <c r="I19" t="str">
        <f>ToResult(成就!I19)</f>
        <v/>
      </c>
      <c r="J19" t="str">
        <f>ToResult(成就!J19)</f>
        <v/>
      </c>
      <c r="K19" t="str">
        <f>ToResult(成就!K19)</f>
        <v/>
      </c>
      <c r="L19" t="str">
        <f>ToResult(成就!L19)</f>
        <v/>
      </c>
      <c r="M19" t="str">
        <f>ToResult(成就!M19)</f>
        <v/>
      </c>
      <c r="N19" t="str">
        <f>ToResult(成就!N19)</f>
        <v/>
      </c>
      <c r="O19" t="str">
        <f>ToResult(成就!O19)</f>
        <v/>
      </c>
    </row>
    <row r="20" spans="1:15">
      <c r="A20" t="str">
        <f>ToAchievement(成就!A20)</f>
        <v/>
      </c>
      <c r="B20" t="str">
        <f>ToResult(成就!B20)</f>
        <v/>
      </c>
      <c r="C20" t="str">
        <f>ToResult(成就!C20)</f>
        <v/>
      </c>
      <c r="D20" t="str">
        <f>ToResult(成就!D20)</f>
        <v/>
      </c>
      <c r="E20" t="str">
        <f>ToResult(成就!E20)</f>
        <v/>
      </c>
      <c r="F20" t="str">
        <f>ToResult(成就!F20)</f>
        <v/>
      </c>
      <c r="G20" t="str">
        <f>ToResult(成就!G20)</f>
        <v/>
      </c>
      <c r="H20" t="str">
        <f>ToResult(成就!H20)</f>
        <v/>
      </c>
      <c r="I20" t="str">
        <f>ToResult(成就!I20)</f>
        <v/>
      </c>
      <c r="J20" t="str">
        <f>ToResult(成就!J20)</f>
        <v/>
      </c>
      <c r="K20" t="str">
        <f>ToResult(成就!K20)</f>
        <v/>
      </c>
      <c r="L20" t="str">
        <f>ToResult(成就!L20)</f>
        <v/>
      </c>
      <c r="M20" t="str">
        <f>ToResult(成就!M20)</f>
        <v/>
      </c>
      <c r="N20" t="str">
        <f>ToResult(成就!N20)</f>
        <v/>
      </c>
      <c r="O20" t="str">
        <f>ToResult(成就!O20)</f>
        <v/>
      </c>
    </row>
    <row r="21" spans="1:15">
      <c r="A21" t="str">
        <f>ToAchievement(成就!A21)</f>
        <v/>
      </c>
      <c r="B21" t="str">
        <f>ToResult(成就!B21)</f>
        <v/>
      </c>
      <c r="C21" t="str">
        <f>ToResult(成就!C21)</f>
        <v/>
      </c>
      <c r="D21" t="str">
        <f>ToResult(成就!D21)</f>
        <v/>
      </c>
      <c r="E21" t="str">
        <f>ToResult(成就!E21)</f>
        <v/>
      </c>
      <c r="F21" t="str">
        <f>ToResult(成就!F21)</f>
        <v/>
      </c>
      <c r="G21" t="str">
        <f>ToResult(成就!G21)</f>
        <v/>
      </c>
      <c r="H21" t="str">
        <f>ToResult(成就!H21)</f>
        <v/>
      </c>
      <c r="I21" t="str">
        <f>ToResult(成就!I21)</f>
        <v/>
      </c>
      <c r="J21" t="str">
        <f>ToResult(成就!J21)</f>
        <v/>
      </c>
      <c r="K21" t="str">
        <f>ToResult(成就!K21)</f>
        <v/>
      </c>
      <c r="L21" t="str">
        <f>ToResult(成就!L21)</f>
        <v/>
      </c>
      <c r="M21" t="str">
        <f>ToResult(成就!M21)</f>
        <v/>
      </c>
      <c r="N21" t="str">
        <f>ToResult(成就!N21)</f>
        <v/>
      </c>
      <c r="O21" t="str">
        <f>ToResult(成就!O21)</f>
        <v/>
      </c>
    </row>
    <row r="22" spans="1:15">
      <c r="A22" t="str">
        <f>ToAchievement(成就!A22)</f>
        <v/>
      </c>
      <c r="B22" t="str">
        <f>ToResult(成就!B22)</f>
        <v/>
      </c>
      <c r="C22" t="str">
        <f>ToResult(成就!C22)</f>
        <v/>
      </c>
      <c r="D22" t="str">
        <f>ToResult(成就!D22)</f>
        <v/>
      </c>
      <c r="E22" t="str">
        <f>ToResult(成就!E22)</f>
        <v/>
      </c>
      <c r="F22" t="str">
        <f>ToResult(成就!F22)</f>
        <v/>
      </c>
      <c r="G22" t="str">
        <f>ToResult(成就!G22)</f>
        <v/>
      </c>
      <c r="H22" t="str">
        <f>ToResult(成就!H22)</f>
        <v/>
      </c>
      <c r="I22" t="str">
        <f>ToResult(成就!I22)</f>
        <v/>
      </c>
      <c r="J22" t="str">
        <f>ToResult(成就!J22)</f>
        <v/>
      </c>
      <c r="K22" t="str">
        <f>ToResult(成就!K22)</f>
        <v/>
      </c>
      <c r="L22" t="str">
        <f>ToResult(成就!L22)</f>
        <v/>
      </c>
      <c r="M22" t="str">
        <f>ToResult(成就!M22)</f>
        <v/>
      </c>
      <c r="N22" t="str">
        <f>ToResult(成就!N22)</f>
        <v/>
      </c>
      <c r="O22" t="str">
        <f>ToResult(成就!O22)</f>
        <v/>
      </c>
    </row>
    <row r="23" spans="1:15">
      <c r="A23" t="str">
        <f>ToAchievement(成就!A23)</f>
        <v/>
      </c>
      <c r="B23" t="str">
        <f>ToResult(成就!B23)</f>
        <v/>
      </c>
      <c r="C23" t="str">
        <f>ToResult(成就!C23)</f>
        <v/>
      </c>
      <c r="D23" t="str">
        <f>ToResult(成就!D23)</f>
        <v/>
      </c>
      <c r="E23" t="str">
        <f>ToResult(成就!E23)</f>
        <v/>
      </c>
      <c r="F23" t="str">
        <f>ToResult(成就!F23)</f>
        <v/>
      </c>
      <c r="G23" t="str">
        <f>ToResult(成就!G23)</f>
        <v/>
      </c>
      <c r="H23" t="str">
        <f>ToResult(成就!H23)</f>
        <v/>
      </c>
      <c r="I23" t="str">
        <f>ToResult(成就!I23)</f>
        <v/>
      </c>
      <c r="J23" t="str">
        <f>ToResult(成就!J23)</f>
        <v/>
      </c>
      <c r="K23" t="str">
        <f>ToResult(成就!K23)</f>
        <v/>
      </c>
      <c r="L23" t="str">
        <f>ToResult(成就!L23)</f>
        <v/>
      </c>
      <c r="M23" t="str">
        <f>ToResult(成就!M23)</f>
        <v/>
      </c>
      <c r="N23" t="str">
        <f>ToResult(成就!N23)</f>
        <v/>
      </c>
      <c r="O23" t="str">
        <f>ToResult(成就!O23)</f>
        <v/>
      </c>
    </row>
    <row r="24" spans="1:15">
      <c r="A24" t="str">
        <f>ToAchievement(成就!A24)</f>
        <v/>
      </c>
      <c r="B24" t="str">
        <f>ToResult(成就!B24)</f>
        <v/>
      </c>
      <c r="C24" t="str">
        <f>ToResult(成就!C24)</f>
        <v/>
      </c>
      <c r="D24" t="str">
        <f>ToResult(成就!D24)</f>
        <v/>
      </c>
      <c r="E24" t="str">
        <f>ToResult(成就!E24)</f>
        <v/>
      </c>
      <c r="F24" t="str">
        <f>ToResult(成就!F24)</f>
        <v/>
      </c>
      <c r="G24" t="str">
        <f>ToResult(成就!G24)</f>
        <v/>
      </c>
      <c r="H24" t="str">
        <f>ToResult(成就!H24)</f>
        <v/>
      </c>
      <c r="I24" t="str">
        <f>ToResult(成就!I24)</f>
        <v/>
      </c>
      <c r="J24" t="str">
        <f>ToResult(成就!J24)</f>
        <v/>
      </c>
      <c r="K24" t="str">
        <f>ToResult(成就!K24)</f>
        <v/>
      </c>
      <c r="L24" t="str">
        <f>ToResult(成就!L24)</f>
        <v/>
      </c>
      <c r="M24" t="str">
        <f>ToResult(成就!M24)</f>
        <v/>
      </c>
      <c r="N24" t="str">
        <f>ToResult(成就!N24)</f>
        <v/>
      </c>
      <c r="O24" t="str">
        <f>ToResult(成就!O24)</f>
        <v/>
      </c>
    </row>
    <row r="25" spans="1:15">
      <c r="A25" t="str">
        <f>ToAchievement(成就!A25)</f>
        <v/>
      </c>
      <c r="B25" t="str">
        <f>ToResult(成就!B25)</f>
        <v/>
      </c>
      <c r="C25" t="str">
        <f>ToResult(成就!C25)</f>
        <v/>
      </c>
      <c r="D25" t="str">
        <f>ToResult(成就!D25)</f>
        <v/>
      </c>
      <c r="E25" t="str">
        <f>ToResult(成就!E25)</f>
        <v/>
      </c>
      <c r="F25" t="str">
        <f>ToResult(成就!F25)</f>
        <v/>
      </c>
      <c r="G25" t="str">
        <f>ToResult(成就!G25)</f>
        <v/>
      </c>
      <c r="H25" t="str">
        <f>ToResult(成就!H25)</f>
        <v/>
      </c>
      <c r="I25" t="str">
        <f>ToResult(成就!I25)</f>
        <v/>
      </c>
      <c r="J25" t="str">
        <f>ToResult(成就!J25)</f>
        <v/>
      </c>
      <c r="K25" t="str">
        <f>ToResult(成就!K25)</f>
        <v/>
      </c>
      <c r="L25" t="str">
        <f>ToResult(成就!L25)</f>
        <v/>
      </c>
      <c r="M25" t="str">
        <f>ToResult(成就!M25)</f>
        <v/>
      </c>
      <c r="N25" t="str">
        <f>ToResult(成就!N25)</f>
        <v/>
      </c>
      <c r="O25" t="str">
        <f>ToResult(成就!O25)</f>
        <v/>
      </c>
    </row>
    <row r="26" spans="1:15">
      <c r="A26" t="str">
        <f>ToAchievement(成就!A26)</f>
        <v/>
      </c>
      <c r="B26" t="str">
        <f>ToResult(成就!B26)</f>
        <v/>
      </c>
      <c r="C26" t="str">
        <f>ToResult(成就!C26)</f>
        <v/>
      </c>
      <c r="D26" t="str">
        <f>ToResult(成就!D26)</f>
        <v/>
      </c>
      <c r="E26" t="str">
        <f>ToResult(成就!E26)</f>
        <v/>
      </c>
      <c r="F26" t="str">
        <f>ToResult(成就!F26)</f>
        <v/>
      </c>
      <c r="G26" t="str">
        <f>ToResult(成就!G26)</f>
        <v/>
      </c>
      <c r="H26" t="str">
        <f>ToResult(成就!H26)</f>
        <v/>
      </c>
      <c r="I26" t="str">
        <f>ToResult(成就!I26)</f>
        <v/>
      </c>
      <c r="J26" t="str">
        <f>ToResult(成就!J26)</f>
        <v/>
      </c>
      <c r="K26" t="str">
        <f>ToResult(成就!K26)</f>
        <v/>
      </c>
      <c r="L26" t="str">
        <f>ToResult(成就!L26)</f>
        <v/>
      </c>
      <c r="M26" t="str">
        <f>ToResult(成就!M26)</f>
        <v/>
      </c>
      <c r="N26" t="str">
        <f>ToResult(成就!N26)</f>
        <v/>
      </c>
      <c r="O26" t="str">
        <f>ToResult(成就!O26)</f>
        <v/>
      </c>
    </row>
    <row r="27" spans="1:15">
      <c r="A27" t="str">
        <f>ToAchievement(成就!A27)</f>
        <v/>
      </c>
      <c r="B27" t="str">
        <f>ToResult(成就!B27)</f>
        <v/>
      </c>
      <c r="C27" t="str">
        <f>ToResult(成就!C27)</f>
        <v/>
      </c>
      <c r="D27" t="str">
        <f>ToResult(成就!D27)</f>
        <v/>
      </c>
      <c r="E27" t="str">
        <f>ToResult(成就!E27)</f>
        <v/>
      </c>
      <c r="F27" t="str">
        <f>ToResult(成就!F27)</f>
        <v/>
      </c>
      <c r="G27" t="str">
        <f>ToResult(成就!G27)</f>
        <v/>
      </c>
      <c r="H27" t="str">
        <f>ToResult(成就!H27)</f>
        <v/>
      </c>
      <c r="I27" t="str">
        <f>ToResult(成就!I27)</f>
        <v/>
      </c>
      <c r="J27" t="str">
        <f>ToResult(成就!J27)</f>
        <v/>
      </c>
      <c r="K27" t="str">
        <f>ToResult(成就!K27)</f>
        <v/>
      </c>
      <c r="L27" t="str">
        <f>ToResult(成就!L27)</f>
        <v/>
      </c>
      <c r="M27" t="str">
        <f>ToResult(成就!M27)</f>
        <v/>
      </c>
      <c r="N27" t="str">
        <f>ToResult(成就!N27)</f>
        <v/>
      </c>
      <c r="O27" t="str">
        <f>ToResult(成就!O27)</f>
        <v/>
      </c>
    </row>
    <row r="28" spans="1:15">
      <c r="A28" t="str">
        <f>ToAchievement(成就!A28)</f>
        <v/>
      </c>
      <c r="B28" t="str">
        <f>ToResult(成就!B28)</f>
        <v/>
      </c>
      <c r="C28" t="str">
        <f>ToResult(成就!C28)</f>
        <v/>
      </c>
      <c r="D28" t="str">
        <f>ToResult(成就!D28)</f>
        <v/>
      </c>
      <c r="E28" t="str">
        <f>ToResult(成就!E28)</f>
        <v/>
      </c>
      <c r="F28" t="str">
        <f>ToResult(成就!F28)</f>
        <v/>
      </c>
      <c r="G28" t="str">
        <f>ToResult(成就!G28)</f>
        <v/>
      </c>
      <c r="H28" t="str">
        <f>ToResult(成就!H28)</f>
        <v/>
      </c>
      <c r="I28" t="str">
        <f>ToResult(成就!I28)</f>
        <v/>
      </c>
      <c r="J28" t="str">
        <f>ToResult(成就!J28)</f>
        <v/>
      </c>
      <c r="K28" t="str">
        <f>ToResult(成就!K28)</f>
        <v/>
      </c>
      <c r="L28" t="str">
        <f>ToResult(成就!L28)</f>
        <v/>
      </c>
      <c r="M28" t="str">
        <f>ToResult(成就!M28)</f>
        <v/>
      </c>
      <c r="N28" t="str">
        <f>ToResult(成就!N28)</f>
        <v/>
      </c>
      <c r="O28" t="str">
        <f>ToResult(成就!O28)</f>
        <v/>
      </c>
    </row>
    <row r="29" spans="1:15">
      <c r="A29" t="str">
        <f>ToAchievement(成就!A29)</f>
        <v/>
      </c>
      <c r="B29" t="str">
        <f>ToResult(成就!B29)</f>
        <v/>
      </c>
      <c r="C29" t="str">
        <f>ToResult(成就!C29)</f>
        <v/>
      </c>
      <c r="D29" t="str">
        <f>ToResult(成就!D29)</f>
        <v/>
      </c>
      <c r="E29" t="str">
        <f>ToResult(成就!E29)</f>
        <v/>
      </c>
      <c r="F29" t="str">
        <f>ToResult(成就!F29)</f>
        <v/>
      </c>
      <c r="G29" t="str">
        <f>ToResult(成就!G29)</f>
        <v/>
      </c>
      <c r="H29" t="str">
        <f>ToResult(成就!H29)</f>
        <v/>
      </c>
      <c r="I29" t="str">
        <f>ToResult(成就!I29)</f>
        <v/>
      </c>
      <c r="J29" t="str">
        <f>ToResult(成就!J29)</f>
        <v/>
      </c>
      <c r="K29" t="str">
        <f>ToResult(成就!K29)</f>
        <v/>
      </c>
      <c r="L29" t="str">
        <f>ToResult(成就!L29)</f>
        <v/>
      </c>
      <c r="M29" t="str">
        <f>ToResult(成就!M29)</f>
        <v/>
      </c>
      <c r="N29" t="str">
        <f>ToResult(成就!N29)</f>
        <v/>
      </c>
      <c r="O29" t="str">
        <f>ToResult(成就!O29)</f>
        <v/>
      </c>
    </row>
    <row r="30" spans="1:15">
      <c r="A30" t="str">
        <f>ToAchievement(成就!A30)</f>
        <v/>
      </c>
      <c r="B30" t="str">
        <f>ToResult(成就!B30)</f>
        <v/>
      </c>
      <c r="C30" t="str">
        <f>ToResult(成就!C30)</f>
        <v/>
      </c>
      <c r="D30" t="str">
        <f>ToResult(成就!D30)</f>
        <v/>
      </c>
      <c r="E30" t="str">
        <f>ToResult(成就!E30)</f>
        <v/>
      </c>
      <c r="F30" t="str">
        <f>ToResult(成就!F30)</f>
        <v/>
      </c>
      <c r="G30" t="str">
        <f>ToResult(成就!G30)</f>
        <v/>
      </c>
      <c r="H30" t="str">
        <f>ToResult(成就!H30)</f>
        <v/>
      </c>
      <c r="I30" t="str">
        <f>ToResult(成就!I30)</f>
        <v/>
      </c>
      <c r="J30" t="str">
        <f>ToResult(成就!J30)</f>
        <v/>
      </c>
      <c r="K30" t="str">
        <f>ToResult(成就!K30)</f>
        <v/>
      </c>
      <c r="L30" t="str">
        <f>ToResult(成就!L30)</f>
        <v/>
      </c>
      <c r="M30" t="str">
        <f>ToResult(成就!M30)</f>
        <v/>
      </c>
      <c r="N30" t="str">
        <f>ToResult(成就!N30)</f>
        <v/>
      </c>
      <c r="O30" t="str">
        <f>ToResult(成就!O30)</f>
        <v/>
      </c>
    </row>
    <row r="31" spans="1:15">
      <c r="A31" t="str">
        <f>ToAchievement(成就!A31)</f>
        <v/>
      </c>
      <c r="B31" t="str">
        <f>ToResult(成就!B31)</f>
        <v/>
      </c>
      <c r="C31" t="str">
        <f>ToResult(成就!C31)</f>
        <v/>
      </c>
      <c r="D31" t="str">
        <f>ToResult(成就!D31)</f>
        <v/>
      </c>
      <c r="E31" t="str">
        <f>ToResult(成就!E31)</f>
        <v/>
      </c>
      <c r="F31" t="str">
        <f>ToResult(成就!F31)</f>
        <v/>
      </c>
      <c r="G31" t="str">
        <f>ToResult(成就!G31)</f>
        <v/>
      </c>
      <c r="H31" t="str">
        <f>ToResult(成就!H31)</f>
        <v/>
      </c>
      <c r="I31" t="str">
        <f>ToResult(成就!I31)</f>
        <v/>
      </c>
      <c r="J31" t="str">
        <f>ToResult(成就!J31)</f>
        <v/>
      </c>
      <c r="K31" t="str">
        <f>ToResult(成就!K31)</f>
        <v/>
      </c>
      <c r="L31" t="str">
        <f>ToResult(成就!L31)</f>
        <v/>
      </c>
      <c r="M31" t="str">
        <f>ToResult(成就!M31)</f>
        <v/>
      </c>
      <c r="N31" t="str">
        <f>ToResult(成就!N31)</f>
        <v/>
      </c>
      <c r="O31" t="str">
        <f>ToResult(成就!O31)</f>
        <v/>
      </c>
    </row>
    <row r="32" spans="1:15">
      <c r="A32" t="str">
        <f>ToAchievement(成就!A32)</f>
        <v/>
      </c>
      <c r="B32" t="str">
        <f>ToResult(成就!B32)</f>
        <v/>
      </c>
      <c r="C32" t="str">
        <f>ToResult(成就!C32)</f>
        <v/>
      </c>
      <c r="D32" t="str">
        <f>ToResult(成就!D32)</f>
        <v/>
      </c>
      <c r="E32" t="str">
        <f>ToResult(成就!E32)</f>
        <v/>
      </c>
      <c r="F32" t="str">
        <f>ToResult(成就!F32)</f>
        <v/>
      </c>
      <c r="G32" t="str">
        <f>ToResult(成就!G32)</f>
        <v/>
      </c>
      <c r="H32" t="str">
        <f>ToResult(成就!H32)</f>
        <v/>
      </c>
      <c r="I32" t="str">
        <f>ToResult(成就!I32)</f>
        <v/>
      </c>
      <c r="J32" t="str">
        <f>ToResult(成就!J32)</f>
        <v/>
      </c>
      <c r="K32" t="str">
        <f>ToResult(成就!K32)</f>
        <v/>
      </c>
      <c r="L32" t="str">
        <f>ToResult(成就!L32)</f>
        <v/>
      </c>
      <c r="M32" t="str">
        <f>ToResult(成就!M32)</f>
        <v/>
      </c>
      <c r="N32" t="str">
        <f>ToResult(成就!N32)</f>
        <v/>
      </c>
      <c r="O32" t="str">
        <f>ToResult(成就!O32)</f>
        <v/>
      </c>
    </row>
    <row r="33" spans="1:15">
      <c r="A33" t="str">
        <f>ToAchievement(成就!A33)</f>
        <v/>
      </c>
      <c r="B33" t="str">
        <f>ToResult(成就!B33)</f>
        <v/>
      </c>
      <c r="C33" t="str">
        <f>ToResult(成就!C33)</f>
        <v/>
      </c>
      <c r="D33" t="str">
        <f>ToResult(成就!D33)</f>
        <v/>
      </c>
      <c r="E33" t="str">
        <f>ToResult(成就!E33)</f>
        <v/>
      </c>
      <c r="F33" t="str">
        <f>ToResult(成就!F33)</f>
        <v/>
      </c>
      <c r="G33" t="str">
        <f>ToResult(成就!G33)</f>
        <v/>
      </c>
      <c r="H33" t="str">
        <f>ToResult(成就!H33)</f>
        <v/>
      </c>
      <c r="I33" t="str">
        <f>ToResult(成就!I33)</f>
        <v/>
      </c>
      <c r="J33" t="str">
        <f>ToResult(成就!J33)</f>
        <v/>
      </c>
      <c r="K33" t="str">
        <f>ToResult(成就!K33)</f>
        <v/>
      </c>
      <c r="L33" t="str">
        <f>ToResult(成就!L33)</f>
        <v/>
      </c>
      <c r="M33" t="str">
        <f>ToResult(成就!M33)</f>
        <v/>
      </c>
      <c r="N33" t="str">
        <f>ToResult(成就!N33)</f>
        <v/>
      </c>
      <c r="O33" t="str">
        <f>ToResult(成就!O33)</f>
        <v/>
      </c>
    </row>
    <row r="34" spans="1:15">
      <c r="A34" t="str">
        <f>ToAchievement(成就!A34)</f>
        <v/>
      </c>
      <c r="B34" t="str">
        <f>ToResult(成就!B34)</f>
        <v/>
      </c>
      <c r="C34" t="str">
        <f>ToResult(成就!C34)</f>
        <v/>
      </c>
      <c r="D34" t="str">
        <f>ToResult(成就!D34)</f>
        <v/>
      </c>
      <c r="E34" t="str">
        <f>ToResult(成就!E34)</f>
        <v/>
      </c>
      <c r="F34" t="str">
        <f>ToResult(成就!F34)</f>
        <v/>
      </c>
      <c r="G34" t="str">
        <f>ToResult(成就!G34)</f>
        <v/>
      </c>
      <c r="H34" t="str">
        <f>ToResult(成就!H34)</f>
        <v/>
      </c>
      <c r="I34" t="str">
        <f>ToResult(成就!I34)</f>
        <v/>
      </c>
      <c r="J34" t="str">
        <f>ToResult(成就!J34)</f>
        <v/>
      </c>
      <c r="K34" t="str">
        <f>ToResult(成就!K34)</f>
        <v/>
      </c>
      <c r="L34" t="str">
        <f>ToResult(成就!L34)</f>
        <v/>
      </c>
      <c r="M34" t="str">
        <f>ToResult(成就!M34)</f>
        <v/>
      </c>
      <c r="N34" t="str">
        <f>ToResult(成就!N34)</f>
        <v/>
      </c>
      <c r="O34" t="str">
        <f>ToResult(成就!O34)</f>
        <v/>
      </c>
    </row>
    <row r="35" spans="1:15">
      <c r="A35" t="str">
        <f>ToAchievement(成就!A35)</f>
        <v/>
      </c>
      <c r="B35" t="str">
        <f>ToResult(成就!B35)</f>
        <v/>
      </c>
      <c r="C35" t="str">
        <f>ToResult(成就!C35)</f>
        <v/>
      </c>
      <c r="D35" t="str">
        <f>ToResult(成就!D35)</f>
        <v/>
      </c>
      <c r="E35" t="str">
        <f>ToResult(成就!E35)</f>
        <v/>
      </c>
      <c r="F35" t="str">
        <f>ToResult(成就!F35)</f>
        <v/>
      </c>
      <c r="G35" t="str">
        <f>ToResult(成就!G35)</f>
        <v/>
      </c>
      <c r="H35" t="str">
        <f>ToResult(成就!H35)</f>
        <v/>
      </c>
      <c r="I35" t="str">
        <f>ToResult(成就!I35)</f>
        <v/>
      </c>
      <c r="J35" t="str">
        <f>ToResult(成就!J35)</f>
        <v/>
      </c>
      <c r="K35" t="str">
        <f>ToResult(成就!K35)</f>
        <v/>
      </c>
      <c r="L35" t="str">
        <f>ToResult(成就!L35)</f>
        <v/>
      </c>
      <c r="M35" t="str">
        <f>ToResult(成就!M35)</f>
        <v/>
      </c>
      <c r="N35" t="str">
        <f>ToResult(成就!N35)</f>
        <v/>
      </c>
      <c r="O35" t="str">
        <f>ToResult(成就!O35)</f>
        <v/>
      </c>
    </row>
    <row r="36" spans="1:15">
      <c r="A36" t="str">
        <f>ToAchievement(成就!A36)</f>
        <v/>
      </c>
      <c r="B36" t="str">
        <f>ToResult(成就!B36)</f>
        <v/>
      </c>
      <c r="C36" t="str">
        <f>ToResult(成就!C36)</f>
        <v/>
      </c>
      <c r="D36" t="str">
        <f>ToResult(成就!D36)</f>
        <v/>
      </c>
      <c r="E36" t="str">
        <f>ToResult(成就!E36)</f>
        <v/>
      </c>
      <c r="F36" t="str">
        <f>ToResult(成就!F36)</f>
        <v/>
      </c>
      <c r="G36" t="str">
        <f>ToResult(成就!G36)</f>
        <v/>
      </c>
      <c r="H36" t="str">
        <f>ToResult(成就!H36)</f>
        <v/>
      </c>
      <c r="I36" t="str">
        <f>ToResult(成就!I36)</f>
        <v/>
      </c>
      <c r="J36" t="str">
        <f>ToResult(成就!J36)</f>
        <v/>
      </c>
      <c r="K36" t="str">
        <f>ToResult(成就!K36)</f>
        <v/>
      </c>
      <c r="L36" t="str">
        <f>ToResult(成就!L36)</f>
        <v/>
      </c>
      <c r="M36" t="str">
        <f>ToResult(成就!M36)</f>
        <v/>
      </c>
      <c r="N36" t="str">
        <f>ToResult(成就!N36)</f>
        <v/>
      </c>
      <c r="O36" t="str">
        <f>ToResult(成就!O36)</f>
        <v/>
      </c>
    </row>
    <row r="37" spans="1:15">
      <c r="A37" t="str">
        <f>ToAchievement(成就!A37)</f>
        <v/>
      </c>
      <c r="B37" t="str">
        <f>ToResult(成就!B37)</f>
        <v/>
      </c>
      <c r="C37" t="str">
        <f>ToResult(成就!C37)</f>
        <v/>
      </c>
      <c r="D37" t="str">
        <f>ToResult(成就!D37)</f>
        <v/>
      </c>
      <c r="E37" t="str">
        <f>ToResult(成就!E37)</f>
        <v/>
      </c>
      <c r="F37" t="str">
        <f>ToResult(成就!F37)</f>
        <v/>
      </c>
      <c r="G37" t="str">
        <f>ToResult(成就!G37)</f>
        <v/>
      </c>
      <c r="H37" t="str">
        <f>ToResult(成就!H37)</f>
        <v/>
      </c>
      <c r="I37" t="str">
        <f>ToResult(成就!I37)</f>
        <v/>
      </c>
      <c r="J37" t="str">
        <f>ToResult(成就!J37)</f>
        <v/>
      </c>
      <c r="K37" t="str">
        <f>ToResult(成就!K37)</f>
        <v/>
      </c>
      <c r="L37" t="str">
        <f>ToResult(成就!L37)</f>
        <v/>
      </c>
      <c r="M37" t="str">
        <f>ToResult(成就!M37)</f>
        <v/>
      </c>
      <c r="N37" t="str">
        <f>ToResult(成就!N37)</f>
        <v/>
      </c>
      <c r="O37" t="str">
        <f>ToResult(成就!O37)</f>
        <v/>
      </c>
    </row>
    <row r="38" spans="1:15">
      <c r="A38" t="str">
        <f>ToAchievement(成就!A38)</f>
        <v/>
      </c>
      <c r="B38" t="str">
        <f>ToResult(成就!B38)</f>
        <v/>
      </c>
      <c r="C38" t="str">
        <f>ToResult(成就!C38)</f>
        <v/>
      </c>
      <c r="D38" t="str">
        <f>ToResult(成就!D38)</f>
        <v/>
      </c>
      <c r="E38" t="str">
        <f>ToResult(成就!E38)</f>
        <v/>
      </c>
      <c r="F38" t="str">
        <f>ToResult(成就!F38)</f>
        <v/>
      </c>
      <c r="G38" t="str">
        <f>ToResult(成就!G38)</f>
        <v/>
      </c>
      <c r="H38" t="str">
        <f>ToResult(成就!H38)</f>
        <v/>
      </c>
      <c r="I38" t="str">
        <f>ToResult(成就!I38)</f>
        <v/>
      </c>
      <c r="J38" t="str">
        <f>ToResult(成就!J38)</f>
        <v/>
      </c>
      <c r="K38" t="str">
        <f>ToResult(成就!K38)</f>
        <v/>
      </c>
      <c r="L38" t="str">
        <f>ToResult(成就!L38)</f>
        <v/>
      </c>
      <c r="M38" t="str">
        <f>ToResult(成就!M38)</f>
        <v/>
      </c>
      <c r="N38" t="str">
        <f>ToResult(成就!N38)</f>
        <v/>
      </c>
      <c r="O38" t="str">
        <f>ToResult(成就!O38)</f>
        <v/>
      </c>
    </row>
    <row r="39" spans="1:15">
      <c r="A39" t="str">
        <f>ToAchievement(成就!A39)</f>
        <v/>
      </c>
      <c r="B39" t="str">
        <f>ToResult(成就!B39)</f>
        <v/>
      </c>
      <c r="C39" t="str">
        <f>ToResult(成就!C39)</f>
        <v/>
      </c>
      <c r="D39" t="str">
        <f>ToResult(成就!D39)</f>
        <v/>
      </c>
      <c r="E39" t="str">
        <f>ToResult(成就!E39)</f>
        <v/>
      </c>
      <c r="F39" t="str">
        <f>ToResult(成就!F39)</f>
        <v/>
      </c>
      <c r="G39" t="str">
        <f>ToResult(成就!G39)</f>
        <v/>
      </c>
      <c r="H39" t="str">
        <f>ToResult(成就!H39)</f>
        <v/>
      </c>
      <c r="I39" t="str">
        <f>ToResult(成就!I39)</f>
        <v/>
      </c>
      <c r="J39" t="str">
        <f>ToResult(成就!J39)</f>
        <v/>
      </c>
      <c r="K39" t="str">
        <f>ToResult(成就!K39)</f>
        <v/>
      </c>
      <c r="L39" t="str">
        <f>ToResult(成就!L39)</f>
        <v/>
      </c>
      <c r="M39" t="str">
        <f>ToResult(成就!M39)</f>
        <v/>
      </c>
      <c r="N39" t="str">
        <f>ToResult(成就!N39)</f>
        <v/>
      </c>
      <c r="O39" t="str">
        <f>ToResult(成就!O39)</f>
        <v/>
      </c>
    </row>
    <row r="40" spans="1:15">
      <c r="A40" t="str">
        <f>ToAchievement(成就!A40)</f>
        <v/>
      </c>
      <c r="B40" t="str">
        <f>ToResult(成就!B40)</f>
        <v/>
      </c>
      <c r="C40" t="str">
        <f>ToResult(成就!C40)</f>
        <v/>
      </c>
      <c r="D40" t="str">
        <f>ToResult(成就!D40)</f>
        <v/>
      </c>
      <c r="E40" t="str">
        <f>ToResult(成就!E40)</f>
        <v/>
      </c>
      <c r="F40" t="str">
        <f>ToResult(成就!F40)</f>
        <v/>
      </c>
      <c r="G40" t="str">
        <f>ToResult(成就!G40)</f>
        <v/>
      </c>
      <c r="H40" t="str">
        <f>ToResult(成就!H40)</f>
        <v/>
      </c>
      <c r="I40" t="str">
        <f>ToResult(成就!I40)</f>
        <v/>
      </c>
      <c r="J40" t="str">
        <f>ToResult(成就!J40)</f>
        <v/>
      </c>
      <c r="K40" t="str">
        <f>ToResult(成就!K40)</f>
        <v/>
      </c>
      <c r="L40" t="str">
        <f>ToResult(成就!L40)</f>
        <v/>
      </c>
      <c r="M40" t="str">
        <f>ToResult(成就!M40)</f>
        <v/>
      </c>
      <c r="N40" t="str">
        <f>ToResult(成就!N40)</f>
        <v/>
      </c>
      <c r="O40" t="str">
        <f>ToResult(成就!O40)</f>
        <v/>
      </c>
    </row>
    <row r="41" spans="1:15">
      <c r="A41" t="str">
        <f>ToAchievement(成就!A41)</f>
        <v/>
      </c>
      <c r="B41" t="str">
        <f>ToResult(成就!B41)</f>
        <v/>
      </c>
      <c r="C41" t="str">
        <f>ToResult(成就!C41)</f>
        <v/>
      </c>
      <c r="D41" t="str">
        <f>ToResult(成就!D41)</f>
        <v/>
      </c>
      <c r="E41" t="str">
        <f>ToResult(成就!E41)</f>
        <v/>
      </c>
      <c r="F41" t="str">
        <f>ToResult(成就!F41)</f>
        <v/>
      </c>
      <c r="G41" t="str">
        <f>ToResult(成就!G41)</f>
        <v/>
      </c>
      <c r="H41" t="str">
        <f>ToResult(成就!H41)</f>
        <v/>
      </c>
      <c r="I41" t="str">
        <f>ToResult(成就!I41)</f>
        <v/>
      </c>
      <c r="J41" t="str">
        <f>ToResult(成就!J41)</f>
        <v/>
      </c>
      <c r="K41" t="str">
        <f>ToResult(成就!K41)</f>
        <v/>
      </c>
      <c r="L41" t="str">
        <f>ToResult(成就!L41)</f>
        <v/>
      </c>
      <c r="M41" t="str">
        <f>ToResult(成就!M41)</f>
        <v/>
      </c>
      <c r="N41" t="str">
        <f>ToResult(成就!N41)</f>
        <v/>
      </c>
      <c r="O41" t="str">
        <f>ToResult(成就!O41)</f>
        <v/>
      </c>
    </row>
    <row r="42" spans="1:15">
      <c r="A42" t="str">
        <f>ToAchievement(成就!A42)</f>
        <v/>
      </c>
      <c r="B42" t="str">
        <f>ToResult(成就!B42)</f>
        <v/>
      </c>
      <c r="C42" t="str">
        <f>ToResult(成就!C42)</f>
        <v/>
      </c>
      <c r="D42" t="str">
        <f>ToResult(成就!D42)</f>
        <v/>
      </c>
      <c r="E42" t="str">
        <f>ToResult(成就!E42)</f>
        <v/>
      </c>
      <c r="F42" t="str">
        <f>ToResult(成就!F42)</f>
        <v/>
      </c>
      <c r="G42" t="str">
        <f>ToResult(成就!G42)</f>
        <v/>
      </c>
      <c r="H42" t="str">
        <f>ToResult(成就!H42)</f>
        <v/>
      </c>
      <c r="I42" t="str">
        <f>ToResult(成就!I42)</f>
        <v/>
      </c>
      <c r="J42" t="str">
        <f>ToResult(成就!J42)</f>
        <v/>
      </c>
      <c r="K42" t="str">
        <f>ToResult(成就!K42)</f>
        <v/>
      </c>
      <c r="L42" t="str">
        <f>ToResult(成就!L42)</f>
        <v/>
      </c>
      <c r="M42" t="str">
        <f>ToResult(成就!M42)</f>
        <v/>
      </c>
      <c r="N42" t="str">
        <f>ToResult(成就!N42)</f>
        <v/>
      </c>
      <c r="O42" t="str">
        <f>ToResult(成就!O42)</f>
        <v/>
      </c>
    </row>
    <row r="43" spans="1:15">
      <c r="A43" t="str">
        <f>ToAchievement(成就!A43)</f>
        <v/>
      </c>
      <c r="B43" t="str">
        <f>ToResult(成就!B43)</f>
        <v/>
      </c>
      <c r="C43" t="str">
        <f>ToResult(成就!C43)</f>
        <v/>
      </c>
      <c r="D43" t="str">
        <f>ToResult(成就!D43)</f>
        <v/>
      </c>
      <c r="E43" t="str">
        <f>ToResult(成就!E43)</f>
        <v/>
      </c>
      <c r="F43" t="str">
        <f>ToResult(成就!F43)</f>
        <v/>
      </c>
      <c r="G43" t="str">
        <f>ToResult(成就!G43)</f>
        <v/>
      </c>
      <c r="H43" t="str">
        <f>ToResult(成就!H43)</f>
        <v/>
      </c>
      <c r="I43" t="str">
        <f>ToResult(成就!I43)</f>
        <v/>
      </c>
      <c r="J43" t="str">
        <f>ToResult(成就!J43)</f>
        <v/>
      </c>
      <c r="K43" t="str">
        <f>ToResult(成就!K43)</f>
        <v/>
      </c>
      <c r="L43" t="str">
        <f>ToResult(成就!L43)</f>
        <v/>
      </c>
      <c r="M43" t="str">
        <f>ToResult(成就!M43)</f>
        <v/>
      </c>
      <c r="N43" t="str">
        <f>ToResult(成就!N43)</f>
        <v/>
      </c>
      <c r="O43" t="str">
        <f>ToResult(成就!O43)</f>
        <v/>
      </c>
    </row>
    <row r="44" spans="1:15">
      <c r="A44" t="str">
        <f>ToAchievement(成就!A44)</f>
        <v/>
      </c>
      <c r="B44" t="str">
        <f>ToResult(成就!B44)</f>
        <v/>
      </c>
      <c r="C44" t="str">
        <f>ToResult(成就!C44)</f>
        <v/>
      </c>
      <c r="D44" t="str">
        <f>ToResult(成就!D44)</f>
        <v/>
      </c>
      <c r="E44" t="str">
        <f>ToResult(成就!E44)</f>
        <v/>
      </c>
      <c r="F44" t="str">
        <f>ToResult(成就!F44)</f>
        <v/>
      </c>
      <c r="G44" t="str">
        <f>ToResult(成就!G44)</f>
        <v/>
      </c>
      <c r="H44" t="str">
        <f>ToResult(成就!H44)</f>
        <v/>
      </c>
      <c r="I44" t="str">
        <f>ToResult(成就!I44)</f>
        <v/>
      </c>
      <c r="J44" t="str">
        <f>ToResult(成就!J44)</f>
        <v/>
      </c>
      <c r="K44" t="str">
        <f>ToResult(成就!K44)</f>
        <v/>
      </c>
      <c r="L44" t="str">
        <f>ToResult(成就!L44)</f>
        <v/>
      </c>
      <c r="M44" t="str">
        <f>ToResult(成就!M44)</f>
        <v/>
      </c>
      <c r="N44" t="str">
        <f>ToResult(成就!N44)</f>
        <v/>
      </c>
      <c r="O44" t="str">
        <f>ToResult(成就!O44)</f>
        <v/>
      </c>
    </row>
    <row r="45" spans="1:15">
      <c r="A45" t="str">
        <f>ToAchievement(成就!A45)</f>
        <v/>
      </c>
      <c r="B45" t="str">
        <f>ToResult(成就!B45)</f>
        <v/>
      </c>
      <c r="C45" t="str">
        <f>ToResult(成就!C45)</f>
        <v/>
      </c>
      <c r="D45" t="str">
        <f>ToResult(成就!D45)</f>
        <v/>
      </c>
      <c r="E45" t="str">
        <f>ToResult(成就!E45)</f>
        <v/>
      </c>
      <c r="F45" t="str">
        <f>ToResult(成就!F45)</f>
        <v/>
      </c>
      <c r="G45" t="str">
        <f>ToResult(成就!G45)</f>
        <v/>
      </c>
      <c r="H45" t="str">
        <f>ToResult(成就!H45)</f>
        <v/>
      </c>
      <c r="I45" t="str">
        <f>ToResult(成就!I45)</f>
        <v/>
      </c>
      <c r="J45" t="str">
        <f>ToResult(成就!J45)</f>
        <v/>
      </c>
      <c r="K45" t="str">
        <f>ToResult(成就!K45)</f>
        <v/>
      </c>
      <c r="L45" t="str">
        <f>ToResult(成就!L45)</f>
        <v/>
      </c>
      <c r="M45" t="str">
        <f>ToResult(成就!M45)</f>
        <v/>
      </c>
      <c r="N45" t="str">
        <f>ToResult(成就!N45)</f>
        <v/>
      </c>
      <c r="O45" t="str">
        <f>ToResult(成就!O45)</f>
        <v/>
      </c>
    </row>
    <row r="46" spans="1:15">
      <c r="A46" t="str">
        <f>ToAchievement(成就!A46)</f>
        <v/>
      </c>
      <c r="B46" t="str">
        <f>ToResult(成就!B46)</f>
        <v/>
      </c>
      <c r="C46" t="str">
        <f>ToResult(成就!C46)</f>
        <v/>
      </c>
      <c r="D46" t="str">
        <f>ToResult(成就!D46)</f>
        <v/>
      </c>
      <c r="E46" t="str">
        <f>ToResult(成就!E46)</f>
        <v/>
      </c>
      <c r="F46" t="str">
        <f>ToResult(成就!F46)</f>
        <v/>
      </c>
      <c r="G46" t="str">
        <f>ToResult(成就!G46)</f>
        <v/>
      </c>
      <c r="H46" t="str">
        <f>ToResult(成就!H46)</f>
        <v/>
      </c>
      <c r="I46" t="str">
        <f>ToResult(成就!I46)</f>
        <v/>
      </c>
      <c r="J46" t="str">
        <f>ToResult(成就!J46)</f>
        <v/>
      </c>
      <c r="K46" t="str">
        <f>ToResult(成就!K46)</f>
        <v/>
      </c>
      <c r="L46" t="str">
        <f>ToResult(成就!L46)</f>
        <v/>
      </c>
      <c r="M46" t="str">
        <f>ToResult(成就!M46)</f>
        <v/>
      </c>
      <c r="N46" t="str">
        <f>ToResult(成就!N46)</f>
        <v/>
      </c>
      <c r="O46" t="str">
        <f>ToResult(成就!O46)</f>
        <v/>
      </c>
    </row>
    <row r="47" spans="1:15">
      <c r="A47" t="str">
        <f>ToAchievement(成就!A47)</f>
        <v/>
      </c>
      <c r="B47" t="str">
        <f>ToResult(成就!B47)</f>
        <v/>
      </c>
      <c r="C47" t="str">
        <f>ToResult(成就!C47)</f>
        <v/>
      </c>
      <c r="D47" t="str">
        <f>ToResult(成就!D47)</f>
        <v/>
      </c>
      <c r="E47" t="str">
        <f>ToResult(成就!E47)</f>
        <v/>
      </c>
      <c r="F47" t="str">
        <f>ToResult(成就!F47)</f>
        <v/>
      </c>
      <c r="G47" t="str">
        <f>ToResult(成就!G47)</f>
        <v/>
      </c>
      <c r="H47" t="str">
        <f>ToResult(成就!H47)</f>
        <v/>
      </c>
      <c r="I47" t="str">
        <f>ToResult(成就!I47)</f>
        <v/>
      </c>
      <c r="J47" t="str">
        <f>ToResult(成就!J47)</f>
        <v/>
      </c>
      <c r="K47" t="str">
        <f>ToResult(成就!K47)</f>
        <v/>
      </c>
      <c r="L47" t="str">
        <f>ToResult(成就!L47)</f>
        <v/>
      </c>
      <c r="M47" t="str">
        <f>ToResult(成就!M47)</f>
        <v/>
      </c>
      <c r="N47" t="str">
        <f>ToResult(成就!N47)</f>
        <v/>
      </c>
      <c r="O47" t="str">
        <f>ToResult(成就!O47)</f>
        <v/>
      </c>
    </row>
    <row r="48" spans="1:15">
      <c r="A48" t="str">
        <f>ToAchievement(成就!A48)</f>
        <v/>
      </c>
      <c r="B48" t="str">
        <f>ToResult(成就!B48)</f>
        <v/>
      </c>
      <c r="C48" t="str">
        <f>ToResult(成就!C48)</f>
        <v/>
      </c>
      <c r="D48" t="str">
        <f>ToResult(成就!D48)</f>
        <v/>
      </c>
      <c r="E48" t="str">
        <f>ToResult(成就!E48)</f>
        <v/>
      </c>
      <c r="F48" t="str">
        <f>ToResult(成就!F48)</f>
        <v/>
      </c>
      <c r="G48" t="str">
        <f>ToResult(成就!G48)</f>
        <v/>
      </c>
      <c r="H48" t="str">
        <f>ToResult(成就!H48)</f>
        <v/>
      </c>
      <c r="I48" t="str">
        <f>ToResult(成就!I48)</f>
        <v/>
      </c>
      <c r="J48" t="str">
        <f>ToResult(成就!J48)</f>
        <v/>
      </c>
      <c r="K48" t="str">
        <f>ToResult(成就!K48)</f>
        <v/>
      </c>
      <c r="L48" t="str">
        <f>ToResult(成就!L48)</f>
        <v/>
      </c>
      <c r="M48" t="str">
        <f>ToResult(成就!M48)</f>
        <v/>
      </c>
      <c r="N48" t="str">
        <f>ToResult(成就!N48)</f>
        <v/>
      </c>
      <c r="O48" t="str">
        <f>ToResult(成就!O48)</f>
        <v/>
      </c>
    </row>
    <row r="49" spans="1:15">
      <c r="A49" t="str">
        <f>ToAchievement(成就!A49)</f>
        <v/>
      </c>
      <c r="B49" t="str">
        <f>ToResult(成就!B49)</f>
        <v/>
      </c>
      <c r="C49" t="str">
        <f>ToResult(成就!C49)</f>
        <v/>
      </c>
      <c r="D49" t="str">
        <f>ToResult(成就!D49)</f>
        <v/>
      </c>
      <c r="E49" t="str">
        <f>ToResult(成就!E49)</f>
        <v/>
      </c>
      <c r="F49" t="str">
        <f>ToResult(成就!F49)</f>
        <v/>
      </c>
      <c r="G49" t="str">
        <f>ToResult(成就!G49)</f>
        <v/>
      </c>
      <c r="H49" t="str">
        <f>ToResult(成就!H49)</f>
        <v/>
      </c>
      <c r="I49" t="str">
        <f>ToResult(成就!I49)</f>
        <v/>
      </c>
      <c r="J49" t="str">
        <f>ToResult(成就!J49)</f>
        <v/>
      </c>
      <c r="K49" t="str">
        <f>ToResult(成就!K49)</f>
        <v/>
      </c>
      <c r="L49" t="str">
        <f>ToResult(成就!L49)</f>
        <v/>
      </c>
      <c r="M49" t="str">
        <f>ToResult(成就!M49)</f>
        <v/>
      </c>
      <c r="N49" t="str">
        <f>ToResult(成就!N49)</f>
        <v/>
      </c>
      <c r="O49" t="str">
        <f>ToResult(成就!O49)</f>
        <v/>
      </c>
    </row>
    <row r="50" spans="1:15">
      <c r="A50" t="str">
        <f>ToAchievement(成就!A50)</f>
        <v/>
      </c>
      <c r="B50" t="str">
        <f>ToResult(成就!B50)</f>
        <v/>
      </c>
      <c r="C50" t="str">
        <f>ToResult(成就!C50)</f>
        <v/>
      </c>
      <c r="D50" t="str">
        <f>ToResult(成就!D50)</f>
        <v/>
      </c>
      <c r="E50" t="str">
        <f>ToResult(成就!E50)</f>
        <v/>
      </c>
      <c r="F50" t="str">
        <f>ToResult(成就!F50)</f>
        <v/>
      </c>
      <c r="G50" t="str">
        <f>ToResult(成就!G50)</f>
        <v/>
      </c>
      <c r="H50" t="str">
        <f>ToResult(成就!H50)</f>
        <v/>
      </c>
      <c r="I50" t="str">
        <f>ToResult(成就!I50)</f>
        <v/>
      </c>
      <c r="J50" t="str">
        <f>ToResult(成就!J50)</f>
        <v/>
      </c>
      <c r="K50" t="str">
        <f>ToResult(成就!K50)</f>
        <v/>
      </c>
      <c r="L50" t="str">
        <f>ToResult(成就!L50)</f>
        <v/>
      </c>
      <c r="M50" t="str">
        <f>ToResult(成就!M50)</f>
        <v/>
      </c>
      <c r="N50" t="str">
        <f>ToResult(成就!N50)</f>
        <v/>
      </c>
      <c r="O50" t="str">
        <f>ToResult(成就!O50)</f>
        <v/>
      </c>
    </row>
    <row r="51" spans="1:15">
      <c r="A51" t="str">
        <f>ToAchievement(成就!A51)</f>
        <v/>
      </c>
      <c r="B51" t="str">
        <f>ToResult(成就!B51)</f>
        <v/>
      </c>
      <c r="C51" t="str">
        <f>ToResult(成就!C51)</f>
        <v/>
      </c>
      <c r="D51" t="str">
        <f>ToResult(成就!D51)</f>
        <v/>
      </c>
      <c r="E51" t="str">
        <f>ToResult(成就!E51)</f>
        <v/>
      </c>
      <c r="F51" t="str">
        <f>ToResult(成就!F51)</f>
        <v/>
      </c>
      <c r="G51" t="str">
        <f>ToResult(成就!G51)</f>
        <v/>
      </c>
      <c r="H51" t="str">
        <f>ToResult(成就!H51)</f>
        <v/>
      </c>
      <c r="I51" t="str">
        <f>ToResult(成就!I51)</f>
        <v/>
      </c>
      <c r="J51" t="str">
        <f>ToResult(成就!J51)</f>
        <v/>
      </c>
      <c r="K51" t="str">
        <f>ToResult(成就!K51)</f>
        <v/>
      </c>
      <c r="L51" t="str">
        <f>ToResult(成就!L51)</f>
        <v/>
      </c>
      <c r="M51" t="str">
        <f>ToResult(成就!M51)</f>
        <v/>
      </c>
      <c r="N51" t="str">
        <f>ToResult(成就!N51)</f>
        <v/>
      </c>
      <c r="O51" t="str">
        <f>ToResult(成就!O51)</f>
        <v/>
      </c>
    </row>
    <row r="52" spans="1:15">
      <c r="A52" t="str">
        <f>ToAchievement(成就!A52)</f>
        <v/>
      </c>
      <c r="B52" t="str">
        <f>ToResult(成就!B52)</f>
        <v/>
      </c>
      <c r="C52" t="str">
        <f>ToResult(成就!C52)</f>
        <v/>
      </c>
      <c r="D52" t="str">
        <f>ToResult(成就!D52)</f>
        <v/>
      </c>
      <c r="E52" t="str">
        <f>ToResult(成就!E52)</f>
        <v/>
      </c>
      <c r="F52" t="str">
        <f>ToResult(成就!F52)</f>
        <v/>
      </c>
      <c r="G52" t="str">
        <f>ToResult(成就!G52)</f>
        <v/>
      </c>
      <c r="H52" t="str">
        <f>ToResult(成就!H52)</f>
        <v/>
      </c>
      <c r="I52" t="str">
        <f>ToResult(成就!I52)</f>
        <v/>
      </c>
      <c r="J52" t="str">
        <f>ToResult(成就!J52)</f>
        <v/>
      </c>
      <c r="K52" t="str">
        <f>ToResult(成就!K52)</f>
        <v/>
      </c>
      <c r="L52" t="str">
        <f>ToResult(成就!L52)</f>
        <v/>
      </c>
      <c r="M52" t="str">
        <f>ToResult(成就!M52)</f>
        <v/>
      </c>
      <c r="N52" t="str">
        <f>ToResult(成就!N52)</f>
        <v/>
      </c>
      <c r="O52" t="str">
        <f>ToResult(成就!O52)</f>
        <v/>
      </c>
    </row>
    <row r="53" spans="1:15">
      <c r="A53" t="str">
        <f>ToAchievement(成就!A53)</f>
        <v/>
      </c>
      <c r="B53" t="str">
        <f>ToResult(成就!B53)</f>
        <v/>
      </c>
      <c r="C53" t="str">
        <f>ToResult(成就!C53)</f>
        <v/>
      </c>
      <c r="D53" t="str">
        <f>ToResult(成就!D53)</f>
        <v/>
      </c>
      <c r="E53" t="str">
        <f>ToResult(成就!E53)</f>
        <v/>
      </c>
      <c r="F53" t="str">
        <f>ToResult(成就!F53)</f>
        <v/>
      </c>
      <c r="G53" t="str">
        <f>ToResult(成就!G53)</f>
        <v/>
      </c>
      <c r="H53" t="str">
        <f>ToResult(成就!H53)</f>
        <v/>
      </c>
      <c r="I53" t="str">
        <f>ToResult(成就!I53)</f>
        <v/>
      </c>
      <c r="J53" t="str">
        <f>ToResult(成就!J53)</f>
        <v/>
      </c>
      <c r="K53" t="str">
        <f>ToResult(成就!K53)</f>
        <v/>
      </c>
      <c r="L53" t="str">
        <f>ToResult(成就!L53)</f>
        <v/>
      </c>
      <c r="M53" t="str">
        <f>ToResult(成就!M53)</f>
        <v/>
      </c>
      <c r="N53" t="str">
        <f>ToResult(成就!N53)</f>
        <v/>
      </c>
      <c r="O53" t="str">
        <f>ToResult(成就!O53)</f>
        <v/>
      </c>
    </row>
    <row r="54" spans="1:15">
      <c r="A54" t="str">
        <f>ToAchievement(成就!A54)</f>
        <v/>
      </c>
      <c r="B54" t="str">
        <f>ToResult(成就!B54)</f>
        <v/>
      </c>
      <c r="C54" t="str">
        <f>ToResult(成就!C54)</f>
        <v/>
      </c>
      <c r="D54" t="str">
        <f>ToResult(成就!D54)</f>
        <v/>
      </c>
      <c r="E54" t="str">
        <f>ToResult(成就!E54)</f>
        <v/>
      </c>
      <c r="F54" t="str">
        <f>ToResult(成就!F54)</f>
        <v/>
      </c>
      <c r="G54" t="str">
        <f>ToResult(成就!G54)</f>
        <v/>
      </c>
      <c r="H54" t="str">
        <f>ToResult(成就!H54)</f>
        <v/>
      </c>
      <c r="I54" t="str">
        <f>ToResult(成就!I54)</f>
        <v/>
      </c>
      <c r="J54" t="str">
        <f>ToResult(成就!J54)</f>
        <v/>
      </c>
      <c r="K54" t="str">
        <f>ToResult(成就!K54)</f>
        <v/>
      </c>
      <c r="L54" t="str">
        <f>ToResult(成就!L54)</f>
        <v/>
      </c>
      <c r="M54" t="str">
        <f>ToResult(成就!M54)</f>
        <v/>
      </c>
      <c r="N54" t="str">
        <f>ToResult(成就!N54)</f>
        <v/>
      </c>
      <c r="O54" t="str">
        <f>ToResult(成就!O54)</f>
        <v/>
      </c>
    </row>
    <row r="55" spans="1:15">
      <c r="A55" t="str">
        <f>ToAchievement(成就!A55)</f>
        <v/>
      </c>
      <c r="B55" t="str">
        <f>ToResult(成就!B55)</f>
        <v/>
      </c>
      <c r="C55" t="str">
        <f>ToResult(成就!C55)</f>
        <v/>
      </c>
      <c r="D55" t="str">
        <f>ToResult(成就!D55)</f>
        <v/>
      </c>
      <c r="E55" t="str">
        <f>ToResult(成就!E55)</f>
        <v/>
      </c>
      <c r="F55" t="str">
        <f>ToResult(成就!F55)</f>
        <v/>
      </c>
      <c r="G55" t="str">
        <f>ToResult(成就!G55)</f>
        <v/>
      </c>
      <c r="H55" t="str">
        <f>ToResult(成就!H55)</f>
        <v/>
      </c>
      <c r="I55" t="str">
        <f>ToResult(成就!I55)</f>
        <v/>
      </c>
      <c r="J55" t="str">
        <f>ToResult(成就!J55)</f>
        <v/>
      </c>
      <c r="K55" t="str">
        <f>ToResult(成就!K55)</f>
        <v/>
      </c>
      <c r="L55" t="str">
        <f>ToResult(成就!L55)</f>
        <v/>
      </c>
      <c r="M55" t="str">
        <f>ToResult(成就!M55)</f>
        <v/>
      </c>
      <c r="N55" t="str">
        <f>ToResult(成就!N55)</f>
        <v/>
      </c>
      <c r="O55" t="str">
        <f>ToResult(成就!O55)</f>
        <v/>
      </c>
    </row>
    <row r="56" spans="1:15">
      <c r="A56" t="str">
        <f>ToAchievement(成就!A56)</f>
        <v/>
      </c>
      <c r="B56" t="str">
        <f>ToResult(成就!B56)</f>
        <v/>
      </c>
      <c r="C56" t="str">
        <f>ToResult(成就!C56)</f>
        <v/>
      </c>
      <c r="D56" t="str">
        <f>ToResult(成就!D56)</f>
        <v/>
      </c>
      <c r="E56" t="str">
        <f>ToResult(成就!E56)</f>
        <v/>
      </c>
      <c r="F56" t="str">
        <f>ToResult(成就!F56)</f>
        <v/>
      </c>
      <c r="G56" t="str">
        <f>ToResult(成就!G56)</f>
        <v/>
      </c>
      <c r="H56" t="str">
        <f>ToResult(成就!H56)</f>
        <v/>
      </c>
      <c r="I56" t="str">
        <f>ToResult(成就!I56)</f>
        <v/>
      </c>
      <c r="J56" t="str">
        <f>ToResult(成就!J56)</f>
        <v/>
      </c>
      <c r="K56" t="str">
        <f>ToResult(成就!K56)</f>
        <v/>
      </c>
      <c r="L56" t="str">
        <f>ToResult(成就!L56)</f>
        <v/>
      </c>
      <c r="M56" t="str">
        <f>ToResult(成就!M56)</f>
        <v/>
      </c>
      <c r="N56" t="str">
        <f>ToResult(成就!N56)</f>
        <v/>
      </c>
      <c r="O56" t="str">
        <f>ToResult(成就!O56)</f>
        <v/>
      </c>
    </row>
    <row r="57" spans="1:15">
      <c r="A57" t="str">
        <f>ToAchievement(成就!A57)</f>
        <v/>
      </c>
      <c r="B57" t="str">
        <f>ToResult(成就!B57)</f>
        <v/>
      </c>
      <c r="C57" t="str">
        <f>ToResult(成就!C57)</f>
        <v/>
      </c>
      <c r="D57" t="str">
        <f>ToResult(成就!D57)</f>
        <v/>
      </c>
      <c r="E57" t="str">
        <f>ToResult(成就!E57)</f>
        <v/>
      </c>
      <c r="F57" t="str">
        <f>ToResult(成就!F57)</f>
        <v/>
      </c>
      <c r="G57" t="str">
        <f>ToResult(成就!G57)</f>
        <v/>
      </c>
      <c r="H57" t="str">
        <f>ToResult(成就!H57)</f>
        <v/>
      </c>
      <c r="I57" t="str">
        <f>ToResult(成就!I57)</f>
        <v/>
      </c>
      <c r="J57" t="str">
        <f>ToResult(成就!J57)</f>
        <v/>
      </c>
      <c r="K57" t="str">
        <f>ToResult(成就!K57)</f>
        <v/>
      </c>
      <c r="L57" t="str">
        <f>ToResult(成就!L57)</f>
        <v/>
      </c>
      <c r="M57" t="str">
        <f>ToResult(成就!M57)</f>
        <v/>
      </c>
      <c r="N57" t="str">
        <f>ToResult(成就!N57)</f>
        <v/>
      </c>
      <c r="O57" t="str">
        <f>ToResult(成就!O57)</f>
        <v/>
      </c>
    </row>
    <row r="58" spans="1:15">
      <c r="A58" t="str">
        <f>ToAchievement(成就!A58)</f>
        <v/>
      </c>
      <c r="B58" t="str">
        <f>ToResult(成就!B58)</f>
        <v/>
      </c>
      <c r="C58" t="str">
        <f>ToResult(成就!C58)</f>
        <v/>
      </c>
      <c r="D58" t="str">
        <f>ToResult(成就!D58)</f>
        <v/>
      </c>
      <c r="E58" t="str">
        <f>ToResult(成就!E58)</f>
        <v/>
      </c>
      <c r="F58" t="str">
        <f>ToResult(成就!F58)</f>
        <v/>
      </c>
      <c r="G58" t="str">
        <f>ToResult(成就!G58)</f>
        <v/>
      </c>
      <c r="H58" t="str">
        <f>ToResult(成就!H58)</f>
        <v/>
      </c>
      <c r="I58" t="str">
        <f>ToResult(成就!I58)</f>
        <v/>
      </c>
      <c r="J58" t="str">
        <f>ToResult(成就!J58)</f>
        <v/>
      </c>
      <c r="K58" t="str">
        <f>ToResult(成就!K58)</f>
        <v/>
      </c>
      <c r="L58" t="str">
        <f>ToResult(成就!L58)</f>
        <v/>
      </c>
      <c r="M58" t="str">
        <f>ToResult(成就!M58)</f>
        <v/>
      </c>
      <c r="N58" t="str">
        <f>ToResult(成就!N58)</f>
        <v/>
      </c>
      <c r="O58" t="str">
        <f>ToResult(成就!O58)</f>
        <v/>
      </c>
    </row>
    <row r="59" spans="1:15">
      <c r="A59" t="str">
        <f>ToAchievement(成就!A59)</f>
        <v/>
      </c>
      <c r="B59" t="str">
        <f>ToResult(成就!B59)</f>
        <v/>
      </c>
      <c r="C59" t="str">
        <f>ToResult(成就!C59)</f>
        <v/>
      </c>
      <c r="D59" t="str">
        <f>ToResult(成就!D59)</f>
        <v/>
      </c>
      <c r="E59" t="str">
        <f>ToResult(成就!E59)</f>
        <v/>
      </c>
      <c r="F59" t="str">
        <f>ToResult(成就!F59)</f>
        <v/>
      </c>
      <c r="G59" t="str">
        <f>ToResult(成就!G59)</f>
        <v/>
      </c>
      <c r="H59" t="str">
        <f>ToResult(成就!H59)</f>
        <v/>
      </c>
      <c r="I59" t="str">
        <f>ToResult(成就!I59)</f>
        <v/>
      </c>
      <c r="J59" t="str">
        <f>ToResult(成就!J59)</f>
        <v/>
      </c>
      <c r="K59" t="str">
        <f>ToResult(成就!K59)</f>
        <v/>
      </c>
      <c r="L59" t="str">
        <f>ToResult(成就!L59)</f>
        <v/>
      </c>
      <c r="M59" t="str">
        <f>ToResult(成就!M59)</f>
        <v/>
      </c>
      <c r="N59" t="str">
        <f>ToResult(成就!N59)</f>
        <v/>
      </c>
      <c r="O59" t="str">
        <f>ToResult(成就!O59)</f>
        <v/>
      </c>
    </row>
    <row r="60" spans="1:15">
      <c r="A60" t="str">
        <f>ToAchievement(成就!A60)</f>
        <v/>
      </c>
      <c r="B60" t="str">
        <f>ToResult(成就!B60)</f>
        <v/>
      </c>
      <c r="C60" t="str">
        <f>ToResult(成就!C60)</f>
        <v/>
      </c>
      <c r="D60" t="str">
        <f>ToResult(成就!D60)</f>
        <v/>
      </c>
      <c r="E60" t="str">
        <f>ToResult(成就!E60)</f>
        <v/>
      </c>
      <c r="F60" t="str">
        <f>ToResult(成就!F60)</f>
        <v/>
      </c>
      <c r="G60" t="str">
        <f>ToResult(成就!G60)</f>
        <v/>
      </c>
      <c r="H60" t="str">
        <f>ToResult(成就!H60)</f>
        <v/>
      </c>
      <c r="I60" t="str">
        <f>ToResult(成就!I60)</f>
        <v/>
      </c>
      <c r="J60" t="str">
        <f>ToResult(成就!J60)</f>
        <v/>
      </c>
      <c r="K60" t="str">
        <f>ToResult(成就!K60)</f>
        <v/>
      </c>
      <c r="L60" t="str">
        <f>ToResult(成就!L60)</f>
        <v/>
      </c>
      <c r="M60" t="str">
        <f>ToResult(成就!M60)</f>
        <v/>
      </c>
      <c r="N60" t="str">
        <f>ToResult(成就!N60)</f>
        <v/>
      </c>
      <c r="O60" t="str">
        <f>ToResult(成就!O60)</f>
        <v/>
      </c>
    </row>
    <row r="61" spans="1:15">
      <c r="A61" t="str">
        <f>ToAchievement(成就!A61)</f>
        <v/>
      </c>
      <c r="B61" t="str">
        <f>ToResult(成就!B61)</f>
        <v/>
      </c>
      <c r="C61" t="str">
        <f>ToResult(成就!C61)</f>
        <v/>
      </c>
      <c r="D61" t="str">
        <f>ToResult(成就!D61)</f>
        <v/>
      </c>
      <c r="E61" t="str">
        <f>ToResult(成就!E61)</f>
        <v/>
      </c>
      <c r="F61" t="str">
        <f>ToResult(成就!F61)</f>
        <v/>
      </c>
      <c r="G61" t="str">
        <f>ToResult(成就!G61)</f>
        <v/>
      </c>
      <c r="H61" t="str">
        <f>ToResult(成就!H61)</f>
        <v/>
      </c>
      <c r="I61" t="str">
        <f>ToResult(成就!I61)</f>
        <v/>
      </c>
      <c r="J61" t="str">
        <f>ToResult(成就!J61)</f>
        <v/>
      </c>
      <c r="K61" t="str">
        <f>ToResult(成就!K61)</f>
        <v/>
      </c>
      <c r="L61" t="str">
        <f>ToResult(成就!L61)</f>
        <v/>
      </c>
      <c r="M61" t="str">
        <f>ToResult(成就!M61)</f>
        <v/>
      </c>
      <c r="N61" t="str">
        <f>ToResult(成就!N61)</f>
        <v/>
      </c>
      <c r="O61" t="str">
        <f>ToResult(成就!O61)</f>
        <v/>
      </c>
    </row>
    <row r="62" spans="1:15">
      <c r="A62" t="str">
        <f>ToAchievement(成就!A62)</f>
        <v/>
      </c>
      <c r="B62" t="str">
        <f>ToResult(成就!B62)</f>
        <v/>
      </c>
      <c r="C62" t="str">
        <f>ToResult(成就!C62)</f>
        <v/>
      </c>
      <c r="D62" t="str">
        <f>ToResult(成就!D62)</f>
        <v/>
      </c>
      <c r="E62" t="str">
        <f>ToResult(成就!E62)</f>
        <v/>
      </c>
      <c r="F62" t="str">
        <f>ToResult(成就!F62)</f>
        <v/>
      </c>
      <c r="G62" t="str">
        <f>ToResult(成就!G62)</f>
        <v/>
      </c>
      <c r="H62" t="str">
        <f>ToResult(成就!H62)</f>
        <v/>
      </c>
      <c r="I62" t="str">
        <f>ToResult(成就!I62)</f>
        <v/>
      </c>
      <c r="J62" t="str">
        <f>ToResult(成就!J62)</f>
        <v/>
      </c>
      <c r="K62" t="str">
        <f>ToResult(成就!K62)</f>
        <v/>
      </c>
      <c r="L62" t="str">
        <f>ToResult(成就!L62)</f>
        <v/>
      </c>
      <c r="M62" t="str">
        <f>ToResult(成就!M62)</f>
        <v/>
      </c>
      <c r="N62" t="str">
        <f>ToResult(成就!N62)</f>
        <v/>
      </c>
      <c r="O62" t="str">
        <f>ToResult(成就!O62)</f>
        <v/>
      </c>
    </row>
    <row r="63" spans="1:15">
      <c r="A63" t="str">
        <f>ToAchievement(成就!A63)</f>
        <v/>
      </c>
      <c r="B63" t="str">
        <f>ToResult(成就!B63)</f>
        <v/>
      </c>
      <c r="C63" t="str">
        <f>ToResult(成就!C63)</f>
        <v/>
      </c>
      <c r="D63" t="str">
        <f>ToResult(成就!D63)</f>
        <v/>
      </c>
      <c r="E63" t="str">
        <f>ToResult(成就!E63)</f>
        <v/>
      </c>
      <c r="F63" t="str">
        <f>ToResult(成就!F63)</f>
        <v/>
      </c>
      <c r="G63" t="str">
        <f>ToResult(成就!G63)</f>
        <v/>
      </c>
      <c r="H63" t="str">
        <f>ToResult(成就!H63)</f>
        <v/>
      </c>
      <c r="I63" t="str">
        <f>ToResult(成就!I63)</f>
        <v/>
      </c>
      <c r="J63" t="str">
        <f>ToResult(成就!J63)</f>
        <v/>
      </c>
      <c r="K63" t="str">
        <f>ToResult(成就!K63)</f>
        <v/>
      </c>
      <c r="L63" t="str">
        <f>ToResult(成就!L63)</f>
        <v/>
      </c>
      <c r="M63" t="str">
        <f>ToResult(成就!M63)</f>
        <v/>
      </c>
      <c r="N63" t="str">
        <f>ToResult(成就!N63)</f>
        <v/>
      </c>
      <c r="O63" t="str">
        <f>ToResult(成就!O63)</f>
        <v/>
      </c>
    </row>
    <row r="64" spans="1:15">
      <c r="A64" t="str">
        <f>ToAchievement(成就!A64)</f>
        <v/>
      </c>
      <c r="B64" t="str">
        <f>ToResult(成就!B64)</f>
        <v/>
      </c>
      <c r="C64" t="str">
        <f>ToResult(成就!C64)</f>
        <v/>
      </c>
      <c r="D64" t="str">
        <f>ToResult(成就!D64)</f>
        <v/>
      </c>
      <c r="E64" t="str">
        <f>ToResult(成就!E64)</f>
        <v/>
      </c>
      <c r="F64" t="str">
        <f>ToResult(成就!F64)</f>
        <v/>
      </c>
      <c r="G64" t="str">
        <f>ToResult(成就!G64)</f>
        <v/>
      </c>
      <c r="H64" t="str">
        <f>ToResult(成就!H64)</f>
        <v/>
      </c>
      <c r="I64" t="str">
        <f>ToResult(成就!I64)</f>
        <v/>
      </c>
      <c r="J64" t="str">
        <f>ToResult(成就!J64)</f>
        <v/>
      </c>
      <c r="K64" t="str">
        <f>ToResult(成就!K64)</f>
        <v/>
      </c>
      <c r="L64" t="str">
        <f>ToResult(成就!L64)</f>
        <v/>
      </c>
      <c r="M64" t="str">
        <f>ToResult(成就!M64)</f>
        <v/>
      </c>
      <c r="N64" t="str">
        <f>ToResult(成就!N64)</f>
        <v/>
      </c>
      <c r="O64" t="str">
        <f>ToResult(成就!O64)</f>
        <v/>
      </c>
    </row>
    <row r="65" spans="1:15">
      <c r="A65" t="str">
        <f>ToAchievement(成就!A65)</f>
        <v/>
      </c>
      <c r="B65" t="str">
        <f>ToResult(成就!B65)</f>
        <v/>
      </c>
      <c r="C65" t="str">
        <f>ToResult(成就!C65)</f>
        <v/>
      </c>
      <c r="D65" t="str">
        <f>ToResult(成就!D65)</f>
        <v/>
      </c>
      <c r="E65" t="str">
        <f>ToResult(成就!E65)</f>
        <v/>
      </c>
      <c r="F65" t="str">
        <f>ToResult(成就!F65)</f>
        <v/>
      </c>
      <c r="G65" t="str">
        <f>ToResult(成就!G65)</f>
        <v/>
      </c>
      <c r="H65" t="str">
        <f>ToResult(成就!H65)</f>
        <v/>
      </c>
      <c r="I65" t="str">
        <f>ToResult(成就!I65)</f>
        <v/>
      </c>
      <c r="J65" t="str">
        <f>ToResult(成就!J65)</f>
        <v/>
      </c>
      <c r="K65" t="str">
        <f>ToResult(成就!K65)</f>
        <v/>
      </c>
      <c r="L65" t="str">
        <f>ToResult(成就!L65)</f>
        <v/>
      </c>
      <c r="M65" t="str">
        <f>ToResult(成就!M65)</f>
        <v/>
      </c>
      <c r="N65" t="str">
        <f>ToResult(成就!N65)</f>
        <v/>
      </c>
      <c r="O65" t="str">
        <f>ToResult(成就!O65)</f>
        <v/>
      </c>
    </row>
    <row r="66" spans="1:15">
      <c r="A66" t="str">
        <f>ToAchievement(成就!A66)</f>
        <v/>
      </c>
      <c r="B66" t="str">
        <f>ToResult(成就!B66)</f>
        <v/>
      </c>
      <c r="C66" t="str">
        <f>ToResult(成就!C66)</f>
        <v/>
      </c>
      <c r="D66" t="str">
        <f>ToResult(成就!D66)</f>
        <v/>
      </c>
      <c r="E66" t="str">
        <f>ToResult(成就!E66)</f>
        <v/>
      </c>
      <c r="F66" t="str">
        <f>ToResult(成就!F66)</f>
        <v/>
      </c>
      <c r="G66" t="str">
        <f>ToResult(成就!G66)</f>
        <v/>
      </c>
      <c r="H66" t="str">
        <f>ToResult(成就!H66)</f>
        <v/>
      </c>
      <c r="I66" t="str">
        <f>ToResult(成就!I66)</f>
        <v/>
      </c>
      <c r="J66" t="str">
        <f>ToResult(成就!J66)</f>
        <v/>
      </c>
      <c r="K66" t="str">
        <f>ToResult(成就!K66)</f>
        <v/>
      </c>
      <c r="L66" t="str">
        <f>ToResult(成就!L66)</f>
        <v/>
      </c>
      <c r="M66" t="str">
        <f>ToResult(成就!M66)</f>
        <v/>
      </c>
      <c r="N66" t="str">
        <f>ToResult(成就!N66)</f>
        <v/>
      </c>
      <c r="O66" t="str">
        <f>ToResult(成就!O66)</f>
        <v/>
      </c>
    </row>
    <row r="67" spans="1:15">
      <c r="A67" t="str">
        <f>ToAchievement(成就!A67)</f>
        <v/>
      </c>
      <c r="B67" t="str">
        <f>ToResult(成就!B67)</f>
        <v/>
      </c>
      <c r="C67" t="str">
        <f>ToResult(成就!C67)</f>
        <v/>
      </c>
      <c r="D67" t="str">
        <f>ToResult(成就!D67)</f>
        <v/>
      </c>
      <c r="E67" t="str">
        <f>ToResult(成就!E67)</f>
        <v/>
      </c>
      <c r="F67" t="str">
        <f>ToResult(成就!F67)</f>
        <v/>
      </c>
      <c r="G67" t="str">
        <f>ToResult(成就!G67)</f>
        <v/>
      </c>
      <c r="H67" t="str">
        <f>ToResult(成就!H67)</f>
        <v/>
      </c>
      <c r="I67" t="str">
        <f>ToResult(成就!I67)</f>
        <v/>
      </c>
      <c r="J67" t="str">
        <f>ToResult(成就!J67)</f>
        <v/>
      </c>
      <c r="K67" t="str">
        <f>ToResult(成就!K67)</f>
        <v/>
      </c>
      <c r="L67" t="str">
        <f>ToResult(成就!L67)</f>
        <v/>
      </c>
      <c r="M67" t="str">
        <f>ToResult(成就!M67)</f>
        <v/>
      </c>
      <c r="N67" t="str">
        <f>ToResult(成就!N67)</f>
        <v/>
      </c>
      <c r="O67" t="str">
        <f>ToResult(成就!O67)</f>
        <v/>
      </c>
    </row>
    <row r="68" spans="1:15">
      <c r="A68" t="str">
        <f>ToAchievement(成就!A68)</f>
        <v/>
      </c>
      <c r="B68" t="str">
        <f>ToResult(成就!B68)</f>
        <v/>
      </c>
      <c r="C68" t="str">
        <f>ToResult(成就!C68)</f>
        <v/>
      </c>
      <c r="D68" t="str">
        <f>ToResult(成就!D68)</f>
        <v/>
      </c>
      <c r="E68" t="str">
        <f>ToResult(成就!E68)</f>
        <v/>
      </c>
      <c r="F68" t="str">
        <f>ToResult(成就!F68)</f>
        <v/>
      </c>
      <c r="G68" t="str">
        <f>ToResult(成就!G68)</f>
        <v/>
      </c>
      <c r="H68" t="str">
        <f>ToResult(成就!H68)</f>
        <v/>
      </c>
      <c r="I68" t="str">
        <f>ToResult(成就!I68)</f>
        <v/>
      </c>
      <c r="J68" t="str">
        <f>ToResult(成就!J68)</f>
        <v/>
      </c>
      <c r="K68" t="str">
        <f>ToResult(成就!K68)</f>
        <v/>
      </c>
      <c r="L68" t="str">
        <f>ToResult(成就!L68)</f>
        <v/>
      </c>
      <c r="M68" t="str">
        <f>ToResult(成就!M68)</f>
        <v/>
      </c>
      <c r="N68" t="str">
        <f>ToResult(成就!N68)</f>
        <v/>
      </c>
      <c r="O68" t="str">
        <f>ToResult(成就!O68)</f>
        <v/>
      </c>
    </row>
    <row r="69" spans="1:15">
      <c r="A69" t="str">
        <f>ToAchievement(成就!A69)</f>
        <v/>
      </c>
      <c r="B69" t="str">
        <f>ToResult(成就!B69)</f>
        <v/>
      </c>
      <c r="C69" t="str">
        <f>ToResult(成就!C69)</f>
        <v/>
      </c>
      <c r="D69" t="str">
        <f>ToResult(成就!D69)</f>
        <v/>
      </c>
      <c r="E69" t="str">
        <f>ToResult(成就!E69)</f>
        <v/>
      </c>
      <c r="F69" t="str">
        <f>ToResult(成就!F69)</f>
        <v/>
      </c>
      <c r="G69" t="str">
        <f>ToResult(成就!G69)</f>
        <v/>
      </c>
      <c r="H69" t="str">
        <f>ToResult(成就!H69)</f>
        <v/>
      </c>
      <c r="I69" t="str">
        <f>ToResult(成就!I69)</f>
        <v/>
      </c>
      <c r="J69" t="str">
        <f>ToResult(成就!J69)</f>
        <v/>
      </c>
      <c r="K69" t="str">
        <f>ToResult(成就!K69)</f>
        <v/>
      </c>
      <c r="L69" t="str">
        <f>ToResult(成就!L69)</f>
        <v/>
      </c>
      <c r="M69" t="str">
        <f>ToResult(成就!M69)</f>
        <v/>
      </c>
      <c r="N69" t="str">
        <f>ToResult(成就!N69)</f>
        <v/>
      </c>
      <c r="O69" t="str">
        <f>ToResult(成就!O69)</f>
        <v/>
      </c>
    </row>
    <row r="70" spans="1:15">
      <c r="A70" t="str">
        <f>ToAchievement(成就!A70)</f>
        <v/>
      </c>
      <c r="B70" t="str">
        <f>ToResult(成就!B70)</f>
        <v/>
      </c>
      <c r="C70" t="str">
        <f>ToResult(成就!C70)</f>
        <v/>
      </c>
      <c r="D70" t="str">
        <f>ToResult(成就!D70)</f>
        <v/>
      </c>
      <c r="E70" t="str">
        <f>ToResult(成就!E70)</f>
        <v/>
      </c>
      <c r="F70" t="str">
        <f>ToResult(成就!F70)</f>
        <v/>
      </c>
      <c r="G70" t="str">
        <f>ToResult(成就!G70)</f>
        <v/>
      </c>
      <c r="H70" t="str">
        <f>ToResult(成就!H70)</f>
        <v/>
      </c>
      <c r="I70" t="str">
        <f>ToResult(成就!I70)</f>
        <v/>
      </c>
      <c r="J70" t="str">
        <f>ToResult(成就!J70)</f>
        <v/>
      </c>
      <c r="K70" t="str">
        <f>ToResult(成就!K70)</f>
        <v/>
      </c>
      <c r="L70" t="str">
        <f>ToResult(成就!L70)</f>
        <v/>
      </c>
      <c r="M70" t="str">
        <f>ToResult(成就!M70)</f>
        <v/>
      </c>
      <c r="N70" t="str">
        <f>ToResult(成就!N70)</f>
        <v/>
      </c>
      <c r="O70" t="str">
        <f>ToResult(成就!O70)</f>
        <v/>
      </c>
    </row>
    <row r="71" spans="1:15">
      <c r="A71" t="str">
        <f>ToAchievement(成就!A71)</f>
        <v/>
      </c>
      <c r="B71" t="str">
        <f>ToResult(成就!B71)</f>
        <v/>
      </c>
      <c r="C71" t="str">
        <f>ToResult(成就!C71)</f>
        <v/>
      </c>
      <c r="D71" t="str">
        <f>ToResult(成就!D71)</f>
        <v/>
      </c>
      <c r="E71" t="str">
        <f>ToResult(成就!E71)</f>
        <v/>
      </c>
      <c r="F71" t="str">
        <f>ToResult(成就!F71)</f>
        <v/>
      </c>
      <c r="G71" t="str">
        <f>ToResult(成就!G71)</f>
        <v/>
      </c>
      <c r="H71" t="str">
        <f>ToResult(成就!H71)</f>
        <v/>
      </c>
      <c r="I71" t="str">
        <f>ToResult(成就!I71)</f>
        <v/>
      </c>
      <c r="J71" t="str">
        <f>ToResult(成就!J71)</f>
        <v/>
      </c>
      <c r="K71" t="str">
        <f>ToResult(成就!K71)</f>
        <v/>
      </c>
      <c r="L71" t="str">
        <f>ToResult(成就!L71)</f>
        <v/>
      </c>
      <c r="M71" t="str">
        <f>ToResult(成就!M71)</f>
        <v/>
      </c>
      <c r="N71" t="str">
        <f>ToResult(成就!N71)</f>
        <v/>
      </c>
      <c r="O71" t="str">
        <f>ToResult(成就!O71)</f>
        <v/>
      </c>
    </row>
    <row r="72" spans="1:15">
      <c r="A72" t="str">
        <f>ToAchievement(成就!A72)</f>
        <v/>
      </c>
      <c r="B72" t="str">
        <f>ToResult(成就!B72)</f>
        <v/>
      </c>
      <c r="C72" t="str">
        <f>ToResult(成就!C72)</f>
        <v/>
      </c>
      <c r="D72" t="str">
        <f>ToResult(成就!D72)</f>
        <v/>
      </c>
      <c r="E72" t="str">
        <f>ToResult(成就!E72)</f>
        <v/>
      </c>
      <c r="F72" t="str">
        <f>ToResult(成就!F72)</f>
        <v/>
      </c>
      <c r="G72" t="str">
        <f>ToResult(成就!G72)</f>
        <v/>
      </c>
      <c r="H72" t="str">
        <f>ToResult(成就!H72)</f>
        <v/>
      </c>
      <c r="I72" t="str">
        <f>ToResult(成就!I72)</f>
        <v/>
      </c>
      <c r="J72" t="str">
        <f>ToResult(成就!J72)</f>
        <v/>
      </c>
      <c r="K72" t="str">
        <f>ToResult(成就!K72)</f>
        <v/>
      </c>
      <c r="L72" t="str">
        <f>ToResult(成就!L72)</f>
        <v/>
      </c>
      <c r="M72" t="str">
        <f>ToResult(成就!M72)</f>
        <v/>
      </c>
      <c r="N72" t="str">
        <f>ToResult(成就!N72)</f>
        <v/>
      </c>
      <c r="O72" t="str">
        <f>ToResult(成就!O72)</f>
        <v/>
      </c>
    </row>
    <row r="73" spans="1:15">
      <c r="A73" t="str">
        <f>ToAchievement(成就!A73)</f>
        <v/>
      </c>
      <c r="B73" t="str">
        <f>ToResult(成就!B73)</f>
        <v/>
      </c>
      <c r="C73" t="str">
        <f>ToResult(成就!C73)</f>
        <v/>
      </c>
      <c r="D73" t="str">
        <f>ToResult(成就!D73)</f>
        <v/>
      </c>
      <c r="E73" t="str">
        <f>ToResult(成就!E73)</f>
        <v/>
      </c>
      <c r="F73" t="str">
        <f>ToResult(成就!F73)</f>
        <v/>
      </c>
      <c r="G73" t="str">
        <f>ToResult(成就!G73)</f>
        <v/>
      </c>
      <c r="H73" t="str">
        <f>ToResult(成就!H73)</f>
        <v/>
      </c>
      <c r="I73" t="str">
        <f>ToResult(成就!I73)</f>
        <v/>
      </c>
      <c r="J73" t="str">
        <f>ToResult(成就!J73)</f>
        <v/>
      </c>
      <c r="K73" t="str">
        <f>ToResult(成就!K73)</f>
        <v/>
      </c>
      <c r="L73" t="str">
        <f>ToResult(成就!L73)</f>
        <v/>
      </c>
      <c r="M73" t="str">
        <f>ToResult(成就!M73)</f>
        <v/>
      </c>
      <c r="N73" t="str">
        <f>ToResult(成就!N73)</f>
        <v/>
      </c>
      <c r="O73" t="str">
        <f>ToResult(成就!O73)</f>
        <v/>
      </c>
    </row>
    <row r="74" spans="1:15">
      <c r="A74" t="str">
        <f>ToAchievement(成就!A74)</f>
        <v/>
      </c>
      <c r="B74" t="str">
        <f>ToResult(成就!B74)</f>
        <v/>
      </c>
      <c r="C74" t="str">
        <f>ToResult(成就!C74)</f>
        <v/>
      </c>
      <c r="D74" t="str">
        <f>ToResult(成就!D74)</f>
        <v/>
      </c>
      <c r="E74" t="str">
        <f>ToResult(成就!E74)</f>
        <v/>
      </c>
      <c r="F74" t="str">
        <f>ToResult(成就!F74)</f>
        <v/>
      </c>
      <c r="G74" t="str">
        <f>ToResult(成就!G74)</f>
        <v/>
      </c>
      <c r="H74" t="str">
        <f>ToResult(成就!H74)</f>
        <v/>
      </c>
      <c r="I74" t="str">
        <f>ToResult(成就!I74)</f>
        <v/>
      </c>
      <c r="J74" t="str">
        <f>ToResult(成就!J74)</f>
        <v/>
      </c>
      <c r="K74" t="str">
        <f>ToResult(成就!K74)</f>
        <v/>
      </c>
      <c r="L74" t="str">
        <f>ToResult(成就!L74)</f>
        <v/>
      </c>
      <c r="M74" t="str">
        <f>ToResult(成就!M74)</f>
        <v/>
      </c>
      <c r="N74" t="str">
        <f>ToResult(成就!N74)</f>
        <v/>
      </c>
      <c r="O74" t="str">
        <f>ToResult(成就!O74)</f>
        <v/>
      </c>
    </row>
    <row r="75" spans="1:15">
      <c r="A75" t="str">
        <f>ToAchievement(成就!A75)</f>
        <v/>
      </c>
      <c r="B75" t="str">
        <f>ToResult(成就!B75)</f>
        <v/>
      </c>
      <c r="C75" t="str">
        <f>ToResult(成就!C75)</f>
        <v/>
      </c>
      <c r="D75" t="str">
        <f>ToResult(成就!D75)</f>
        <v/>
      </c>
      <c r="E75" t="str">
        <f>ToResult(成就!E75)</f>
        <v/>
      </c>
      <c r="F75" t="str">
        <f>ToResult(成就!F75)</f>
        <v/>
      </c>
      <c r="G75" t="str">
        <f>ToResult(成就!G75)</f>
        <v/>
      </c>
      <c r="H75" t="str">
        <f>ToResult(成就!H75)</f>
        <v/>
      </c>
      <c r="I75" t="str">
        <f>ToResult(成就!I75)</f>
        <v/>
      </c>
      <c r="J75" t="str">
        <f>ToResult(成就!J75)</f>
        <v/>
      </c>
      <c r="K75" t="str">
        <f>ToResult(成就!K75)</f>
        <v/>
      </c>
      <c r="L75" t="str">
        <f>ToResult(成就!L75)</f>
        <v/>
      </c>
      <c r="M75" t="str">
        <f>ToResult(成就!M75)</f>
        <v/>
      </c>
      <c r="N75" t="str">
        <f>ToResult(成就!N75)</f>
        <v/>
      </c>
      <c r="O75" t="str">
        <f>ToResult(成就!O75)</f>
        <v/>
      </c>
    </row>
    <row r="76" spans="1:15">
      <c r="A76" t="str">
        <f>ToAchievement(成就!A76)</f>
        <v/>
      </c>
      <c r="B76" t="str">
        <f>ToResult(成就!B76)</f>
        <v/>
      </c>
      <c r="C76" t="str">
        <f>ToResult(成就!C76)</f>
        <v/>
      </c>
      <c r="D76" t="str">
        <f>ToResult(成就!D76)</f>
        <v/>
      </c>
      <c r="E76" t="str">
        <f>ToResult(成就!E76)</f>
        <v/>
      </c>
      <c r="F76" t="str">
        <f>ToResult(成就!F76)</f>
        <v/>
      </c>
      <c r="G76" t="str">
        <f>ToResult(成就!G76)</f>
        <v/>
      </c>
      <c r="H76" t="str">
        <f>ToResult(成就!H76)</f>
        <v/>
      </c>
      <c r="I76" t="str">
        <f>ToResult(成就!I76)</f>
        <v/>
      </c>
      <c r="J76" t="str">
        <f>ToResult(成就!J76)</f>
        <v/>
      </c>
      <c r="K76" t="str">
        <f>ToResult(成就!K76)</f>
        <v/>
      </c>
      <c r="L76" t="str">
        <f>ToResult(成就!L76)</f>
        <v/>
      </c>
      <c r="M76" t="str">
        <f>ToResult(成就!M76)</f>
        <v/>
      </c>
      <c r="N76" t="str">
        <f>ToResult(成就!N76)</f>
        <v/>
      </c>
      <c r="O76" t="str">
        <f>ToResult(成就!O76)</f>
        <v/>
      </c>
    </row>
    <row r="77" spans="1:15">
      <c r="A77" t="str">
        <f>ToAchievement(成就!A77)</f>
        <v/>
      </c>
      <c r="B77" t="str">
        <f>ToResult(成就!B77)</f>
        <v/>
      </c>
      <c r="C77" t="str">
        <f>ToResult(成就!C77)</f>
        <v/>
      </c>
      <c r="D77" t="str">
        <f>ToResult(成就!D77)</f>
        <v/>
      </c>
      <c r="E77" t="str">
        <f>ToResult(成就!E77)</f>
        <v/>
      </c>
      <c r="F77" t="str">
        <f>ToResult(成就!F77)</f>
        <v/>
      </c>
      <c r="G77" t="str">
        <f>ToResult(成就!G77)</f>
        <v/>
      </c>
      <c r="H77" t="str">
        <f>ToResult(成就!H77)</f>
        <v/>
      </c>
      <c r="I77" t="str">
        <f>ToResult(成就!I77)</f>
        <v/>
      </c>
      <c r="J77" t="str">
        <f>ToResult(成就!J77)</f>
        <v/>
      </c>
      <c r="K77" t="str">
        <f>ToResult(成就!K77)</f>
        <v/>
      </c>
      <c r="L77" t="str">
        <f>ToResult(成就!L77)</f>
        <v/>
      </c>
      <c r="M77" t="str">
        <f>ToResult(成就!M77)</f>
        <v/>
      </c>
      <c r="N77" t="str">
        <f>ToResult(成就!N77)</f>
        <v/>
      </c>
      <c r="O77" t="str">
        <f>ToResult(成就!O77)</f>
        <v/>
      </c>
    </row>
    <row r="78" spans="1:15">
      <c r="A78" t="str">
        <f>ToAchievement(成就!A78)</f>
        <v/>
      </c>
      <c r="B78" t="str">
        <f>ToResult(成就!B78)</f>
        <v/>
      </c>
      <c r="C78" t="str">
        <f>ToResult(成就!C78)</f>
        <v/>
      </c>
      <c r="D78" t="str">
        <f>ToResult(成就!D78)</f>
        <v/>
      </c>
      <c r="E78" t="str">
        <f>ToResult(成就!E78)</f>
        <v/>
      </c>
      <c r="F78" t="str">
        <f>ToResult(成就!F78)</f>
        <v/>
      </c>
      <c r="G78" t="str">
        <f>ToResult(成就!G78)</f>
        <v/>
      </c>
      <c r="H78" t="str">
        <f>ToResult(成就!H78)</f>
        <v/>
      </c>
      <c r="I78" t="str">
        <f>ToResult(成就!I78)</f>
        <v/>
      </c>
      <c r="J78" t="str">
        <f>ToResult(成就!J78)</f>
        <v/>
      </c>
      <c r="K78" t="str">
        <f>ToResult(成就!K78)</f>
        <v/>
      </c>
      <c r="L78" t="str">
        <f>ToResult(成就!L78)</f>
        <v/>
      </c>
      <c r="M78" t="str">
        <f>ToResult(成就!M78)</f>
        <v/>
      </c>
      <c r="N78" t="str">
        <f>ToResult(成就!N78)</f>
        <v/>
      </c>
      <c r="O78" t="str">
        <f>ToResult(成就!O78)</f>
        <v/>
      </c>
    </row>
    <row r="79" spans="1:15">
      <c r="A79" t="str">
        <f>ToAchievement(成就!A79)</f>
        <v/>
      </c>
      <c r="B79" t="str">
        <f>ToResult(成就!B79)</f>
        <v/>
      </c>
      <c r="C79" t="str">
        <f>ToResult(成就!C79)</f>
        <v/>
      </c>
      <c r="D79" t="str">
        <f>ToResult(成就!D79)</f>
        <v/>
      </c>
      <c r="E79" t="str">
        <f>ToResult(成就!E79)</f>
        <v/>
      </c>
      <c r="F79" t="str">
        <f>ToResult(成就!F79)</f>
        <v/>
      </c>
      <c r="G79" t="str">
        <f>ToResult(成就!G79)</f>
        <v/>
      </c>
      <c r="H79" t="str">
        <f>ToResult(成就!H79)</f>
        <v/>
      </c>
      <c r="I79" t="str">
        <f>ToResult(成就!I79)</f>
        <v/>
      </c>
      <c r="J79" t="str">
        <f>ToResult(成就!J79)</f>
        <v/>
      </c>
      <c r="K79" t="str">
        <f>ToResult(成就!K79)</f>
        <v/>
      </c>
      <c r="L79" t="str">
        <f>ToResult(成就!L79)</f>
        <v/>
      </c>
      <c r="M79" t="str">
        <f>ToResult(成就!M79)</f>
        <v/>
      </c>
      <c r="N79" t="str">
        <f>ToResult(成就!N79)</f>
        <v/>
      </c>
      <c r="O79" t="str">
        <f>ToResult(成就!O79)</f>
        <v/>
      </c>
    </row>
    <row r="80" spans="1:15">
      <c r="A80" t="str">
        <f>ToAchievement(成就!A80)</f>
        <v/>
      </c>
      <c r="B80" t="str">
        <f>ToResult(成就!B80)</f>
        <v/>
      </c>
      <c r="C80" t="str">
        <f>ToResult(成就!C80)</f>
        <v/>
      </c>
      <c r="D80" t="str">
        <f>ToResult(成就!D80)</f>
        <v/>
      </c>
      <c r="E80" t="str">
        <f>ToResult(成就!E80)</f>
        <v/>
      </c>
      <c r="F80" t="str">
        <f>ToResult(成就!F80)</f>
        <v/>
      </c>
      <c r="G80" t="str">
        <f>ToResult(成就!G80)</f>
        <v/>
      </c>
      <c r="H80" t="str">
        <f>ToResult(成就!H80)</f>
        <v/>
      </c>
      <c r="I80" t="str">
        <f>ToResult(成就!I80)</f>
        <v/>
      </c>
      <c r="J80" t="str">
        <f>ToResult(成就!J80)</f>
        <v/>
      </c>
      <c r="K80" t="str">
        <f>ToResult(成就!K80)</f>
        <v/>
      </c>
      <c r="L80" t="str">
        <f>ToResult(成就!L80)</f>
        <v/>
      </c>
      <c r="M80" t="str">
        <f>ToResult(成就!M80)</f>
        <v/>
      </c>
      <c r="N80" t="str">
        <f>ToResult(成就!N80)</f>
        <v/>
      </c>
      <c r="O80" t="str">
        <f>ToResult(成就!O80)</f>
        <v/>
      </c>
    </row>
    <row r="81" spans="1:15">
      <c r="A81" t="str">
        <f>ToAchievement(成就!A81)</f>
        <v/>
      </c>
      <c r="B81" t="str">
        <f>ToResult(成就!B81)</f>
        <v/>
      </c>
      <c r="C81" t="str">
        <f>ToResult(成就!C81)</f>
        <v/>
      </c>
      <c r="D81" t="str">
        <f>ToResult(成就!D81)</f>
        <v/>
      </c>
      <c r="E81" t="str">
        <f>ToResult(成就!E81)</f>
        <v/>
      </c>
      <c r="F81" t="str">
        <f>ToResult(成就!F81)</f>
        <v/>
      </c>
      <c r="G81" t="str">
        <f>ToResult(成就!G81)</f>
        <v/>
      </c>
      <c r="H81" t="str">
        <f>ToResult(成就!H81)</f>
        <v/>
      </c>
      <c r="I81" t="str">
        <f>ToResult(成就!I81)</f>
        <v/>
      </c>
      <c r="J81" t="str">
        <f>ToResult(成就!J81)</f>
        <v/>
      </c>
      <c r="K81" t="str">
        <f>ToResult(成就!K81)</f>
        <v/>
      </c>
      <c r="L81" t="str">
        <f>ToResult(成就!L81)</f>
        <v/>
      </c>
      <c r="M81" t="str">
        <f>ToResult(成就!M81)</f>
        <v/>
      </c>
      <c r="N81" t="str">
        <f>ToResult(成就!N81)</f>
        <v/>
      </c>
      <c r="O81" t="str">
        <f>ToResult(成就!O81)</f>
        <v/>
      </c>
    </row>
    <row r="82" spans="1:15">
      <c r="A82" t="str">
        <f>ToAchievement(成就!A82)</f>
        <v/>
      </c>
      <c r="B82" t="str">
        <f>ToResult(成就!B82)</f>
        <v/>
      </c>
      <c r="C82" t="str">
        <f>ToResult(成就!C82)</f>
        <v/>
      </c>
      <c r="D82" t="str">
        <f>ToResult(成就!D82)</f>
        <v/>
      </c>
      <c r="E82" t="str">
        <f>ToResult(成就!E82)</f>
        <v/>
      </c>
      <c r="F82" t="str">
        <f>ToResult(成就!F82)</f>
        <v/>
      </c>
      <c r="G82" t="str">
        <f>ToResult(成就!G82)</f>
        <v/>
      </c>
      <c r="H82" t="str">
        <f>ToResult(成就!H82)</f>
        <v/>
      </c>
      <c r="I82" t="str">
        <f>ToResult(成就!I82)</f>
        <v/>
      </c>
      <c r="J82" t="str">
        <f>ToResult(成就!J82)</f>
        <v/>
      </c>
      <c r="K82" t="str">
        <f>ToResult(成就!K82)</f>
        <v/>
      </c>
      <c r="L82" t="str">
        <f>ToResult(成就!L82)</f>
        <v/>
      </c>
      <c r="M82" t="str">
        <f>ToResult(成就!M82)</f>
        <v/>
      </c>
      <c r="N82" t="str">
        <f>ToResult(成就!N82)</f>
        <v/>
      </c>
      <c r="O82" t="str">
        <f>ToResult(成就!O82)</f>
        <v/>
      </c>
    </row>
    <row r="83" spans="1:15">
      <c r="A83" t="str">
        <f>ToAchievement(成就!A83)</f>
        <v/>
      </c>
      <c r="B83" t="str">
        <f>ToResult(成就!B83)</f>
        <v/>
      </c>
      <c r="C83" t="str">
        <f>ToResult(成就!C83)</f>
        <v/>
      </c>
      <c r="D83" t="str">
        <f>ToResult(成就!D83)</f>
        <v/>
      </c>
      <c r="E83" t="str">
        <f>ToResult(成就!E83)</f>
        <v/>
      </c>
      <c r="F83" t="str">
        <f>ToResult(成就!F83)</f>
        <v/>
      </c>
      <c r="G83" t="str">
        <f>ToResult(成就!G83)</f>
        <v/>
      </c>
      <c r="H83" t="str">
        <f>ToResult(成就!H83)</f>
        <v/>
      </c>
      <c r="I83" t="str">
        <f>ToResult(成就!I83)</f>
        <v/>
      </c>
      <c r="J83" t="str">
        <f>ToResult(成就!J83)</f>
        <v/>
      </c>
      <c r="K83" t="str">
        <f>ToResult(成就!K83)</f>
        <v/>
      </c>
      <c r="L83" t="str">
        <f>ToResult(成就!L83)</f>
        <v/>
      </c>
      <c r="M83" t="str">
        <f>ToResult(成就!M83)</f>
        <v/>
      </c>
      <c r="N83" t="str">
        <f>ToResult(成就!N83)</f>
        <v/>
      </c>
      <c r="O83" t="str">
        <f>ToResult(成就!O83)</f>
        <v/>
      </c>
    </row>
    <row r="84" spans="1:15">
      <c r="A84" t="str">
        <f>ToAchievement(成就!A84)</f>
        <v/>
      </c>
      <c r="B84" t="str">
        <f>ToResult(成就!B84)</f>
        <v/>
      </c>
      <c r="C84" t="str">
        <f>ToResult(成就!C84)</f>
        <v/>
      </c>
      <c r="D84" t="str">
        <f>ToResult(成就!D84)</f>
        <v/>
      </c>
      <c r="E84" t="str">
        <f>ToResult(成就!E84)</f>
        <v/>
      </c>
      <c r="F84" t="str">
        <f>ToResult(成就!F84)</f>
        <v/>
      </c>
      <c r="G84" t="str">
        <f>ToResult(成就!G84)</f>
        <v/>
      </c>
      <c r="H84" t="str">
        <f>ToResult(成就!H84)</f>
        <v/>
      </c>
      <c r="I84" t="str">
        <f>ToResult(成就!I84)</f>
        <v/>
      </c>
      <c r="J84" t="str">
        <f>ToResult(成就!J84)</f>
        <v/>
      </c>
      <c r="K84" t="str">
        <f>ToResult(成就!K84)</f>
        <v/>
      </c>
      <c r="L84" t="str">
        <f>ToResult(成就!L84)</f>
        <v/>
      </c>
      <c r="M84" t="str">
        <f>ToResult(成就!M84)</f>
        <v/>
      </c>
      <c r="N84" t="str">
        <f>ToResult(成就!N84)</f>
        <v/>
      </c>
      <c r="O84" t="str">
        <f>ToResult(成就!O84)</f>
        <v/>
      </c>
    </row>
    <row r="85" spans="1:15">
      <c r="A85" t="str">
        <f>ToAchievement(成就!A85)</f>
        <v/>
      </c>
      <c r="B85" t="str">
        <f>ToResult(成就!B85)</f>
        <v/>
      </c>
      <c r="C85" t="str">
        <f>ToResult(成就!C85)</f>
        <v/>
      </c>
      <c r="D85" t="str">
        <f>ToResult(成就!D85)</f>
        <v/>
      </c>
      <c r="E85" t="str">
        <f>ToResult(成就!E85)</f>
        <v/>
      </c>
      <c r="F85" t="str">
        <f>ToResult(成就!F85)</f>
        <v/>
      </c>
      <c r="G85" t="str">
        <f>ToResult(成就!G85)</f>
        <v/>
      </c>
      <c r="H85" t="str">
        <f>ToResult(成就!H85)</f>
        <v/>
      </c>
      <c r="I85" t="str">
        <f>ToResult(成就!I85)</f>
        <v/>
      </c>
      <c r="J85" t="str">
        <f>ToResult(成就!J85)</f>
        <v/>
      </c>
      <c r="K85" t="str">
        <f>ToResult(成就!K85)</f>
        <v/>
      </c>
      <c r="L85" t="str">
        <f>ToResult(成就!L85)</f>
        <v/>
      </c>
      <c r="M85" t="str">
        <f>ToResult(成就!M85)</f>
        <v/>
      </c>
      <c r="N85" t="str">
        <f>ToResult(成就!N85)</f>
        <v/>
      </c>
      <c r="O85" t="str">
        <f>ToResult(成就!O85)</f>
        <v/>
      </c>
    </row>
    <row r="86" spans="1:15">
      <c r="A86" t="str">
        <f>ToAchievement(成就!A86)</f>
        <v/>
      </c>
      <c r="B86" t="str">
        <f>ToResult(成就!B86)</f>
        <v/>
      </c>
      <c r="C86" t="str">
        <f>ToResult(成就!C86)</f>
        <v/>
      </c>
      <c r="D86" t="str">
        <f>ToResult(成就!D86)</f>
        <v/>
      </c>
      <c r="E86" t="str">
        <f>ToResult(成就!E86)</f>
        <v/>
      </c>
      <c r="F86" t="str">
        <f>ToResult(成就!F86)</f>
        <v/>
      </c>
      <c r="G86" t="str">
        <f>ToResult(成就!G86)</f>
        <v/>
      </c>
      <c r="H86" t="str">
        <f>ToResult(成就!H86)</f>
        <v/>
      </c>
      <c r="I86" t="str">
        <f>ToResult(成就!I86)</f>
        <v/>
      </c>
      <c r="J86" t="str">
        <f>ToResult(成就!J86)</f>
        <v/>
      </c>
      <c r="K86" t="str">
        <f>ToResult(成就!K86)</f>
        <v/>
      </c>
      <c r="L86" t="str">
        <f>ToResult(成就!L86)</f>
        <v/>
      </c>
      <c r="M86" t="str">
        <f>ToResult(成就!M86)</f>
        <v/>
      </c>
      <c r="N86" t="str">
        <f>ToResult(成就!N86)</f>
        <v/>
      </c>
      <c r="O86" t="str">
        <f>ToResult(成就!O86)</f>
        <v/>
      </c>
    </row>
    <row r="87" spans="1:15">
      <c r="A87" t="str">
        <f>ToAchievement(成就!A87)</f>
        <v/>
      </c>
      <c r="B87" t="str">
        <f>ToResult(成就!B87)</f>
        <v/>
      </c>
      <c r="C87" t="str">
        <f>ToResult(成就!C87)</f>
        <v/>
      </c>
      <c r="D87" t="str">
        <f>ToResult(成就!D87)</f>
        <v/>
      </c>
      <c r="E87" t="str">
        <f>ToResult(成就!E87)</f>
        <v/>
      </c>
      <c r="F87" t="str">
        <f>ToResult(成就!F87)</f>
        <v/>
      </c>
      <c r="G87" t="str">
        <f>ToResult(成就!G87)</f>
        <v/>
      </c>
      <c r="H87" t="str">
        <f>ToResult(成就!H87)</f>
        <v/>
      </c>
      <c r="I87" t="str">
        <f>ToResult(成就!I87)</f>
        <v/>
      </c>
      <c r="J87" t="str">
        <f>ToResult(成就!J87)</f>
        <v/>
      </c>
      <c r="K87" t="str">
        <f>ToResult(成就!K87)</f>
        <v/>
      </c>
      <c r="L87" t="str">
        <f>ToResult(成就!L87)</f>
        <v/>
      </c>
      <c r="M87" t="str">
        <f>ToResult(成就!M87)</f>
        <v/>
      </c>
      <c r="N87" t="str">
        <f>ToResult(成就!N87)</f>
        <v/>
      </c>
      <c r="O87" t="str">
        <f>ToResult(成就!O87)</f>
        <v/>
      </c>
    </row>
    <row r="88" spans="1:15">
      <c r="A88" t="str">
        <f>ToAchievement(成就!A88)</f>
        <v/>
      </c>
      <c r="B88" t="str">
        <f>ToResult(成就!B88)</f>
        <v/>
      </c>
      <c r="C88" t="str">
        <f>ToResult(成就!C88)</f>
        <v/>
      </c>
      <c r="D88" t="str">
        <f>ToResult(成就!D88)</f>
        <v/>
      </c>
      <c r="E88" t="str">
        <f>ToResult(成就!E88)</f>
        <v/>
      </c>
      <c r="F88" t="str">
        <f>ToResult(成就!F88)</f>
        <v/>
      </c>
      <c r="G88" t="str">
        <f>ToResult(成就!G88)</f>
        <v/>
      </c>
      <c r="H88" t="str">
        <f>ToResult(成就!H88)</f>
        <v/>
      </c>
      <c r="I88" t="str">
        <f>ToResult(成就!I88)</f>
        <v/>
      </c>
      <c r="J88" t="str">
        <f>ToResult(成就!J88)</f>
        <v/>
      </c>
      <c r="K88" t="str">
        <f>ToResult(成就!K88)</f>
        <v/>
      </c>
      <c r="L88" t="str">
        <f>ToResult(成就!L88)</f>
        <v/>
      </c>
      <c r="M88" t="str">
        <f>ToResult(成就!M88)</f>
        <v/>
      </c>
      <c r="N88" t="str">
        <f>ToResult(成就!N88)</f>
        <v/>
      </c>
      <c r="O88" t="str">
        <f>ToResult(成就!O88)</f>
        <v/>
      </c>
    </row>
    <row r="89" spans="1:15">
      <c r="A89" t="str">
        <f>ToAchievement(成就!A89)</f>
        <v/>
      </c>
      <c r="B89" t="str">
        <f>ToResult(成就!B89)</f>
        <v/>
      </c>
      <c r="C89" t="str">
        <f>ToResult(成就!C89)</f>
        <v/>
      </c>
      <c r="D89" t="str">
        <f>ToResult(成就!D89)</f>
        <v/>
      </c>
      <c r="E89" t="str">
        <f>ToResult(成就!E89)</f>
        <v/>
      </c>
      <c r="F89" t="str">
        <f>ToResult(成就!F89)</f>
        <v/>
      </c>
      <c r="G89" t="str">
        <f>ToResult(成就!G89)</f>
        <v/>
      </c>
      <c r="H89" t="str">
        <f>ToResult(成就!H89)</f>
        <v/>
      </c>
      <c r="I89" t="str">
        <f>ToResult(成就!I89)</f>
        <v/>
      </c>
      <c r="J89" t="str">
        <f>ToResult(成就!J89)</f>
        <v/>
      </c>
      <c r="K89" t="str">
        <f>ToResult(成就!K89)</f>
        <v/>
      </c>
      <c r="L89" t="str">
        <f>ToResult(成就!L89)</f>
        <v/>
      </c>
      <c r="M89" t="str">
        <f>ToResult(成就!M89)</f>
        <v/>
      </c>
      <c r="N89" t="str">
        <f>ToResult(成就!N89)</f>
        <v/>
      </c>
      <c r="O89" t="str">
        <f>ToResult(成就!O89)</f>
        <v/>
      </c>
    </row>
    <row r="90" spans="1:15">
      <c r="A90" t="str">
        <f>ToAchievement(成就!A90)</f>
        <v/>
      </c>
      <c r="B90" t="str">
        <f>ToResult(成就!B90)</f>
        <v/>
      </c>
      <c r="C90" t="str">
        <f>ToResult(成就!C90)</f>
        <v/>
      </c>
      <c r="D90" t="str">
        <f>ToResult(成就!D90)</f>
        <v/>
      </c>
      <c r="E90" t="str">
        <f>ToResult(成就!E90)</f>
        <v/>
      </c>
      <c r="F90" t="str">
        <f>ToResult(成就!F90)</f>
        <v/>
      </c>
      <c r="G90" t="str">
        <f>ToResult(成就!G90)</f>
        <v/>
      </c>
      <c r="H90" t="str">
        <f>ToResult(成就!H90)</f>
        <v/>
      </c>
      <c r="I90" t="str">
        <f>ToResult(成就!I90)</f>
        <v/>
      </c>
      <c r="J90" t="str">
        <f>ToResult(成就!J90)</f>
        <v/>
      </c>
      <c r="K90" t="str">
        <f>ToResult(成就!K90)</f>
        <v/>
      </c>
      <c r="L90" t="str">
        <f>ToResult(成就!L90)</f>
        <v/>
      </c>
      <c r="M90" t="str">
        <f>ToResult(成就!M90)</f>
        <v/>
      </c>
      <c r="N90" t="str">
        <f>ToResult(成就!N90)</f>
        <v/>
      </c>
      <c r="O90" t="str">
        <f>ToResult(成就!O90)</f>
        <v/>
      </c>
    </row>
    <row r="91" spans="1:15">
      <c r="A91" t="str">
        <f>ToAchievement(成就!A91)</f>
        <v/>
      </c>
      <c r="B91" t="str">
        <f>ToResult(成就!B91)</f>
        <v/>
      </c>
      <c r="C91" t="str">
        <f>ToResult(成就!C91)</f>
        <v/>
      </c>
      <c r="D91" t="str">
        <f>ToResult(成就!D91)</f>
        <v/>
      </c>
      <c r="E91" t="str">
        <f>ToResult(成就!E91)</f>
        <v/>
      </c>
      <c r="F91" t="str">
        <f>ToResult(成就!F91)</f>
        <v/>
      </c>
      <c r="G91" t="str">
        <f>ToResult(成就!G91)</f>
        <v/>
      </c>
      <c r="H91" t="str">
        <f>ToResult(成就!H91)</f>
        <v/>
      </c>
      <c r="I91" t="str">
        <f>ToResult(成就!I91)</f>
        <v/>
      </c>
      <c r="J91" t="str">
        <f>ToResult(成就!J91)</f>
        <v/>
      </c>
      <c r="K91" t="str">
        <f>ToResult(成就!K91)</f>
        <v/>
      </c>
      <c r="L91" t="str">
        <f>ToResult(成就!L91)</f>
        <v/>
      </c>
      <c r="M91" t="str">
        <f>ToResult(成就!M91)</f>
        <v/>
      </c>
      <c r="N91" t="str">
        <f>ToResult(成就!N91)</f>
        <v/>
      </c>
      <c r="O91" t="str">
        <f>ToResult(成就!O91)</f>
        <v/>
      </c>
    </row>
    <row r="92" spans="1:15">
      <c r="A92" t="str">
        <f>ToAchievement(成就!A92)</f>
        <v/>
      </c>
      <c r="B92" t="str">
        <f>ToResult(成就!B92)</f>
        <v/>
      </c>
      <c r="C92" t="str">
        <f>ToResult(成就!C92)</f>
        <v/>
      </c>
      <c r="D92" t="str">
        <f>ToResult(成就!D92)</f>
        <v/>
      </c>
      <c r="E92" t="str">
        <f>ToResult(成就!E92)</f>
        <v/>
      </c>
      <c r="F92" t="str">
        <f>ToResult(成就!F92)</f>
        <v/>
      </c>
      <c r="G92" t="str">
        <f>ToResult(成就!G92)</f>
        <v/>
      </c>
      <c r="H92" t="str">
        <f>ToResult(成就!H92)</f>
        <v/>
      </c>
      <c r="I92" t="str">
        <f>ToResult(成就!I92)</f>
        <v/>
      </c>
      <c r="J92" t="str">
        <f>ToResult(成就!J92)</f>
        <v/>
      </c>
      <c r="K92" t="str">
        <f>ToResult(成就!K92)</f>
        <v/>
      </c>
      <c r="L92" t="str">
        <f>ToResult(成就!L92)</f>
        <v/>
      </c>
      <c r="M92" t="str">
        <f>ToResult(成就!M92)</f>
        <v/>
      </c>
      <c r="N92" t="str">
        <f>ToResult(成就!N92)</f>
        <v/>
      </c>
      <c r="O92" t="str">
        <f>ToResult(成就!O92)</f>
        <v/>
      </c>
    </row>
    <row r="93" spans="1:15">
      <c r="A93" t="str">
        <f>ToAchievement(成就!A93)</f>
        <v/>
      </c>
      <c r="B93" t="str">
        <f>ToResult(成就!B93)</f>
        <v/>
      </c>
      <c r="C93" t="str">
        <f>ToResult(成就!C93)</f>
        <v/>
      </c>
      <c r="D93" t="str">
        <f>ToResult(成就!D93)</f>
        <v/>
      </c>
      <c r="E93" t="str">
        <f>ToResult(成就!E93)</f>
        <v/>
      </c>
      <c r="F93" t="str">
        <f>ToResult(成就!F93)</f>
        <v/>
      </c>
      <c r="G93" t="str">
        <f>ToResult(成就!G93)</f>
        <v/>
      </c>
      <c r="H93" t="str">
        <f>ToResult(成就!H93)</f>
        <v/>
      </c>
      <c r="I93" t="str">
        <f>ToResult(成就!I93)</f>
        <v/>
      </c>
      <c r="J93" t="str">
        <f>ToResult(成就!J93)</f>
        <v/>
      </c>
      <c r="K93" t="str">
        <f>ToResult(成就!K93)</f>
        <v/>
      </c>
      <c r="L93" t="str">
        <f>ToResult(成就!L93)</f>
        <v/>
      </c>
      <c r="M93" t="str">
        <f>ToResult(成就!M93)</f>
        <v/>
      </c>
      <c r="N93" t="str">
        <f>ToResult(成就!N93)</f>
        <v/>
      </c>
      <c r="O93" t="str">
        <f>ToResult(成就!O93)</f>
        <v/>
      </c>
    </row>
    <row r="94" spans="1:15">
      <c r="A94" t="str">
        <f>ToAchievement(成就!A94)</f>
        <v/>
      </c>
      <c r="B94" t="str">
        <f>ToResult(成就!B94)</f>
        <v/>
      </c>
      <c r="C94" t="str">
        <f>ToResult(成就!C94)</f>
        <v/>
      </c>
      <c r="D94" t="str">
        <f>ToResult(成就!D94)</f>
        <v/>
      </c>
      <c r="E94" t="str">
        <f>ToResult(成就!E94)</f>
        <v/>
      </c>
      <c r="F94" t="str">
        <f>ToResult(成就!F94)</f>
        <v/>
      </c>
      <c r="G94" t="str">
        <f>ToResult(成就!G94)</f>
        <v/>
      </c>
      <c r="H94" t="str">
        <f>ToResult(成就!H94)</f>
        <v/>
      </c>
      <c r="I94" t="str">
        <f>ToResult(成就!I94)</f>
        <v/>
      </c>
      <c r="J94" t="str">
        <f>ToResult(成就!J94)</f>
        <v/>
      </c>
      <c r="K94" t="str">
        <f>ToResult(成就!K94)</f>
        <v/>
      </c>
      <c r="L94" t="str">
        <f>ToResult(成就!L94)</f>
        <v/>
      </c>
      <c r="M94" t="str">
        <f>ToResult(成就!M94)</f>
        <v/>
      </c>
      <c r="N94" t="str">
        <f>ToResult(成就!N94)</f>
        <v/>
      </c>
      <c r="O94" t="str">
        <f>ToResult(成就!O94)</f>
        <v/>
      </c>
    </row>
    <row r="95" spans="1:15">
      <c r="A95" t="str">
        <f>ToAchievement(成就!A95)</f>
        <v/>
      </c>
      <c r="B95" t="str">
        <f>ToResult(成就!B95)</f>
        <v/>
      </c>
      <c r="C95" t="str">
        <f>ToResult(成就!C95)</f>
        <v/>
      </c>
      <c r="D95" t="str">
        <f>ToResult(成就!D95)</f>
        <v/>
      </c>
      <c r="E95" t="str">
        <f>ToResult(成就!E95)</f>
        <v/>
      </c>
      <c r="F95" t="str">
        <f>ToResult(成就!F95)</f>
        <v/>
      </c>
      <c r="G95" t="str">
        <f>ToResult(成就!G95)</f>
        <v/>
      </c>
      <c r="H95" t="str">
        <f>ToResult(成就!H95)</f>
        <v/>
      </c>
      <c r="I95" t="str">
        <f>ToResult(成就!I95)</f>
        <v/>
      </c>
      <c r="J95" t="str">
        <f>ToResult(成就!J95)</f>
        <v/>
      </c>
      <c r="K95" t="str">
        <f>ToResult(成就!K95)</f>
        <v/>
      </c>
      <c r="L95" t="str">
        <f>ToResult(成就!L95)</f>
        <v/>
      </c>
      <c r="M95" t="str">
        <f>ToResult(成就!M95)</f>
        <v/>
      </c>
      <c r="N95" t="str">
        <f>ToResult(成就!N95)</f>
        <v/>
      </c>
      <c r="O95" t="str">
        <f>ToResult(成就!O95)</f>
        <v/>
      </c>
    </row>
    <row r="96" spans="1:15">
      <c r="A96" t="str">
        <f>ToAchievement(成就!A96)</f>
        <v/>
      </c>
      <c r="B96" t="str">
        <f>ToResult(成就!B96)</f>
        <v/>
      </c>
      <c r="C96" t="str">
        <f>ToResult(成就!C96)</f>
        <v/>
      </c>
      <c r="D96" t="str">
        <f>ToResult(成就!D96)</f>
        <v/>
      </c>
      <c r="E96" t="str">
        <f>ToResult(成就!E96)</f>
        <v/>
      </c>
      <c r="F96" t="str">
        <f>ToResult(成就!F96)</f>
        <v/>
      </c>
      <c r="G96" t="str">
        <f>ToResult(成就!G96)</f>
        <v/>
      </c>
      <c r="H96" t="str">
        <f>ToResult(成就!H96)</f>
        <v/>
      </c>
      <c r="I96" t="str">
        <f>ToResult(成就!I96)</f>
        <v/>
      </c>
      <c r="J96" t="str">
        <f>ToResult(成就!J96)</f>
        <v/>
      </c>
      <c r="K96" t="str">
        <f>ToResult(成就!K96)</f>
        <v/>
      </c>
      <c r="L96" t="str">
        <f>ToResult(成就!L96)</f>
        <v/>
      </c>
      <c r="M96" t="str">
        <f>ToResult(成就!M96)</f>
        <v/>
      </c>
      <c r="N96" t="str">
        <f>ToResult(成就!N96)</f>
        <v/>
      </c>
      <c r="O96" t="str">
        <f>ToResult(成就!O96)</f>
        <v/>
      </c>
    </row>
    <row r="97" spans="1:15">
      <c r="A97" t="str">
        <f>ToAchievement(成就!A97)</f>
        <v/>
      </c>
      <c r="B97" t="str">
        <f>ToResult(成就!B97)</f>
        <v/>
      </c>
      <c r="C97" t="str">
        <f>ToResult(成就!C97)</f>
        <v/>
      </c>
      <c r="D97" t="str">
        <f>ToResult(成就!D97)</f>
        <v/>
      </c>
      <c r="E97" t="str">
        <f>ToResult(成就!E97)</f>
        <v/>
      </c>
      <c r="F97" t="str">
        <f>ToResult(成就!F97)</f>
        <v/>
      </c>
      <c r="G97" t="str">
        <f>ToResult(成就!G97)</f>
        <v/>
      </c>
      <c r="H97" t="str">
        <f>ToResult(成就!H97)</f>
        <v/>
      </c>
      <c r="I97" t="str">
        <f>ToResult(成就!I97)</f>
        <v/>
      </c>
      <c r="J97" t="str">
        <f>ToResult(成就!J97)</f>
        <v/>
      </c>
      <c r="K97" t="str">
        <f>ToResult(成就!K97)</f>
        <v/>
      </c>
      <c r="L97" t="str">
        <f>ToResult(成就!L97)</f>
        <v/>
      </c>
      <c r="M97" t="str">
        <f>ToResult(成就!M97)</f>
        <v/>
      </c>
      <c r="N97" t="str">
        <f>ToResult(成就!N97)</f>
        <v/>
      </c>
      <c r="O97" t="str">
        <f>ToResult(成就!O97)</f>
        <v/>
      </c>
    </row>
    <row r="98" spans="1:15">
      <c r="A98" t="str">
        <f>ToAchievement(成就!A98)</f>
        <v/>
      </c>
      <c r="B98" t="str">
        <f>ToResult(成就!B98)</f>
        <v/>
      </c>
      <c r="C98" t="str">
        <f>ToResult(成就!C98)</f>
        <v/>
      </c>
      <c r="D98" t="str">
        <f>ToResult(成就!D98)</f>
        <v/>
      </c>
      <c r="E98" t="str">
        <f>ToResult(成就!E98)</f>
        <v/>
      </c>
      <c r="F98" t="str">
        <f>ToResult(成就!F98)</f>
        <v/>
      </c>
      <c r="G98" t="str">
        <f>ToResult(成就!G98)</f>
        <v/>
      </c>
      <c r="H98" t="str">
        <f>ToResult(成就!H98)</f>
        <v/>
      </c>
      <c r="I98" t="str">
        <f>ToResult(成就!I98)</f>
        <v/>
      </c>
      <c r="J98" t="str">
        <f>ToResult(成就!J98)</f>
        <v/>
      </c>
      <c r="K98" t="str">
        <f>ToResult(成就!K98)</f>
        <v/>
      </c>
      <c r="L98" t="str">
        <f>ToResult(成就!L98)</f>
        <v/>
      </c>
      <c r="M98" t="str">
        <f>ToResult(成就!M98)</f>
        <v/>
      </c>
      <c r="N98" t="str">
        <f>ToResult(成就!N98)</f>
        <v/>
      </c>
      <c r="O98" t="str">
        <f>ToResult(成就!O98)</f>
        <v/>
      </c>
    </row>
    <row r="99" spans="1:15">
      <c r="A99" t="str">
        <f>ToAchievement(成就!A99)</f>
        <v/>
      </c>
      <c r="B99" t="str">
        <f>ToResult(成就!B99)</f>
        <v/>
      </c>
      <c r="C99" t="str">
        <f>ToResult(成就!C99)</f>
        <v/>
      </c>
      <c r="D99" t="str">
        <f>ToResult(成就!D99)</f>
        <v/>
      </c>
      <c r="E99" t="str">
        <f>ToResult(成就!E99)</f>
        <v/>
      </c>
      <c r="F99" t="str">
        <f>ToResult(成就!F99)</f>
        <v/>
      </c>
      <c r="G99" t="str">
        <f>ToResult(成就!G99)</f>
        <v/>
      </c>
      <c r="H99" t="str">
        <f>ToResult(成就!H99)</f>
        <v/>
      </c>
      <c r="I99" t="str">
        <f>ToResult(成就!I99)</f>
        <v/>
      </c>
      <c r="J99" t="str">
        <f>ToResult(成就!J99)</f>
        <v/>
      </c>
      <c r="K99" t="str">
        <f>ToResult(成就!K99)</f>
        <v/>
      </c>
      <c r="L99" t="str">
        <f>ToResult(成就!L99)</f>
        <v/>
      </c>
      <c r="M99" t="str">
        <f>ToResult(成就!M99)</f>
        <v/>
      </c>
      <c r="N99" t="str">
        <f>ToResult(成就!N99)</f>
        <v/>
      </c>
      <c r="O99" t="str">
        <f>ToResult(成就!O99)</f>
        <v/>
      </c>
    </row>
    <row r="100" spans="1:15">
      <c r="A100" t="str">
        <f>ToAchievement(成就!A100)</f>
        <v/>
      </c>
      <c r="B100" t="str">
        <f>ToResult(成就!B100)</f>
        <v/>
      </c>
      <c r="C100" t="str">
        <f>ToResult(成就!C100)</f>
        <v/>
      </c>
      <c r="D100" t="str">
        <f>ToResult(成就!D100)</f>
        <v/>
      </c>
      <c r="E100" t="str">
        <f>ToResult(成就!E100)</f>
        <v/>
      </c>
      <c r="F100" t="str">
        <f>ToResult(成就!F100)</f>
        <v/>
      </c>
      <c r="G100" t="str">
        <f>ToResult(成就!G100)</f>
        <v/>
      </c>
      <c r="H100" t="str">
        <f>ToResult(成就!H100)</f>
        <v/>
      </c>
      <c r="I100" t="str">
        <f>ToResult(成就!I100)</f>
        <v/>
      </c>
      <c r="J100" t="str">
        <f>ToResult(成就!J100)</f>
        <v/>
      </c>
      <c r="K100" t="str">
        <f>ToResult(成就!K100)</f>
        <v/>
      </c>
      <c r="L100" t="str">
        <f>ToResult(成就!L100)</f>
        <v/>
      </c>
      <c r="M100" t="str">
        <f>ToResult(成就!M100)</f>
        <v/>
      </c>
      <c r="N100" t="str">
        <f>ToResult(成就!N100)</f>
        <v/>
      </c>
      <c r="O100" t="str">
        <f>ToResult(成就!O100)</f>
        <v/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1:G100"/>
  <sheetViews>
    <sheetView workbookViewId="0">
      <selection activeCell="B1" sqref="B1:B1048576"/>
    </sheetView>
  </sheetViews>
  <sheetFormatPr defaultRowHeight="16.5"/>
  <cols>
    <col min="1" max="7" width="15.625" style="56" customWidth="1"/>
  </cols>
  <sheetData>
    <row r="1" spans="1:7" s="37" customFormat="1">
      <c r="A1" s="55" t="str">
        <f>收集!A1</f>
        <v>GUID</v>
      </c>
      <c r="B1" s="55" t="str">
        <f>收集!B1</f>
        <v>Lv1Reward</v>
      </c>
      <c r="C1" s="55" t="str">
        <f>收集!C1</f>
        <v>Lv2Reward</v>
      </c>
      <c r="D1" s="55" t="str">
        <f>收集!D1</f>
        <v>Lv3Reward</v>
      </c>
      <c r="E1" s="55" t="str">
        <f>收集!E1</f>
        <v>Lv4Reward</v>
      </c>
      <c r="F1" s="55" t="str">
        <f>收集!F1</f>
        <v>Lv5Reward</v>
      </c>
      <c r="G1" s="55" t="str">
        <f>收集!G1</f>
        <v>Lv6Reward</v>
      </c>
    </row>
    <row r="2" spans="1:7">
      <c r="A2" s="56" t="str">
        <f>ToResult(收集!A2)</f>
        <v>1</v>
      </c>
      <c r="B2" s="56" t="str">
        <f>ToResult(收集!B2)</f>
        <v>600</v>
      </c>
      <c r="C2" s="56" t="str">
        <f>ToResult(收集!C2)</f>
        <v>600</v>
      </c>
      <c r="D2" s="56" t="str">
        <f>ToResult(收集!D2)</f>
        <v>600</v>
      </c>
      <c r="E2" s="56" t="str">
        <f>ToResult(收集!E2)</f>
        <v>600</v>
      </c>
      <c r="F2" s="56" t="str">
        <f>ToResult(收集!F2)</f>
        <v>600</v>
      </c>
      <c r="G2" s="56" t="str">
        <f>ToResult(收集!G2)</f>
        <v>600</v>
      </c>
    </row>
    <row r="3" spans="1:7">
      <c r="A3" s="56" t="str">
        <f>ToResult(收集!A3)</f>
        <v>2</v>
      </c>
      <c r="B3" s="56" t="str">
        <f>ToResult(收集!B3)</f>
        <v>601</v>
      </c>
      <c r="C3" s="56" t="str">
        <f>ToResult(收集!C3)</f>
        <v>601</v>
      </c>
      <c r="D3" s="56" t="str">
        <f>ToResult(收集!D3)</f>
        <v>601</v>
      </c>
      <c r="E3" s="56" t="str">
        <f>ToResult(收集!E3)</f>
        <v>601</v>
      </c>
      <c r="F3" s="56" t="str">
        <f>ToResult(收集!F3)</f>
        <v>601</v>
      </c>
      <c r="G3" s="56" t="str">
        <f>ToResult(收集!G3)</f>
        <v>601</v>
      </c>
    </row>
    <row r="4" spans="1:7">
      <c r="A4" s="56" t="str">
        <f>ToResult(收集!A4)</f>
        <v>3</v>
      </c>
      <c r="B4" s="56" t="str">
        <f>ToResult(收集!B4)</f>
        <v>602</v>
      </c>
      <c r="C4" s="56" t="str">
        <f>ToResult(收集!C4)</f>
        <v>602</v>
      </c>
      <c r="D4" s="56" t="str">
        <f>ToResult(收集!D4)</f>
        <v>602</v>
      </c>
      <c r="E4" s="56" t="str">
        <f>ToResult(收集!E4)</f>
        <v>602</v>
      </c>
      <c r="F4" s="56" t="str">
        <f>ToResult(收集!F4)</f>
        <v>602</v>
      </c>
      <c r="G4" s="56" t="str">
        <f>ToResult(收集!G4)</f>
        <v>602</v>
      </c>
    </row>
    <row r="5" spans="1:7">
      <c r="A5" s="56" t="str">
        <f>ToResult(收集!A5)</f>
        <v>4</v>
      </c>
      <c r="B5" s="56" t="str">
        <f>ToResult(收集!B5)</f>
        <v>603</v>
      </c>
      <c r="C5" s="56" t="str">
        <f>ToResult(收集!C5)</f>
        <v>603</v>
      </c>
      <c r="D5" s="56" t="str">
        <f>ToResult(收集!D5)</f>
        <v>603</v>
      </c>
      <c r="E5" s="56" t="str">
        <f>ToResult(收集!E5)</f>
        <v>603</v>
      </c>
      <c r="F5" s="56" t="str">
        <f>ToResult(收集!F5)</f>
        <v>603</v>
      </c>
      <c r="G5" s="56" t="str">
        <f>ToResult(收集!G5)</f>
        <v>603</v>
      </c>
    </row>
    <row r="6" spans="1:7">
      <c r="A6" s="56" t="str">
        <f>ToResult(收集!A6)</f>
        <v>5</v>
      </c>
      <c r="B6" s="56" t="str">
        <f>ToResult(收集!B6)</f>
        <v>604</v>
      </c>
      <c r="C6" s="56" t="str">
        <f>ToResult(收集!C6)</f>
        <v>604</v>
      </c>
      <c r="D6" s="56" t="str">
        <f>ToResult(收集!D6)</f>
        <v>604</v>
      </c>
      <c r="E6" s="56" t="str">
        <f>ToResult(收集!E6)</f>
        <v>604</v>
      </c>
      <c r="F6" s="56" t="str">
        <f>ToResult(收集!F6)</f>
        <v>604</v>
      </c>
      <c r="G6" s="56" t="str">
        <f>ToResult(收集!G6)</f>
        <v>604</v>
      </c>
    </row>
    <row r="7" spans="1:7">
      <c r="A7" s="56" t="str">
        <f>ToResult(收集!A7)</f>
        <v>6</v>
      </c>
      <c r="B7" s="56" t="str">
        <f>ToResult(收集!B7)</f>
        <v>605</v>
      </c>
      <c r="C7" s="56" t="str">
        <f>ToResult(收集!C7)</f>
        <v>605</v>
      </c>
      <c r="D7" s="56" t="str">
        <f>ToResult(收集!D7)</f>
        <v>605</v>
      </c>
      <c r="E7" s="56" t="str">
        <f>ToResult(收集!E7)</f>
        <v>605</v>
      </c>
      <c r="F7" s="56" t="str">
        <f>ToResult(收集!F7)</f>
        <v>605</v>
      </c>
      <c r="G7" s="56" t="str">
        <f>ToResult(收集!G7)</f>
        <v>605</v>
      </c>
    </row>
    <row r="8" spans="1:7">
      <c r="A8" s="56" t="str">
        <f>ToResult(收集!A8)</f>
        <v>7</v>
      </c>
      <c r="B8" s="56" t="str">
        <f>ToResult(收集!B8)</f>
        <v>606</v>
      </c>
      <c r="C8" s="56" t="str">
        <f>ToResult(收集!C8)</f>
        <v>606</v>
      </c>
      <c r="D8" s="56" t="str">
        <f>ToResult(收集!D8)</f>
        <v>606</v>
      </c>
      <c r="E8" s="56" t="str">
        <f>ToResult(收集!E8)</f>
        <v>606</v>
      </c>
      <c r="F8" s="56" t="str">
        <f>ToResult(收集!F8)</f>
        <v>606</v>
      </c>
      <c r="G8" s="56" t="str">
        <f>ToResult(收集!G8)</f>
        <v>606</v>
      </c>
    </row>
    <row r="9" spans="1:7">
      <c r="A9" s="56" t="str">
        <f>ToResult(收集!A9)</f>
        <v>8</v>
      </c>
      <c r="B9" s="56" t="str">
        <f>ToResult(收集!B9)</f>
        <v>607</v>
      </c>
      <c r="C9" s="56" t="str">
        <f>ToResult(收集!C9)</f>
        <v>607</v>
      </c>
      <c r="D9" s="56" t="str">
        <f>ToResult(收集!D9)</f>
        <v>607</v>
      </c>
      <c r="E9" s="56" t="str">
        <f>ToResult(收集!E9)</f>
        <v>607</v>
      </c>
      <c r="F9" s="56" t="str">
        <f>ToResult(收集!F9)</f>
        <v>607</v>
      </c>
      <c r="G9" s="56" t="str">
        <f>ToResult(收集!G9)</f>
        <v>607</v>
      </c>
    </row>
    <row r="10" spans="1:7">
      <c r="A10" s="56" t="str">
        <f>ToResult(收集!A10)</f>
        <v/>
      </c>
      <c r="B10" s="56" t="str">
        <f>ToResult(收集!B10)</f>
        <v/>
      </c>
      <c r="C10" s="56" t="str">
        <f>ToResult(收集!C10)</f>
        <v/>
      </c>
      <c r="D10" s="56" t="str">
        <f>ToResult(收集!D10)</f>
        <v/>
      </c>
      <c r="E10" s="56" t="str">
        <f>ToResult(收集!E10)</f>
        <v/>
      </c>
      <c r="F10" s="56" t="str">
        <f>ToResult(收集!F10)</f>
        <v/>
      </c>
      <c r="G10" s="56" t="str">
        <f>ToResult(收集!G10)</f>
        <v/>
      </c>
    </row>
    <row r="11" spans="1:7">
      <c r="A11" s="56" t="str">
        <f>ToResult(收集!A11)</f>
        <v/>
      </c>
      <c r="B11" s="56" t="str">
        <f>ToResult(收集!B11)</f>
        <v/>
      </c>
      <c r="C11" s="56" t="str">
        <f>ToResult(收集!C11)</f>
        <v/>
      </c>
      <c r="D11" s="56" t="str">
        <f>ToResult(收集!D11)</f>
        <v/>
      </c>
      <c r="E11" s="56" t="str">
        <f>ToResult(收集!E11)</f>
        <v/>
      </c>
      <c r="F11" s="56" t="str">
        <f>ToResult(收集!F11)</f>
        <v/>
      </c>
      <c r="G11" s="56" t="str">
        <f>ToResult(收集!G11)</f>
        <v/>
      </c>
    </row>
    <row r="12" spans="1:7">
      <c r="A12" s="56" t="str">
        <f>ToResult(收集!A12)</f>
        <v/>
      </c>
      <c r="B12" s="56" t="str">
        <f>ToResult(收集!B12)</f>
        <v/>
      </c>
      <c r="C12" s="56" t="str">
        <f>ToResult(收集!C12)</f>
        <v/>
      </c>
      <c r="D12" s="56" t="str">
        <f>ToResult(收集!D12)</f>
        <v/>
      </c>
      <c r="E12" s="56" t="str">
        <f>ToResult(收集!E12)</f>
        <v/>
      </c>
      <c r="F12" s="56" t="str">
        <f>ToResult(收集!F12)</f>
        <v/>
      </c>
      <c r="G12" s="56" t="str">
        <f>ToResult(收集!G12)</f>
        <v/>
      </c>
    </row>
    <row r="13" spans="1:7">
      <c r="A13" s="56" t="str">
        <f>ToResult(收集!A13)</f>
        <v/>
      </c>
      <c r="B13" s="56" t="str">
        <f>ToResult(收集!B13)</f>
        <v/>
      </c>
      <c r="C13" s="56" t="str">
        <f>ToResult(收集!C13)</f>
        <v/>
      </c>
      <c r="D13" s="56" t="str">
        <f>ToResult(收集!D13)</f>
        <v/>
      </c>
      <c r="E13" s="56" t="str">
        <f>ToResult(收集!E13)</f>
        <v/>
      </c>
      <c r="F13" s="56" t="str">
        <f>ToResult(收集!F13)</f>
        <v/>
      </c>
      <c r="G13" s="56" t="str">
        <f>ToResult(收集!G13)</f>
        <v/>
      </c>
    </row>
    <row r="14" spans="1:7">
      <c r="A14" s="56" t="str">
        <f>ToResult(收集!A14)</f>
        <v/>
      </c>
      <c r="B14" s="56" t="str">
        <f>ToResult(收集!B14)</f>
        <v/>
      </c>
      <c r="C14" s="56" t="str">
        <f>ToResult(收集!C14)</f>
        <v/>
      </c>
      <c r="D14" s="56" t="str">
        <f>ToResult(收集!D14)</f>
        <v/>
      </c>
      <c r="E14" s="56" t="str">
        <f>ToResult(收集!E14)</f>
        <v/>
      </c>
      <c r="F14" s="56" t="str">
        <f>ToResult(收集!F14)</f>
        <v/>
      </c>
      <c r="G14" s="56" t="str">
        <f>ToResult(收集!G14)</f>
        <v/>
      </c>
    </row>
    <row r="15" spans="1:7">
      <c r="A15" s="56" t="str">
        <f>ToResult(收集!A15)</f>
        <v/>
      </c>
      <c r="B15" s="56" t="str">
        <f>ToResult(收集!B15)</f>
        <v/>
      </c>
      <c r="C15" s="56" t="str">
        <f>ToResult(收集!C15)</f>
        <v/>
      </c>
      <c r="D15" s="56" t="str">
        <f>ToResult(收集!D15)</f>
        <v/>
      </c>
      <c r="E15" s="56" t="str">
        <f>ToResult(收集!E15)</f>
        <v/>
      </c>
      <c r="F15" s="56" t="str">
        <f>ToResult(收集!F15)</f>
        <v/>
      </c>
      <c r="G15" s="56" t="str">
        <f>ToResult(收集!G15)</f>
        <v/>
      </c>
    </row>
    <row r="16" spans="1:7">
      <c r="A16" s="56" t="str">
        <f>ToResult(收集!A16)</f>
        <v/>
      </c>
      <c r="B16" s="56" t="str">
        <f>ToResult(收集!B16)</f>
        <v/>
      </c>
      <c r="C16" s="56" t="str">
        <f>ToResult(收集!C16)</f>
        <v/>
      </c>
      <c r="D16" s="56" t="str">
        <f>ToResult(收集!D16)</f>
        <v/>
      </c>
      <c r="E16" s="56" t="str">
        <f>ToResult(收集!E16)</f>
        <v/>
      </c>
      <c r="F16" s="56" t="str">
        <f>ToResult(收集!F16)</f>
        <v/>
      </c>
      <c r="G16" s="56" t="str">
        <f>ToResult(收集!G16)</f>
        <v/>
      </c>
    </row>
    <row r="17" spans="1:7">
      <c r="A17" s="56" t="str">
        <f>ToResult(收集!A17)</f>
        <v/>
      </c>
      <c r="B17" s="56" t="str">
        <f>ToResult(收集!B17)</f>
        <v/>
      </c>
      <c r="C17" s="56" t="str">
        <f>ToResult(收集!C17)</f>
        <v/>
      </c>
      <c r="D17" s="56" t="str">
        <f>ToResult(收集!D17)</f>
        <v/>
      </c>
      <c r="E17" s="56" t="str">
        <f>ToResult(收集!E17)</f>
        <v/>
      </c>
      <c r="F17" s="56" t="str">
        <f>ToResult(收集!F17)</f>
        <v/>
      </c>
      <c r="G17" s="56" t="str">
        <f>ToResult(收集!G17)</f>
        <v/>
      </c>
    </row>
    <row r="18" spans="1:7">
      <c r="A18" s="56" t="str">
        <f>ToResult(收集!A18)</f>
        <v/>
      </c>
      <c r="B18" s="56" t="str">
        <f>ToResult(收集!B18)</f>
        <v/>
      </c>
      <c r="C18" s="56" t="str">
        <f>ToResult(收集!C18)</f>
        <v/>
      </c>
      <c r="D18" s="56" t="str">
        <f>ToResult(收集!D18)</f>
        <v/>
      </c>
      <c r="E18" s="56" t="str">
        <f>ToResult(收集!E18)</f>
        <v/>
      </c>
      <c r="F18" s="56" t="str">
        <f>ToResult(收集!F18)</f>
        <v/>
      </c>
      <c r="G18" s="56" t="str">
        <f>ToResult(收集!G18)</f>
        <v/>
      </c>
    </row>
    <row r="19" spans="1:7">
      <c r="A19" s="56" t="str">
        <f>ToResult(收集!A19)</f>
        <v/>
      </c>
      <c r="B19" s="56" t="str">
        <f>ToResult(收集!B19)</f>
        <v/>
      </c>
      <c r="C19" s="56" t="str">
        <f>ToResult(收集!C19)</f>
        <v/>
      </c>
      <c r="D19" s="56" t="str">
        <f>ToResult(收集!D19)</f>
        <v/>
      </c>
      <c r="E19" s="56" t="str">
        <f>ToResult(收集!E19)</f>
        <v/>
      </c>
      <c r="F19" s="56" t="str">
        <f>ToResult(收集!F19)</f>
        <v/>
      </c>
      <c r="G19" s="56" t="str">
        <f>ToResult(收集!G19)</f>
        <v/>
      </c>
    </row>
    <row r="20" spans="1:7">
      <c r="A20" s="56" t="str">
        <f>ToResult(收集!A20)</f>
        <v/>
      </c>
      <c r="B20" s="56" t="str">
        <f>ToResult(收集!B20)</f>
        <v/>
      </c>
      <c r="C20" s="56" t="str">
        <f>ToResult(收集!C20)</f>
        <v/>
      </c>
      <c r="D20" s="56" t="str">
        <f>ToResult(收集!D20)</f>
        <v/>
      </c>
      <c r="E20" s="56" t="str">
        <f>ToResult(收集!E20)</f>
        <v/>
      </c>
      <c r="F20" s="56" t="str">
        <f>ToResult(收集!F20)</f>
        <v/>
      </c>
      <c r="G20" s="56" t="str">
        <f>ToResult(收集!G20)</f>
        <v/>
      </c>
    </row>
    <row r="21" spans="1:7">
      <c r="A21" s="56" t="str">
        <f>ToResult(收集!A21)</f>
        <v/>
      </c>
      <c r="B21" s="56" t="str">
        <f>ToResult(收集!B21)</f>
        <v/>
      </c>
      <c r="C21" s="56" t="str">
        <f>ToResult(收集!C21)</f>
        <v/>
      </c>
      <c r="D21" s="56" t="str">
        <f>ToResult(收集!D21)</f>
        <v/>
      </c>
      <c r="E21" s="56" t="str">
        <f>ToResult(收集!E21)</f>
        <v/>
      </c>
      <c r="F21" s="56" t="str">
        <f>ToResult(收集!F21)</f>
        <v/>
      </c>
      <c r="G21" s="56" t="str">
        <f>ToResult(收集!G21)</f>
        <v/>
      </c>
    </row>
    <row r="22" spans="1:7">
      <c r="A22" s="56" t="str">
        <f>ToResult(收集!A22)</f>
        <v/>
      </c>
      <c r="B22" s="56" t="str">
        <f>ToResult(收集!B22)</f>
        <v/>
      </c>
      <c r="C22" s="56" t="str">
        <f>ToResult(收集!C22)</f>
        <v/>
      </c>
      <c r="D22" s="56" t="str">
        <f>ToResult(收集!D22)</f>
        <v/>
      </c>
      <c r="E22" s="56" t="str">
        <f>ToResult(收集!E22)</f>
        <v/>
      </c>
      <c r="F22" s="56" t="str">
        <f>ToResult(收集!F22)</f>
        <v/>
      </c>
      <c r="G22" s="56" t="str">
        <f>ToResult(收集!G22)</f>
        <v/>
      </c>
    </row>
    <row r="23" spans="1:7">
      <c r="A23" s="56" t="str">
        <f>ToResult(收集!A23)</f>
        <v/>
      </c>
      <c r="B23" s="56" t="str">
        <f>ToResult(收集!B23)</f>
        <v/>
      </c>
      <c r="C23" s="56" t="str">
        <f>ToResult(收集!C23)</f>
        <v/>
      </c>
      <c r="D23" s="56" t="str">
        <f>ToResult(收集!D23)</f>
        <v/>
      </c>
      <c r="E23" s="56" t="str">
        <f>ToResult(收集!E23)</f>
        <v/>
      </c>
      <c r="F23" s="56" t="str">
        <f>ToResult(收集!F23)</f>
        <v/>
      </c>
      <c r="G23" s="56" t="str">
        <f>ToResult(收集!G23)</f>
        <v/>
      </c>
    </row>
    <row r="24" spans="1:7">
      <c r="A24" s="56" t="str">
        <f>ToResult(收集!A24)</f>
        <v/>
      </c>
      <c r="B24" s="56" t="str">
        <f>ToResult(收集!B24)</f>
        <v/>
      </c>
      <c r="C24" s="56" t="str">
        <f>ToResult(收集!C24)</f>
        <v/>
      </c>
      <c r="D24" s="56" t="str">
        <f>ToResult(收集!D24)</f>
        <v/>
      </c>
      <c r="E24" s="56" t="str">
        <f>ToResult(收集!E24)</f>
        <v/>
      </c>
      <c r="F24" s="56" t="str">
        <f>ToResult(收集!F24)</f>
        <v/>
      </c>
      <c r="G24" s="56" t="str">
        <f>ToResult(收集!G24)</f>
        <v/>
      </c>
    </row>
    <row r="25" spans="1:7">
      <c r="A25" s="56" t="str">
        <f>ToResult(收集!A25)</f>
        <v/>
      </c>
      <c r="B25" s="56" t="str">
        <f>ToResult(收集!B25)</f>
        <v/>
      </c>
      <c r="C25" s="56" t="str">
        <f>ToResult(收集!C25)</f>
        <v/>
      </c>
      <c r="D25" s="56" t="str">
        <f>ToResult(收集!D25)</f>
        <v/>
      </c>
      <c r="E25" s="56" t="str">
        <f>ToResult(收集!E25)</f>
        <v/>
      </c>
      <c r="F25" s="56" t="str">
        <f>ToResult(收集!F25)</f>
        <v/>
      </c>
      <c r="G25" s="56" t="str">
        <f>ToResult(收集!G25)</f>
        <v/>
      </c>
    </row>
    <row r="26" spans="1:7">
      <c r="A26" s="56" t="str">
        <f>ToResult(收集!A26)</f>
        <v/>
      </c>
      <c r="B26" s="56" t="str">
        <f>ToResult(收集!B26)</f>
        <v/>
      </c>
      <c r="C26" s="56" t="str">
        <f>ToResult(收集!C26)</f>
        <v/>
      </c>
      <c r="D26" s="56" t="str">
        <f>ToResult(收集!D26)</f>
        <v/>
      </c>
      <c r="E26" s="56" t="str">
        <f>ToResult(收集!E26)</f>
        <v/>
      </c>
      <c r="F26" s="56" t="str">
        <f>ToResult(收集!F26)</f>
        <v/>
      </c>
      <c r="G26" s="56" t="str">
        <f>ToResult(收集!G26)</f>
        <v/>
      </c>
    </row>
    <row r="27" spans="1:7">
      <c r="A27" s="56" t="str">
        <f>ToResult(收集!A27)</f>
        <v/>
      </c>
      <c r="B27" s="56" t="str">
        <f>ToResult(收集!B27)</f>
        <v/>
      </c>
      <c r="C27" s="56" t="str">
        <f>ToResult(收集!C27)</f>
        <v/>
      </c>
      <c r="D27" s="56" t="str">
        <f>ToResult(收集!D27)</f>
        <v/>
      </c>
      <c r="E27" s="56" t="str">
        <f>ToResult(收集!E27)</f>
        <v/>
      </c>
      <c r="F27" s="56" t="str">
        <f>ToResult(收集!F27)</f>
        <v/>
      </c>
      <c r="G27" s="56" t="str">
        <f>ToResult(收集!G27)</f>
        <v/>
      </c>
    </row>
    <row r="28" spans="1:7">
      <c r="A28" s="56" t="str">
        <f>ToResult(收集!A28)</f>
        <v/>
      </c>
      <c r="B28" s="56" t="str">
        <f>ToResult(收集!B28)</f>
        <v/>
      </c>
      <c r="C28" s="56" t="str">
        <f>ToResult(收集!C28)</f>
        <v/>
      </c>
      <c r="D28" s="56" t="str">
        <f>ToResult(收集!D28)</f>
        <v/>
      </c>
      <c r="E28" s="56" t="str">
        <f>ToResult(收集!E28)</f>
        <v/>
      </c>
      <c r="F28" s="56" t="str">
        <f>ToResult(收集!F28)</f>
        <v/>
      </c>
      <c r="G28" s="56" t="str">
        <f>ToResult(收集!G28)</f>
        <v/>
      </c>
    </row>
    <row r="29" spans="1:7">
      <c r="A29" s="56" t="str">
        <f>ToResult(收集!A29)</f>
        <v/>
      </c>
      <c r="B29" s="56" t="str">
        <f>ToResult(收集!B29)</f>
        <v/>
      </c>
      <c r="C29" s="56" t="str">
        <f>ToResult(收集!C29)</f>
        <v/>
      </c>
      <c r="D29" s="56" t="str">
        <f>ToResult(收集!D29)</f>
        <v/>
      </c>
      <c r="E29" s="56" t="str">
        <f>ToResult(收集!E29)</f>
        <v/>
      </c>
      <c r="F29" s="56" t="str">
        <f>ToResult(收集!F29)</f>
        <v/>
      </c>
      <c r="G29" s="56" t="str">
        <f>ToResult(收集!G29)</f>
        <v/>
      </c>
    </row>
    <row r="30" spans="1:7">
      <c r="A30" s="56" t="str">
        <f>ToResult(收集!A30)</f>
        <v/>
      </c>
      <c r="B30" s="56" t="str">
        <f>ToResult(收集!B30)</f>
        <v/>
      </c>
      <c r="C30" s="56" t="str">
        <f>ToResult(收集!C30)</f>
        <v/>
      </c>
      <c r="D30" s="56" t="str">
        <f>ToResult(收集!D30)</f>
        <v/>
      </c>
      <c r="E30" s="56" t="str">
        <f>ToResult(收集!E30)</f>
        <v/>
      </c>
      <c r="F30" s="56" t="str">
        <f>ToResult(收集!F30)</f>
        <v/>
      </c>
      <c r="G30" s="56" t="str">
        <f>ToResult(收集!G30)</f>
        <v/>
      </c>
    </row>
    <row r="31" spans="1:7">
      <c r="A31" s="56" t="str">
        <f>ToResult(收集!A31)</f>
        <v/>
      </c>
      <c r="B31" s="56" t="str">
        <f>ToResult(收集!B31)</f>
        <v/>
      </c>
      <c r="C31" s="56" t="str">
        <f>ToResult(收集!C31)</f>
        <v/>
      </c>
      <c r="D31" s="56" t="str">
        <f>ToResult(收集!D31)</f>
        <v/>
      </c>
      <c r="E31" s="56" t="str">
        <f>ToResult(收集!E31)</f>
        <v/>
      </c>
      <c r="F31" s="56" t="str">
        <f>ToResult(收集!F31)</f>
        <v/>
      </c>
      <c r="G31" s="56" t="str">
        <f>ToResult(收集!G31)</f>
        <v/>
      </c>
    </row>
    <row r="32" spans="1:7">
      <c r="A32" s="56" t="str">
        <f>ToResult(收集!A32)</f>
        <v/>
      </c>
      <c r="B32" s="56" t="str">
        <f>ToResult(收集!B32)</f>
        <v/>
      </c>
      <c r="C32" s="56" t="str">
        <f>ToResult(收集!C32)</f>
        <v/>
      </c>
      <c r="D32" s="56" t="str">
        <f>ToResult(收集!D32)</f>
        <v/>
      </c>
      <c r="E32" s="56" t="str">
        <f>ToResult(收集!E32)</f>
        <v/>
      </c>
      <c r="F32" s="56" t="str">
        <f>ToResult(收集!F32)</f>
        <v/>
      </c>
      <c r="G32" s="56" t="str">
        <f>ToResult(收集!G32)</f>
        <v/>
      </c>
    </row>
    <row r="33" spans="1:7">
      <c r="A33" s="56" t="str">
        <f>ToResult(收集!A33)</f>
        <v/>
      </c>
      <c r="B33" s="56" t="str">
        <f>ToResult(收集!B33)</f>
        <v/>
      </c>
      <c r="C33" s="56" t="str">
        <f>ToResult(收集!C33)</f>
        <v/>
      </c>
      <c r="D33" s="56" t="str">
        <f>ToResult(收集!D33)</f>
        <v/>
      </c>
      <c r="E33" s="56" t="str">
        <f>ToResult(收集!E33)</f>
        <v/>
      </c>
      <c r="F33" s="56" t="str">
        <f>ToResult(收集!F33)</f>
        <v/>
      </c>
      <c r="G33" s="56" t="str">
        <f>ToResult(收集!G33)</f>
        <v/>
      </c>
    </row>
    <row r="34" spans="1:7">
      <c r="A34" s="56" t="str">
        <f>ToResult(收集!A34)</f>
        <v/>
      </c>
      <c r="B34" s="56" t="str">
        <f>ToResult(收集!B34)</f>
        <v/>
      </c>
      <c r="C34" s="56" t="str">
        <f>ToResult(收集!C34)</f>
        <v/>
      </c>
      <c r="D34" s="56" t="str">
        <f>ToResult(收集!D34)</f>
        <v/>
      </c>
      <c r="E34" s="56" t="str">
        <f>ToResult(收集!E34)</f>
        <v/>
      </c>
      <c r="F34" s="56" t="str">
        <f>ToResult(收集!F34)</f>
        <v/>
      </c>
      <c r="G34" s="56" t="str">
        <f>ToResult(收集!G34)</f>
        <v/>
      </c>
    </row>
    <row r="35" spans="1:7">
      <c r="A35" s="56" t="str">
        <f>ToResult(收集!A35)</f>
        <v/>
      </c>
      <c r="B35" s="56" t="str">
        <f>ToResult(收集!B35)</f>
        <v/>
      </c>
      <c r="C35" s="56" t="str">
        <f>ToResult(收集!C35)</f>
        <v/>
      </c>
      <c r="D35" s="56" t="str">
        <f>ToResult(收集!D35)</f>
        <v/>
      </c>
      <c r="E35" s="56" t="str">
        <f>ToResult(收集!E35)</f>
        <v/>
      </c>
      <c r="F35" s="56" t="str">
        <f>ToResult(收集!F35)</f>
        <v/>
      </c>
      <c r="G35" s="56" t="str">
        <f>ToResult(收集!G35)</f>
        <v/>
      </c>
    </row>
    <row r="36" spans="1:7">
      <c r="A36" s="56" t="str">
        <f>ToResult(收集!A36)</f>
        <v/>
      </c>
      <c r="B36" s="56" t="str">
        <f>ToResult(收集!B36)</f>
        <v/>
      </c>
      <c r="C36" s="56" t="str">
        <f>ToResult(收集!C36)</f>
        <v/>
      </c>
      <c r="D36" s="56" t="str">
        <f>ToResult(收集!D36)</f>
        <v/>
      </c>
      <c r="E36" s="56" t="str">
        <f>ToResult(收集!E36)</f>
        <v/>
      </c>
      <c r="F36" s="56" t="str">
        <f>ToResult(收集!F36)</f>
        <v/>
      </c>
      <c r="G36" s="56" t="str">
        <f>ToResult(收集!G36)</f>
        <v/>
      </c>
    </row>
    <row r="37" spans="1:7">
      <c r="A37" s="56" t="str">
        <f>ToResult(收集!A37)</f>
        <v/>
      </c>
      <c r="B37" s="56" t="str">
        <f>ToResult(收集!B37)</f>
        <v/>
      </c>
      <c r="C37" s="56" t="str">
        <f>ToResult(收集!C37)</f>
        <v/>
      </c>
      <c r="D37" s="56" t="str">
        <f>ToResult(收集!D37)</f>
        <v/>
      </c>
      <c r="E37" s="56" t="str">
        <f>ToResult(收集!E37)</f>
        <v/>
      </c>
      <c r="F37" s="56" t="str">
        <f>ToResult(收集!F37)</f>
        <v/>
      </c>
      <c r="G37" s="56" t="str">
        <f>ToResult(收集!G37)</f>
        <v/>
      </c>
    </row>
    <row r="38" spans="1:7">
      <c r="A38" s="56" t="str">
        <f>ToResult(收集!A38)</f>
        <v/>
      </c>
      <c r="B38" s="56" t="str">
        <f>ToResult(收集!B38)</f>
        <v/>
      </c>
      <c r="C38" s="56" t="str">
        <f>ToResult(收集!C38)</f>
        <v/>
      </c>
      <c r="D38" s="56" t="str">
        <f>ToResult(收集!D38)</f>
        <v/>
      </c>
      <c r="E38" s="56" t="str">
        <f>ToResult(收集!E38)</f>
        <v/>
      </c>
      <c r="F38" s="56" t="str">
        <f>ToResult(收集!F38)</f>
        <v/>
      </c>
      <c r="G38" s="56" t="str">
        <f>ToResult(收集!G38)</f>
        <v/>
      </c>
    </row>
    <row r="39" spans="1:7">
      <c r="A39" s="56" t="str">
        <f>ToResult(收集!A39)</f>
        <v/>
      </c>
      <c r="B39" s="56" t="str">
        <f>ToResult(收集!B39)</f>
        <v/>
      </c>
      <c r="C39" s="56" t="str">
        <f>ToResult(收集!C39)</f>
        <v/>
      </c>
      <c r="D39" s="56" t="str">
        <f>ToResult(收集!D39)</f>
        <v/>
      </c>
      <c r="E39" s="56" t="str">
        <f>ToResult(收集!E39)</f>
        <v/>
      </c>
      <c r="F39" s="56" t="str">
        <f>ToResult(收集!F39)</f>
        <v/>
      </c>
      <c r="G39" s="56" t="str">
        <f>ToResult(收集!G39)</f>
        <v/>
      </c>
    </row>
    <row r="40" spans="1:7">
      <c r="A40" s="56" t="str">
        <f>ToResult(收集!A40)</f>
        <v/>
      </c>
      <c r="B40" s="56" t="str">
        <f>ToResult(收集!B40)</f>
        <v/>
      </c>
      <c r="C40" s="56" t="str">
        <f>ToResult(收集!C40)</f>
        <v/>
      </c>
      <c r="D40" s="56" t="str">
        <f>ToResult(收集!D40)</f>
        <v/>
      </c>
      <c r="E40" s="56" t="str">
        <f>ToResult(收集!E40)</f>
        <v/>
      </c>
      <c r="F40" s="56" t="str">
        <f>ToResult(收集!F40)</f>
        <v/>
      </c>
      <c r="G40" s="56" t="str">
        <f>ToResult(收集!G40)</f>
        <v/>
      </c>
    </row>
    <row r="41" spans="1:7">
      <c r="A41" s="56" t="str">
        <f>ToResult(收集!A41)</f>
        <v/>
      </c>
      <c r="B41" s="56" t="str">
        <f>ToResult(收集!B41)</f>
        <v/>
      </c>
      <c r="C41" s="56" t="str">
        <f>ToResult(收集!C41)</f>
        <v/>
      </c>
      <c r="D41" s="56" t="str">
        <f>ToResult(收集!D41)</f>
        <v/>
      </c>
      <c r="E41" s="56" t="str">
        <f>ToResult(收集!E41)</f>
        <v/>
      </c>
      <c r="F41" s="56" t="str">
        <f>ToResult(收集!F41)</f>
        <v/>
      </c>
      <c r="G41" s="56" t="str">
        <f>ToResult(收集!G41)</f>
        <v/>
      </c>
    </row>
    <row r="42" spans="1:7">
      <c r="A42" s="56" t="str">
        <f>ToResult(收集!A42)</f>
        <v/>
      </c>
      <c r="B42" s="56" t="str">
        <f>ToResult(收集!B42)</f>
        <v/>
      </c>
      <c r="C42" s="56" t="str">
        <f>ToResult(收集!C42)</f>
        <v/>
      </c>
      <c r="D42" s="56" t="str">
        <f>ToResult(收集!D42)</f>
        <v/>
      </c>
      <c r="E42" s="56" t="str">
        <f>ToResult(收集!E42)</f>
        <v/>
      </c>
      <c r="F42" s="56" t="str">
        <f>ToResult(收集!F42)</f>
        <v/>
      </c>
      <c r="G42" s="56" t="str">
        <f>ToResult(收集!G42)</f>
        <v/>
      </c>
    </row>
    <row r="43" spans="1:7">
      <c r="A43" s="56" t="str">
        <f>ToResult(收集!A43)</f>
        <v/>
      </c>
      <c r="B43" s="56" t="str">
        <f>ToResult(收集!B43)</f>
        <v/>
      </c>
      <c r="C43" s="56" t="str">
        <f>ToResult(收集!C43)</f>
        <v/>
      </c>
      <c r="D43" s="56" t="str">
        <f>ToResult(收集!D43)</f>
        <v/>
      </c>
      <c r="E43" s="56" t="str">
        <f>ToResult(收集!E43)</f>
        <v/>
      </c>
      <c r="F43" s="56" t="str">
        <f>ToResult(收集!F43)</f>
        <v/>
      </c>
      <c r="G43" s="56" t="str">
        <f>ToResult(收集!G43)</f>
        <v/>
      </c>
    </row>
    <row r="44" spans="1:7">
      <c r="A44" s="56" t="str">
        <f>ToResult(收集!A44)</f>
        <v/>
      </c>
      <c r="B44" s="56" t="str">
        <f>ToResult(收集!B44)</f>
        <v/>
      </c>
      <c r="C44" s="56" t="str">
        <f>ToResult(收集!C44)</f>
        <v/>
      </c>
      <c r="D44" s="56" t="str">
        <f>ToResult(收集!D44)</f>
        <v/>
      </c>
      <c r="E44" s="56" t="str">
        <f>ToResult(收集!E44)</f>
        <v/>
      </c>
      <c r="F44" s="56" t="str">
        <f>ToResult(收集!F44)</f>
        <v/>
      </c>
      <c r="G44" s="56" t="str">
        <f>ToResult(收集!G44)</f>
        <v/>
      </c>
    </row>
    <row r="45" spans="1:7">
      <c r="A45" s="56" t="str">
        <f>ToResult(收集!A45)</f>
        <v/>
      </c>
      <c r="B45" s="56" t="str">
        <f>ToResult(收集!B45)</f>
        <v/>
      </c>
      <c r="C45" s="56" t="str">
        <f>ToResult(收集!C45)</f>
        <v/>
      </c>
      <c r="D45" s="56" t="str">
        <f>ToResult(收集!D45)</f>
        <v/>
      </c>
      <c r="E45" s="56" t="str">
        <f>ToResult(收集!E45)</f>
        <v/>
      </c>
      <c r="F45" s="56" t="str">
        <f>ToResult(收集!F45)</f>
        <v/>
      </c>
      <c r="G45" s="56" t="str">
        <f>ToResult(收集!G45)</f>
        <v/>
      </c>
    </row>
    <row r="46" spans="1:7">
      <c r="A46" s="56" t="str">
        <f>ToResult(收集!A46)</f>
        <v/>
      </c>
      <c r="B46" s="56" t="str">
        <f>ToResult(收集!B46)</f>
        <v/>
      </c>
      <c r="C46" s="56" t="str">
        <f>ToResult(收集!C46)</f>
        <v/>
      </c>
      <c r="D46" s="56" t="str">
        <f>ToResult(收集!D46)</f>
        <v/>
      </c>
      <c r="E46" s="56" t="str">
        <f>ToResult(收集!E46)</f>
        <v/>
      </c>
      <c r="F46" s="56" t="str">
        <f>ToResult(收集!F46)</f>
        <v/>
      </c>
      <c r="G46" s="56" t="str">
        <f>ToResult(收集!G46)</f>
        <v/>
      </c>
    </row>
    <row r="47" spans="1:7">
      <c r="A47" s="56" t="str">
        <f>ToResult(收集!A47)</f>
        <v/>
      </c>
      <c r="B47" s="56" t="str">
        <f>ToResult(收集!B47)</f>
        <v/>
      </c>
      <c r="C47" s="56" t="str">
        <f>ToResult(收集!C47)</f>
        <v/>
      </c>
      <c r="D47" s="56" t="str">
        <f>ToResult(收集!D47)</f>
        <v/>
      </c>
      <c r="E47" s="56" t="str">
        <f>ToResult(收集!E47)</f>
        <v/>
      </c>
      <c r="F47" s="56" t="str">
        <f>ToResult(收集!F47)</f>
        <v/>
      </c>
      <c r="G47" s="56" t="str">
        <f>ToResult(收集!G47)</f>
        <v/>
      </c>
    </row>
    <row r="48" spans="1:7">
      <c r="A48" s="56" t="str">
        <f>ToResult(收集!A48)</f>
        <v/>
      </c>
      <c r="B48" s="56" t="str">
        <f>ToResult(收集!B48)</f>
        <v/>
      </c>
      <c r="C48" s="56" t="str">
        <f>ToResult(收集!C48)</f>
        <v/>
      </c>
      <c r="D48" s="56" t="str">
        <f>ToResult(收集!D48)</f>
        <v/>
      </c>
      <c r="E48" s="56" t="str">
        <f>ToResult(收集!E48)</f>
        <v/>
      </c>
      <c r="F48" s="56" t="str">
        <f>ToResult(收集!F48)</f>
        <v/>
      </c>
      <c r="G48" s="56" t="str">
        <f>ToResult(收集!G48)</f>
        <v/>
      </c>
    </row>
    <row r="49" spans="1:7">
      <c r="A49" s="56" t="str">
        <f>ToResult(收集!A49)</f>
        <v/>
      </c>
      <c r="B49" s="56" t="str">
        <f>ToResult(收集!B49)</f>
        <v/>
      </c>
      <c r="C49" s="56" t="str">
        <f>ToResult(收集!C49)</f>
        <v/>
      </c>
      <c r="D49" s="56" t="str">
        <f>ToResult(收集!D49)</f>
        <v/>
      </c>
      <c r="E49" s="56" t="str">
        <f>ToResult(收集!E49)</f>
        <v/>
      </c>
      <c r="F49" s="56" t="str">
        <f>ToResult(收集!F49)</f>
        <v/>
      </c>
      <c r="G49" s="56" t="str">
        <f>ToResult(收集!G49)</f>
        <v/>
      </c>
    </row>
    <row r="50" spans="1:7">
      <c r="A50" s="56" t="str">
        <f>ToResult(收集!A50)</f>
        <v/>
      </c>
      <c r="B50" s="56" t="str">
        <f>ToResult(收集!B50)</f>
        <v/>
      </c>
      <c r="C50" s="56" t="str">
        <f>ToResult(收集!C50)</f>
        <v/>
      </c>
      <c r="D50" s="56" t="str">
        <f>ToResult(收集!D50)</f>
        <v/>
      </c>
      <c r="E50" s="56" t="str">
        <f>ToResult(收集!E50)</f>
        <v/>
      </c>
      <c r="F50" s="56" t="str">
        <f>ToResult(收集!F50)</f>
        <v/>
      </c>
      <c r="G50" s="56" t="str">
        <f>ToResult(收集!G50)</f>
        <v/>
      </c>
    </row>
    <row r="51" spans="1:7">
      <c r="A51" s="56" t="str">
        <f>ToResult(收集!A51)</f>
        <v/>
      </c>
      <c r="B51" s="56" t="str">
        <f>ToResult(收集!B51)</f>
        <v/>
      </c>
      <c r="C51" s="56" t="str">
        <f>ToResult(收集!C51)</f>
        <v/>
      </c>
      <c r="D51" s="56" t="str">
        <f>ToResult(收集!D51)</f>
        <v/>
      </c>
      <c r="E51" s="56" t="str">
        <f>ToResult(收集!E51)</f>
        <v/>
      </c>
      <c r="F51" s="56" t="str">
        <f>ToResult(收集!F51)</f>
        <v/>
      </c>
      <c r="G51" s="56" t="str">
        <f>ToResult(收集!G51)</f>
        <v/>
      </c>
    </row>
    <row r="52" spans="1:7">
      <c r="A52" s="56" t="str">
        <f>ToResult(收集!A52)</f>
        <v/>
      </c>
      <c r="B52" s="56" t="str">
        <f>ToResult(收集!B52)</f>
        <v/>
      </c>
      <c r="C52" s="56" t="str">
        <f>ToResult(收集!C52)</f>
        <v/>
      </c>
      <c r="D52" s="56" t="str">
        <f>ToResult(收集!D52)</f>
        <v/>
      </c>
      <c r="E52" s="56" t="str">
        <f>ToResult(收集!E52)</f>
        <v/>
      </c>
      <c r="F52" s="56" t="str">
        <f>ToResult(收集!F52)</f>
        <v/>
      </c>
      <c r="G52" s="56" t="str">
        <f>ToResult(收集!G52)</f>
        <v/>
      </c>
    </row>
    <row r="53" spans="1:7">
      <c r="A53" s="56" t="str">
        <f>ToResult(收集!A53)</f>
        <v/>
      </c>
      <c r="B53" s="56" t="str">
        <f>ToResult(收集!B53)</f>
        <v/>
      </c>
      <c r="C53" s="56" t="str">
        <f>ToResult(收集!C53)</f>
        <v/>
      </c>
      <c r="D53" s="56" t="str">
        <f>ToResult(收集!D53)</f>
        <v/>
      </c>
      <c r="E53" s="56" t="str">
        <f>ToResult(收集!E53)</f>
        <v/>
      </c>
      <c r="F53" s="56" t="str">
        <f>ToResult(收集!F53)</f>
        <v/>
      </c>
      <c r="G53" s="56" t="str">
        <f>ToResult(收集!G53)</f>
        <v/>
      </c>
    </row>
    <row r="54" spans="1:7">
      <c r="A54" s="56" t="str">
        <f>ToResult(收集!A54)</f>
        <v/>
      </c>
      <c r="B54" s="56" t="str">
        <f>ToResult(收集!B54)</f>
        <v/>
      </c>
      <c r="C54" s="56" t="str">
        <f>ToResult(收集!C54)</f>
        <v/>
      </c>
      <c r="D54" s="56" t="str">
        <f>ToResult(收集!D54)</f>
        <v/>
      </c>
      <c r="E54" s="56" t="str">
        <f>ToResult(收集!E54)</f>
        <v/>
      </c>
      <c r="F54" s="56" t="str">
        <f>ToResult(收集!F54)</f>
        <v/>
      </c>
      <c r="G54" s="56" t="str">
        <f>ToResult(收集!G54)</f>
        <v/>
      </c>
    </row>
    <row r="55" spans="1:7">
      <c r="A55" s="56" t="str">
        <f>ToResult(收集!A55)</f>
        <v/>
      </c>
      <c r="B55" s="56" t="str">
        <f>ToResult(收集!B55)</f>
        <v/>
      </c>
      <c r="C55" s="56" t="str">
        <f>ToResult(收集!C55)</f>
        <v/>
      </c>
      <c r="D55" s="56" t="str">
        <f>ToResult(收集!D55)</f>
        <v/>
      </c>
      <c r="E55" s="56" t="str">
        <f>ToResult(收集!E55)</f>
        <v/>
      </c>
      <c r="F55" s="56" t="str">
        <f>ToResult(收集!F55)</f>
        <v/>
      </c>
      <c r="G55" s="56" t="str">
        <f>ToResult(收集!G55)</f>
        <v/>
      </c>
    </row>
    <row r="56" spans="1:7">
      <c r="A56" s="56" t="str">
        <f>ToResult(收集!A56)</f>
        <v/>
      </c>
      <c r="B56" s="56" t="str">
        <f>ToResult(收集!B56)</f>
        <v/>
      </c>
      <c r="C56" s="56" t="str">
        <f>ToResult(收集!C56)</f>
        <v/>
      </c>
      <c r="D56" s="56" t="str">
        <f>ToResult(收集!D56)</f>
        <v/>
      </c>
      <c r="E56" s="56" t="str">
        <f>ToResult(收集!E56)</f>
        <v/>
      </c>
      <c r="F56" s="56" t="str">
        <f>ToResult(收集!F56)</f>
        <v/>
      </c>
      <c r="G56" s="56" t="str">
        <f>ToResult(收集!G56)</f>
        <v/>
      </c>
    </row>
    <row r="57" spans="1:7">
      <c r="A57" s="56" t="str">
        <f>ToResult(收集!A57)</f>
        <v/>
      </c>
      <c r="B57" s="56" t="str">
        <f>ToResult(收集!B57)</f>
        <v/>
      </c>
      <c r="C57" s="56" t="str">
        <f>ToResult(收集!C57)</f>
        <v/>
      </c>
      <c r="D57" s="56" t="str">
        <f>ToResult(收集!D57)</f>
        <v/>
      </c>
      <c r="E57" s="56" t="str">
        <f>ToResult(收集!E57)</f>
        <v/>
      </c>
      <c r="F57" s="56" t="str">
        <f>ToResult(收集!F57)</f>
        <v/>
      </c>
      <c r="G57" s="56" t="str">
        <f>ToResult(收集!G57)</f>
        <v/>
      </c>
    </row>
    <row r="58" spans="1:7">
      <c r="A58" s="56" t="str">
        <f>ToResult(收集!A58)</f>
        <v/>
      </c>
      <c r="B58" s="56" t="str">
        <f>ToResult(收集!B58)</f>
        <v/>
      </c>
      <c r="C58" s="56" t="str">
        <f>ToResult(收集!C58)</f>
        <v/>
      </c>
      <c r="D58" s="56" t="str">
        <f>ToResult(收集!D58)</f>
        <v/>
      </c>
      <c r="E58" s="56" t="str">
        <f>ToResult(收集!E58)</f>
        <v/>
      </c>
      <c r="F58" s="56" t="str">
        <f>ToResult(收集!F58)</f>
        <v/>
      </c>
      <c r="G58" s="56" t="str">
        <f>ToResult(收集!G58)</f>
        <v/>
      </c>
    </row>
    <row r="59" spans="1:7">
      <c r="A59" s="56" t="str">
        <f>ToResult(收集!A59)</f>
        <v/>
      </c>
      <c r="B59" s="56" t="str">
        <f>ToResult(收集!B59)</f>
        <v/>
      </c>
      <c r="C59" s="56" t="str">
        <f>ToResult(收集!C59)</f>
        <v/>
      </c>
      <c r="D59" s="56" t="str">
        <f>ToResult(收集!D59)</f>
        <v/>
      </c>
      <c r="E59" s="56" t="str">
        <f>ToResult(收集!E59)</f>
        <v/>
      </c>
      <c r="F59" s="56" t="str">
        <f>ToResult(收集!F59)</f>
        <v/>
      </c>
      <c r="G59" s="56" t="str">
        <f>ToResult(收集!G59)</f>
        <v/>
      </c>
    </row>
    <row r="60" spans="1:7">
      <c r="A60" s="56" t="str">
        <f>ToResult(收集!A60)</f>
        <v/>
      </c>
      <c r="B60" s="56" t="str">
        <f>ToResult(收集!B60)</f>
        <v/>
      </c>
      <c r="C60" s="56" t="str">
        <f>ToResult(收集!C60)</f>
        <v/>
      </c>
      <c r="D60" s="56" t="str">
        <f>ToResult(收集!D60)</f>
        <v/>
      </c>
      <c r="E60" s="56" t="str">
        <f>ToResult(收集!E60)</f>
        <v/>
      </c>
      <c r="F60" s="56" t="str">
        <f>ToResult(收集!F60)</f>
        <v/>
      </c>
      <c r="G60" s="56" t="str">
        <f>ToResult(收集!G60)</f>
        <v/>
      </c>
    </row>
    <row r="61" spans="1:7">
      <c r="A61" s="56" t="str">
        <f>ToResult(收集!A61)</f>
        <v/>
      </c>
      <c r="B61" s="56" t="str">
        <f>ToResult(收集!B61)</f>
        <v/>
      </c>
      <c r="C61" s="56" t="str">
        <f>ToResult(收集!C61)</f>
        <v/>
      </c>
      <c r="D61" s="56" t="str">
        <f>ToResult(收集!D61)</f>
        <v/>
      </c>
      <c r="E61" s="56" t="str">
        <f>ToResult(收集!E61)</f>
        <v/>
      </c>
      <c r="F61" s="56" t="str">
        <f>ToResult(收集!F61)</f>
        <v/>
      </c>
      <c r="G61" s="56" t="str">
        <f>ToResult(收集!G61)</f>
        <v/>
      </c>
    </row>
    <row r="62" spans="1:7">
      <c r="A62" s="56" t="str">
        <f>ToResult(收集!A62)</f>
        <v/>
      </c>
      <c r="B62" s="56" t="str">
        <f>ToResult(收集!B62)</f>
        <v/>
      </c>
      <c r="C62" s="56" t="str">
        <f>ToResult(收集!C62)</f>
        <v/>
      </c>
      <c r="D62" s="56" t="str">
        <f>ToResult(收集!D62)</f>
        <v/>
      </c>
      <c r="E62" s="56" t="str">
        <f>ToResult(收集!E62)</f>
        <v/>
      </c>
      <c r="F62" s="56" t="str">
        <f>ToResult(收集!F62)</f>
        <v/>
      </c>
      <c r="G62" s="56" t="str">
        <f>ToResult(收集!G62)</f>
        <v/>
      </c>
    </row>
    <row r="63" spans="1:7">
      <c r="A63" s="56" t="str">
        <f>ToResult(收集!A63)</f>
        <v/>
      </c>
      <c r="B63" s="56" t="str">
        <f>ToResult(收集!B63)</f>
        <v/>
      </c>
      <c r="C63" s="56" t="str">
        <f>ToResult(收集!C63)</f>
        <v/>
      </c>
      <c r="D63" s="56" t="str">
        <f>ToResult(收集!D63)</f>
        <v/>
      </c>
      <c r="E63" s="56" t="str">
        <f>ToResult(收集!E63)</f>
        <v/>
      </c>
      <c r="F63" s="56" t="str">
        <f>ToResult(收集!F63)</f>
        <v/>
      </c>
      <c r="G63" s="56" t="str">
        <f>ToResult(收集!G63)</f>
        <v/>
      </c>
    </row>
    <row r="64" spans="1:7">
      <c r="A64" s="56" t="str">
        <f>ToResult(收集!A64)</f>
        <v/>
      </c>
      <c r="B64" s="56" t="str">
        <f>ToResult(收集!B64)</f>
        <v/>
      </c>
      <c r="C64" s="56" t="str">
        <f>ToResult(收集!C64)</f>
        <v/>
      </c>
      <c r="D64" s="56" t="str">
        <f>ToResult(收集!D64)</f>
        <v/>
      </c>
      <c r="E64" s="56" t="str">
        <f>ToResult(收集!E64)</f>
        <v/>
      </c>
      <c r="F64" s="56" t="str">
        <f>ToResult(收集!F64)</f>
        <v/>
      </c>
      <c r="G64" s="56" t="str">
        <f>ToResult(收集!G64)</f>
        <v/>
      </c>
    </row>
    <row r="65" spans="1:7">
      <c r="A65" s="56" t="str">
        <f>ToResult(收集!A65)</f>
        <v/>
      </c>
      <c r="B65" s="56" t="str">
        <f>ToResult(收集!B65)</f>
        <v/>
      </c>
      <c r="C65" s="56" t="str">
        <f>ToResult(收集!C65)</f>
        <v/>
      </c>
      <c r="D65" s="56" t="str">
        <f>ToResult(收集!D65)</f>
        <v/>
      </c>
      <c r="E65" s="56" t="str">
        <f>ToResult(收集!E65)</f>
        <v/>
      </c>
      <c r="F65" s="56" t="str">
        <f>ToResult(收集!F65)</f>
        <v/>
      </c>
      <c r="G65" s="56" t="str">
        <f>ToResult(收集!G65)</f>
        <v/>
      </c>
    </row>
    <row r="66" spans="1:7">
      <c r="A66" s="56" t="str">
        <f>ToResult(收集!A66)</f>
        <v/>
      </c>
      <c r="B66" s="56" t="str">
        <f>ToResult(收集!B66)</f>
        <v/>
      </c>
      <c r="C66" s="56" t="str">
        <f>ToResult(收集!C66)</f>
        <v/>
      </c>
      <c r="D66" s="56" t="str">
        <f>ToResult(收集!D66)</f>
        <v/>
      </c>
      <c r="E66" s="56" t="str">
        <f>ToResult(收集!E66)</f>
        <v/>
      </c>
      <c r="F66" s="56" t="str">
        <f>ToResult(收集!F66)</f>
        <v/>
      </c>
      <c r="G66" s="56" t="str">
        <f>ToResult(收集!G66)</f>
        <v/>
      </c>
    </row>
    <row r="67" spans="1:7">
      <c r="A67" s="56" t="str">
        <f>ToResult(收集!A67)</f>
        <v/>
      </c>
      <c r="B67" s="56" t="str">
        <f>ToResult(收集!B67)</f>
        <v/>
      </c>
      <c r="C67" s="56" t="str">
        <f>ToResult(收集!C67)</f>
        <v/>
      </c>
      <c r="D67" s="56" t="str">
        <f>ToResult(收集!D67)</f>
        <v/>
      </c>
      <c r="E67" s="56" t="str">
        <f>ToResult(收集!E67)</f>
        <v/>
      </c>
      <c r="F67" s="56" t="str">
        <f>ToResult(收集!F67)</f>
        <v/>
      </c>
      <c r="G67" s="56" t="str">
        <f>ToResult(收集!G67)</f>
        <v/>
      </c>
    </row>
    <row r="68" spans="1:7">
      <c r="A68" s="56" t="str">
        <f>ToResult(收集!A68)</f>
        <v/>
      </c>
      <c r="B68" s="56" t="str">
        <f>ToResult(收集!B68)</f>
        <v/>
      </c>
      <c r="C68" s="56" t="str">
        <f>ToResult(收集!C68)</f>
        <v/>
      </c>
      <c r="D68" s="56" t="str">
        <f>ToResult(收集!D68)</f>
        <v/>
      </c>
      <c r="E68" s="56" t="str">
        <f>ToResult(收集!E68)</f>
        <v/>
      </c>
      <c r="F68" s="56" t="str">
        <f>ToResult(收集!F68)</f>
        <v/>
      </c>
      <c r="G68" s="56" t="str">
        <f>ToResult(收集!G68)</f>
        <v/>
      </c>
    </row>
    <row r="69" spans="1:7">
      <c r="A69" s="56" t="str">
        <f>ToResult(收集!A69)</f>
        <v/>
      </c>
      <c r="B69" s="56" t="str">
        <f>ToResult(收集!B69)</f>
        <v/>
      </c>
      <c r="C69" s="56" t="str">
        <f>ToResult(收集!C69)</f>
        <v/>
      </c>
      <c r="D69" s="56" t="str">
        <f>ToResult(收集!D69)</f>
        <v/>
      </c>
      <c r="E69" s="56" t="str">
        <f>ToResult(收集!E69)</f>
        <v/>
      </c>
      <c r="F69" s="56" t="str">
        <f>ToResult(收集!F69)</f>
        <v/>
      </c>
      <c r="G69" s="56" t="str">
        <f>ToResult(收集!G69)</f>
        <v/>
      </c>
    </row>
    <row r="70" spans="1:7">
      <c r="A70" s="56" t="str">
        <f>ToResult(收集!A70)</f>
        <v/>
      </c>
      <c r="B70" s="56" t="str">
        <f>ToResult(收集!B70)</f>
        <v/>
      </c>
      <c r="C70" s="56" t="str">
        <f>ToResult(收集!C70)</f>
        <v/>
      </c>
      <c r="D70" s="56" t="str">
        <f>ToResult(收集!D70)</f>
        <v/>
      </c>
      <c r="E70" s="56" t="str">
        <f>ToResult(收集!E70)</f>
        <v/>
      </c>
      <c r="F70" s="56" t="str">
        <f>ToResult(收集!F70)</f>
        <v/>
      </c>
      <c r="G70" s="56" t="str">
        <f>ToResult(收集!G70)</f>
        <v/>
      </c>
    </row>
    <row r="71" spans="1:7">
      <c r="A71" s="56" t="str">
        <f>ToResult(收集!A71)</f>
        <v/>
      </c>
      <c r="B71" s="56" t="str">
        <f>ToResult(收集!B71)</f>
        <v/>
      </c>
      <c r="C71" s="56" t="str">
        <f>ToResult(收集!C71)</f>
        <v/>
      </c>
      <c r="D71" s="56" t="str">
        <f>ToResult(收集!D71)</f>
        <v/>
      </c>
      <c r="E71" s="56" t="str">
        <f>ToResult(收集!E71)</f>
        <v/>
      </c>
      <c r="F71" s="56" t="str">
        <f>ToResult(收集!F71)</f>
        <v/>
      </c>
      <c r="G71" s="56" t="str">
        <f>ToResult(收集!G71)</f>
        <v/>
      </c>
    </row>
    <row r="72" spans="1:7">
      <c r="A72" s="56" t="str">
        <f>ToResult(收集!A72)</f>
        <v/>
      </c>
      <c r="B72" s="56" t="str">
        <f>ToResult(收集!B72)</f>
        <v/>
      </c>
      <c r="C72" s="56" t="str">
        <f>ToResult(收集!C72)</f>
        <v/>
      </c>
      <c r="D72" s="56" t="str">
        <f>ToResult(收集!D72)</f>
        <v/>
      </c>
      <c r="E72" s="56" t="str">
        <f>ToResult(收集!E72)</f>
        <v/>
      </c>
      <c r="F72" s="56" t="str">
        <f>ToResult(收集!F72)</f>
        <v/>
      </c>
      <c r="G72" s="56" t="str">
        <f>ToResult(收集!G72)</f>
        <v/>
      </c>
    </row>
    <row r="73" spans="1:7">
      <c r="A73" s="56" t="str">
        <f>ToResult(收集!A73)</f>
        <v/>
      </c>
      <c r="B73" s="56" t="str">
        <f>ToResult(收集!B73)</f>
        <v/>
      </c>
      <c r="C73" s="56" t="str">
        <f>ToResult(收集!C73)</f>
        <v/>
      </c>
      <c r="D73" s="56" t="str">
        <f>ToResult(收集!D73)</f>
        <v/>
      </c>
      <c r="E73" s="56" t="str">
        <f>ToResult(收集!E73)</f>
        <v/>
      </c>
      <c r="F73" s="56" t="str">
        <f>ToResult(收集!F73)</f>
        <v/>
      </c>
      <c r="G73" s="56" t="str">
        <f>ToResult(收集!G73)</f>
        <v/>
      </c>
    </row>
    <row r="74" spans="1:7">
      <c r="A74" s="56" t="str">
        <f>ToResult(收集!A74)</f>
        <v/>
      </c>
      <c r="B74" s="56" t="str">
        <f>ToResult(收集!B74)</f>
        <v/>
      </c>
      <c r="C74" s="56" t="str">
        <f>ToResult(收集!C74)</f>
        <v/>
      </c>
      <c r="D74" s="56" t="str">
        <f>ToResult(收集!D74)</f>
        <v/>
      </c>
      <c r="E74" s="56" t="str">
        <f>ToResult(收集!E74)</f>
        <v/>
      </c>
      <c r="F74" s="56" t="str">
        <f>ToResult(收集!F74)</f>
        <v/>
      </c>
      <c r="G74" s="56" t="str">
        <f>ToResult(收集!G74)</f>
        <v/>
      </c>
    </row>
    <row r="75" spans="1:7">
      <c r="A75" s="56" t="str">
        <f>ToResult(收集!A75)</f>
        <v/>
      </c>
      <c r="B75" s="56" t="str">
        <f>ToResult(收集!B75)</f>
        <v/>
      </c>
      <c r="C75" s="56" t="str">
        <f>ToResult(收集!C75)</f>
        <v/>
      </c>
      <c r="D75" s="56" t="str">
        <f>ToResult(收集!D75)</f>
        <v/>
      </c>
      <c r="E75" s="56" t="str">
        <f>ToResult(收集!E75)</f>
        <v/>
      </c>
      <c r="F75" s="56" t="str">
        <f>ToResult(收集!F75)</f>
        <v/>
      </c>
      <c r="G75" s="56" t="str">
        <f>ToResult(收集!G75)</f>
        <v/>
      </c>
    </row>
    <row r="76" spans="1:7">
      <c r="A76" s="56" t="str">
        <f>ToResult(收集!A76)</f>
        <v/>
      </c>
      <c r="B76" s="56" t="str">
        <f>ToResult(收集!B76)</f>
        <v/>
      </c>
      <c r="C76" s="56" t="str">
        <f>ToResult(收集!C76)</f>
        <v/>
      </c>
      <c r="D76" s="56" t="str">
        <f>ToResult(收集!D76)</f>
        <v/>
      </c>
      <c r="E76" s="56" t="str">
        <f>ToResult(收集!E76)</f>
        <v/>
      </c>
      <c r="F76" s="56" t="str">
        <f>ToResult(收集!F76)</f>
        <v/>
      </c>
      <c r="G76" s="56" t="str">
        <f>ToResult(收集!G76)</f>
        <v/>
      </c>
    </row>
    <row r="77" spans="1:7">
      <c r="A77" s="56" t="str">
        <f>ToResult(收集!A77)</f>
        <v/>
      </c>
      <c r="B77" s="56" t="str">
        <f>ToResult(收集!B77)</f>
        <v/>
      </c>
      <c r="C77" s="56" t="str">
        <f>ToResult(收集!C77)</f>
        <v/>
      </c>
      <c r="D77" s="56" t="str">
        <f>ToResult(收集!D77)</f>
        <v/>
      </c>
      <c r="E77" s="56" t="str">
        <f>ToResult(收集!E77)</f>
        <v/>
      </c>
      <c r="F77" s="56" t="str">
        <f>ToResult(收集!F77)</f>
        <v/>
      </c>
      <c r="G77" s="56" t="str">
        <f>ToResult(收集!G77)</f>
        <v/>
      </c>
    </row>
    <row r="78" spans="1:7">
      <c r="A78" s="56" t="str">
        <f>ToResult(收集!A78)</f>
        <v/>
      </c>
      <c r="B78" s="56" t="str">
        <f>ToResult(收集!B78)</f>
        <v/>
      </c>
      <c r="C78" s="56" t="str">
        <f>ToResult(收集!C78)</f>
        <v/>
      </c>
      <c r="D78" s="56" t="str">
        <f>ToResult(收集!D78)</f>
        <v/>
      </c>
      <c r="E78" s="56" t="str">
        <f>ToResult(收集!E78)</f>
        <v/>
      </c>
      <c r="F78" s="56" t="str">
        <f>ToResult(收集!F78)</f>
        <v/>
      </c>
      <c r="G78" s="56" t="str">
        <f>ToResult(收集!G78)</f>
        <v/>
      </c>
    </row>
    <row r="79" spans="1:7">
      <c r="A79" s="56" t="str">
        <f>ToResult(收集!A79)</f>
        <v/>
      </c>
      <c r="B79" s="56" t="str">
        <f>ToResult(收集!B79)</f>
        <v/>
      </c>
      <c r="C79" s="56" t="str">
        <f>ToResult(收集!C79)</f>
        <v/>
      </c>
      <c r="D79" s="56" t="str">
        <f>ToResult(收集!D79)</f>
        <v/>
      </c>
      <c r="E79" s="56" t="str">
        <f>ToResult(收集!E79)</f>
        <v/>
      </c>
      <c r="F79" s="56" t="str">
        <f>ToResult(收集!F79)</f>
        <v/>
      </c>
      <c r="G79" s="56" t="str">
        <f>ToResult(收集!G79)</f>
        <v/>
      </c>
    </row>
    <row r="80" spans="1:7">
      <c r="A80" s="56" t="str">
        <f>ToResult(收集!A80)</f>
        <v/>
      </c>
      <c r="B80" s="56" t="str">
        <f>ToResult(收集!B80)</f>
        <v/>
      </c>
      <c r="C80" s="56" t="str">
        <f>ToResult(收集!C80)</f>
        <v/>
      </c>
      <c r="D80" s="56" t="str">
        <f>ToResult(收集!D80)</f>
        <v/>
      </c>
      <c r="E80" s="56" t="str">
        <f>ToResult(收集!E80)</f>
        <v/>
      </c>
      <c r="F80" s="56" t="str">
        <f>ToResult(收集!F80)</f>
        <v/>
      </c>
      <c r="G80" s="56" t="str">
        <f>ToResult(收集!G80)</f>
        <v/>
      </c>
    </row>
    <row r="81" spans="1:7">
      <c r="A81" s="56" t="str">
        <f>ToResult(收集!A81)</f>
        <v/>
      </c>
      <c r="B81" s="56" t="str">
        <f>ToResult(收集!B81)</f>
        <v/>
      </c>
      <c r="C81" s="56" t="str">
        <f>ToResult(收集!C81)</f>
        <v/>
      </c>
      <c r="D81" s="56" t="str">
        <f>ToResult(收集!D81)</f>
        <v/>
      </c>
      <c r="E81" s="56" t="str">
        <f>ToResult(收集!E81)</f>
        <v/>
      </c>
      <c r="F81" s="56" t="str">
        <f>ToResult(收集!F81)</f>
        <v/>
      </c>
      <c r="G81" s="56" t="str">
        <f>ToResult(收集!G81)</f>
        <v/>
      </c>
    </row>
    <row r="82" spans="1:7">
      <c r="A82" s="56" t="str">
        <f>ToResult(收集!A82)</f>
        <v/>
      </c>
      <c r="B82" s="56" t="str">
        <f>ToResult(收集!B82)</f>
        <v/>
      </c>
      <c r="C82" s="56" t="str">
        <f>ToResult(收集!C82)</f>
        <v/>
      </c>
      <c r="D82" s="56" t="str">
        <f>ToResult(收集!D82)</f>
        <v/>
      </c>
      <c r="E82" s="56" t="str">
        <f>ToResult(收集!E82)</f>
        <v/>
      </c>
      <c r="F82" s="56" t="str">
        <f>ToResult(收集!F82)</f>
        <v/>
      </c>
      <c r="G82" s="56" t="str">
        <f>ToResult(收集!G82)</f>
        <v/>
      </c>
    </row>
    <row r="83" spans="1:7">
      <c r="A83" s="56" t="str">
        <f>ToResult(收集!A83)</f>
        <v/>
      </c>
      <c r="B83" s="56" t="str">
        <f>ToResult(收集!B83)</f>
        <v/>
      </c>
      <c r="C83" s="56" t="str">
        <f>ToResult(收集!C83)</f>
        <v/>
      </c>
      <c r="D83" s="56" t="str">
        <f>ToResult(收集!D83)</f>
        <v/>
      </c>
      <c r="E83" s="56" t="str">
        <f>ToResult(收集!E83)</f>
        <v/>
      </c>
      <c r="F83" s="56" t="str">
        <f>ToResult(收集!F83)</f>
        <v/>
      </c>
      <c r="G83" s="56" t="str">
        <f>ToResult(收集!G83)</f>
        <v/>
      </c>
    </row>
    <row r="84" spans="1:7">
      <c r="A84" s="56" t="str">
        <f>ToResult(收集!A84)</f>
        <v/>
      </c>
      <c r="B84" s="56" t="str">
        <f>ToResult(收集!B84)</f>
        <v/>
      </c>
      <c r="C84" s="56" t="str">
        <f>ToResult(收集!C84)</f>
        <v/>
      </c>
      <c r="D84" s="56" t="str">
        <f>ToResult(收集!D84)</f>
        <v/>
      </c>
      <c r="E84" s="56" t="str">
        <f>ToResult(收集!E84)</f>
        <v/>
      </c>
      <c r="F84" s="56" t="str">
        <f>ToResult(收集!F84)</f>
        <v/>
      </c>
      <c r="G84" s="56" t="str">
        <f>ToResult(收集!G84)</f>
        <v/>
      </c>
    </row>
    <row r="85" spans="1:7">
      <c r="A85" s="56" t="str">
        <f>ToResult(收集!A85)</f>
        <v/>
      </c>
      <c r="B85" s="56" t="str">
        <f>ToResult(收集!B85)</f>
        <v/>
      </c>
      <c r="C85" s="56" t="str">
        <f>ToResult(收集!C85)</f>
        <v/>
      </c>
      <c r="D85" s="56" t="str">
        <f>ToResult(收集!D85)</f>
        <v/>
      </c>
      <c r="E85" s="56" t="str">
        <f>ToResult(收集!E85)</f>
        <v/>
      </c>
      <c r="F85" s="56" t="str">
        <f>ToResult(收集!F85)</f>
        <v/>
      </c>
      <c r="G85" s="56" t="str">
        <f>ToResult(收集!G85)</f>
        <v/>
      </c>
    </row>
    <row r="86" spans="1:7">
      <c r="A86" s="56" t="str">
        <f>ToResult(收集!A86)</f>
        <v/>
      </c>
      <c r="B86" s="56" t="str">
        <f>ToResult(收集!B86)</f>
        <v/>
      </c>
      <c r="C86" s="56" t="str">
        <f>ToResult(收集!C86)</f>
        <v/>
      </c>
      <c r="D86" s="56" t="str">
        <f>ToResult(收集!D86)</f>
        <v/>
      </c>
      <c r="E86" s="56" t="str">
        <f>ToResult(收集!E86)</f>
        <v/>
      </c>
      <c r="F86" s="56" t="str">
        <f>ToResult(收集!F86)</f>
        <v/>
      </c>
      <c r="G86" s="56" t="str">
        <f>ToResult(收集!G86)</f>
        <v/>
      </c>
    </row>
    <row r="87" spans="1:7">
      <c r="A87" s="56" t="str">
        <f>ToResult(收集!A87)</f>
        <v/>
      </c>
      <c r="B87" s="56" t="str">
        <f>ToResult(收集!B87)</f>
        <v/>
      </c>
      <c r="C87" s="56" t="str">
        <f>ToResult(收集!C87)</f>
        <v/>
      </c>
      <c r="D87" s="56" t="str">
        <f>ToResult(收集!D87)</f>
        <v/>
      </c>
      <c r="E87" s="56" t="str">
        <f>ToResult(收集!E87)</f>
        <v/>
      </c>
      <c r="F87" s="56" t="str">
        <f>ToResult(收集!F87)</f>
        <v/>
      </c>
      <c r="G87" s="56" t="str">
        <f>ToResult(收集!G87)</f>
        <v/>
      </c>
    </row>
    <row r="88" spans="1:7">
      <c r="A88" s="56" t="str">
        <f>ToResult(收集!A88)</f>
        <v/>
      </c>
      <c r="B88" s="56" t="str">
        <f>ToResult(收集!B88)</f>
        <v/>
      </c>
      <c r="C88" s="56" t="str">
        <f>ToResult(收集!C88)</f>
        <v/>
      </c>
      <c r="D88" s="56" t="str">
        <f>ToResult(收集!D88)</f>
        <v/>
      </c>
      <c r="E88" s="56" t="str">
        <f>ToResult(收集!E88)</f>
        <v/>
      </c>
      <c r="F88" s="56" t="str">
        <f>ToResult(收集!F88)</f>
        <v/>
      </c>
      <c r="G88" s="56" t="str">
        <f>ToResult(收集!G88)</f>
        <v/>
      </c>
    </row>
    <row r="89" spans="1:7">
      <c r="A89" s="56" t="str">
        <f>ToResult(收集!A89)</f>
        <v/>
      </c>
      <c r="B89" s="56" t="str">
        <f>ToResult(收集!B89)</f>
        <v/>
      </c>
      <c r="C89" s="56" t="str">
        <f>ToResult(收集!C89)</f>
        <v/>
      </c>
      <c r="D89" s="56" t="str">
        <f>ToResult(收集!D89)</f>
        <v/>
      </c>
      <c r="E89" s="56" t="str">
        <f>ToResult(收集!E89)</f>
        <v/>
      </c>
      <c r="F89" s="56" t="str">
        <f>ToResult(收集!F89)</f>
        <v/>
      </c>
      <c r="G89" s="56" t="str">
        <f>ToResult(收集!G89)</f>
        <v/>
      </c>
    </row>
    <row r="90" spans="1:7">
      <c r="A90" s="56" t="str">
        <f>ToResult(收集!A90)</f>
        <v/>
      </c>
      <c r="B90" s="56" t="str">
        <f>ToResult(收集!B90)</f>
        <v/>
      </c>
      <c r="C90" s="56" t="str">
        <f>ToResult(收集!C90)</f>
        <v/>
      </c>
      <c r="D90" s="56" t="str">
        <f>ToResult(收集!D90)</f>
        <v/>
      </c>
      <c r="E90" s="56" t="str">
        <f>ToResult(收集!E90)</f>
        <v/>
      </c>
      <c r="F90" s="56" t="str">
        <f>ToResult(收集!F90)</f>
        <v/>
      </c>
      <c r="G90" s="56" t="str">
        <f>ToResult(收集!G90)</f>
        <v/>
      </c>
    </row>
    <row r="91" spans="1:7">
      <c r="A91" s="56" t="str">
        <f>ToResult(收集!A91)</f>
        <v/>
      </c>
      <c r="B91" s="56" t="str">
        <f>ToResult(收集!B91)</f>
        <v/>
      </c>
      <c r="C91" s="56" t="str">
        <f>ToResult(收集!C91)</f>
        <v/>
      </c>
      <c r="D91" s="56" t="str">
        <f>ToResult(收集!D91)</f>
        <v/>
      </c>
      <c r="E91" s="56" t="str">
        <f>ToResult(收集!E91)</f>
        <v/>
      </c>
      <c r="F91" s="56" t="str">
        <f>ToResult(收集!F91)</f>
        <v/>
      </c>
      <c r="G91" s="56" t="str">
        <f>ToResult(收集!G91)</f>
        <v/>
      </c>
    </row>
    <row r="92" spans="1:7">
      <c r="A92" s="56" t="str">
        <f>ToResult(收集!A92)</f>
        <v/>
      </c>
      <c r="B92" s="56" t="str">
        <f>ToResult(收集!B92)</f>
        <v/>
      </c>
      <c r="C92" s="56" t="str">
        <f>ToResult(收集!C92)</f>
        <v/>
      </c>
      <c r="D92" s="56" t="str">
        <f>ToResult(收集!D92)</f>
        <v/>
      </c>
      <c r="E92" s="56" t="str">
        <f>ToResult(收集!E92)</f>
        <v/>
      </c>
      <c r="F92" s="56" t="str">
        <f>ToResult(收集!F92)</f>
        <v/>
      </c>
      <c r="G92" s="56" t="str">
        <f>ToResult(收集!G92)</f>
        <v/>
      </c>
    </row>
    <row r="93" spans="1:7">
      <c r="A93" s="56" t="str">
        <f>ToResult(收集!A93)</f>
        <v/>
      </c>
      <c r="B93" s="56" t="str">
        <f>ToResult(收集!B93)</f>
        <v/>
      </c>
      <c r="C93" s="56" t="str">
        <f>ToResult(收集!C93)</f>
        <v/>
      </c>
      <c r="D93" s="56" t="str">
        <f>ToResult(收集!D93)</f>
        <v/>
      </c>
      <c r="E93" s="56" t="str">
        <f>ToResult(收集!E93)</f>
        <v/>
      </c>
      <c r="F93" s="56" t="str">
        <f>ToResult(收集!F93)</f>
        <v/>
      </c>
      <c r="G93" s="56" t="str">
        <f>ToResult(收集!G93)</f>
        <v/>
      </c>
    </row>
    <row r="94" spans="1:7">
      <c r="A94" s="56" t="str">
        <f>ToResult(收集!A94)</f>
        <v/>
      </c>
      <c r="B94" s="56" t="str">
        <f>ToResult(收集!B94)</f>
        <v/>
      </c>
      <c r="C94" s="56" t="str">
        <f>ToResult(收集!C94)</f>
        <v/>
      </c>
      <c r="D94" s="56" t="str">
        <f>ToResult(收集!D94)</f>
        <v/>
      </c>
      <c r="E94" s="56" t="str">
        <f>ToResult(收集!E94)</f>
        <v/>
      </c>
      <c r="F94" s="56" t="str">
        <f>ToResult(收集!F94)</f>
        <v/>
      </c>
      <c r="G94" s="56" t="str">
        <f>ToResult(收集!G94)</f>
        <v/>
      </c>
    </row>
    <row r="95" spans="1:7">
      <c r="A95" s="56" t="str">
        <f>ToResult(收集!A95)</f>
        <v/>
      </c>
      <c r="B95" s="56" t="str">
        <f>ToResult(收集!B95)</f>
        <v/>
      </c>
      <c r="C95" s="56" t="str">
        <f>ToResult(收集!C95)</f>
        <v/>
      </c>
      <c r="D95" s="56" t="str">
        <f>ToResult(收集!D95)</f>
        <v/>
      </c>
      <c r="E95" s="56" t="str">
        <f>ToResult(收集!E95)</f>
        <v/>
      </c>
      <c r="F95" s="56" t="str">
        <f>ToResult(收集!F95)</f>
        <v/>
      </c>
      <c r="G95" s="56" t="str">
        <f>ToResult(收集!G95)</f>
        <v/>
      </c>
    </row>
    <row r="96" spans="1:7">
      <c r="A96" s="56" t="str">
        <f>ToResult(收集!A96)</f>
        <v/>
      </c>
      <c r="B96" s="56" t="str">
        <f>ToResult(收集!B96)</f>
        <v/>
      </c>
      <c r="C96" s="56" t="str">
        <f>ToResult(收集!C96)</f>
        <v/>
      </c>
      <c r="D96" s="56" t="str">
        <f>ToResult(收集!D96)</f>
        <v/>
      </c>
      <c r="E96" s="56" t="str">
        <f>ToResult(收集!E96)</f>
        <v/>
      </c>
      <c r="F96" s="56" t="str">
        <f>ToResult(收集!F96)</f>
        <v/>
      </c>
      <c r="G96" s="56" t="str">
        <f>ToResult(收集!G96)</f>
        <v/>
      </c>
    </row>
    <row r="97" spans="1:7">
      <c r="A97" s="56" t="str">
        <f>ToResult(收集!A97)</f>
        <v/>
      </c>
      <c r="B97" s="56" t="str">
        <f>ToResult(收集!B97)</f>
        <v/>
      </c>
      <c r="C97" s="56" t="str">
        <f>ToResult(收集!C97)</f>
        <v/>
      </c>
      <c r="D97" s="56" t="str">
        <f>ToResult(收集!D97)</f>
        <v/>
      </c>
      <c r="E97" s="56" t="str">
        <f>ToResult(收集!E97)</f>
        <v/>
      </c>
      <c r="F97" s="56" t="str">
        <f>ToResult(收集!F97)</f>
        <v/>
      </c>
      <c r="G97" s="56" t="str">
        <f>ToResult(收集!G97)</f>
        <v/>
      </c>
    </row>
    <row r="98" spans="1:7">
      <c r="A98" s="56" t="str">
        <f>ToResult(收集!A98)</f>
        <v/>
      </c>
      <c r="B98" s="56" t="str">
        <f>ToResult(收集!B98)</f>
        <v/>
      </c>
      <c r="C98" s="56" t="str">
        <f>ToResult(收集!C98)</f>
        <v/>
      </c>
      <c r="D98" s="56" t="str">
        <f>ToResult(收集!D98)</f>
        <v/>
      </c>
      <c r="E98" s="56" t="str">
        <f>ToResult(收集!E98)</f>
        <v/>
      </c>
      <c r="F98" s="56" t="str">
        <f>ToResult(收集!F98)</f>
        <v/>
      </c>
      <c r="G98" s="56" t="str">
        <f>ToResult(收集!G98)</f>
        <v/>
      </c>
    </row>
    <row r="99" spans="1:7">
      <c r="A99" s="56" t="str">
        <f>ToResult(收集!A99)</f>
        <v/>
      </c>
      <c r="B99" s="56" t="str">
        <f>ToResult(收集!B99)</f>
        <v/>
      </c>
      <c r="C99" s="56" t="str">
        <f>ToResult(收集!C99)</f>
        <v/>
      </c>
      <c r="D99" s="56" t="str">
        <f>ToResult(收集!D99)</f>
        <v/>
      </c>
      <c r="E99" s="56" t="str">
        <f>ToResult(收集!E99)</f>
        <v/>
      </c>
      <c r="F99" s="56" t="str">
        <f>ToResult(收集!F99)</f>
        <v/>
      </c>
      <c r="G99" s="56" t="str">
        <f>ToResult(收集!G99)</f>
        <v/>
      </c>
    </row>
    <row r="100" spans="1:7">
      <c r="A100" s="56" t="str">
        <f>ToResult(收集!A100)</f>
        <v/>
      </c>
      <c r="B100" s="56" t="str">
        <f>ToResult(收集!B100)</f>
        <v/>
      </c>
      <c r="C100" s="56" t="str">
        <f>ToResult(收集!C100)</f>
        <v/>
      </c>
      <c r="D100" s="56" t="str">
        <f>ToResult(收集!D100)</f>
        <v/>
      </c>
      <c r="E100" s="56" t="str">
        <f>ToResult(收集!E100)</f>
        <v/>
      </c>
      <c r="F100" s="56" t="str">
        <f>ToResult(收集!F100)</f>
        <v/>
      </c>
      <c r="G100" s="56" t="str">
        <f>ToResult(收集!G100)</f>
        <v/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6"/>
  <dimension ref="A1:D100"/>
  <sheetViews>
    <sheetView workbookViewId="0">
      <selection activeCell="F29" sqref="F29"/>
    </sheetView>
  </sheetViews>
  <sheetFormatPr defaultRowHeight="16.5"/>
  <cols>
    <col min="1" max="4" width="15.625" customWidth="1"/>
  </cols>
  <sheetData>
    <row r="1" spans="1:4" s="40" customFormat="1">
      <c r="A1" s="40" t="str">
        <f>獎勵!A1</f>
        <v>GUID</v>
      </c>
      <c r="B1" s="41" t="str">
        <f>獎勵!B1</f>
        <v>Note</v>
      </c>
      <c r="C1" s="40" t="str">
        <f>獎勵!C1</f>
        <v>Reward</v>
      </c>
      <c r="D1" s="40" t="str">
        <f>獎勵!D1</f>
        <v>Value</v>
      </c>
    </row>
    <row r="2" spans="1:4">
      <c r="A2" t="str">
        <f>ToResult(獎勵!A2)</f>
        <v>1</v>
      </c>
      <c r="B2" t="str">
        <f>ToResult(獎勵!B2)</f>
        <v>1</v>
      </c>
      <c r="C2" t="str">
        <f>ToReward(獎勵!C2)</f>
        <v>1</v>
      </c>
      <c r="D2" t="str">
        <f>ToResult(獎勵!D2)</f>
        <v>10</v>
      </c>
    </row>
    <row r="3" spans="1:4">
      <c r="A3" t="str">
        <f>ToResult(獎勵!A3)</f>
        <v>2</v>
      </c>
      <c r="B3" t="str">
        <f>ToResult(獎勵!B3)</f>
        <v>1</v>
      </c>
      <c r="C3" t="str">
        <f>ToReward(獎勵!C3)</f>
        <v>1</v>
      </c>
      <c r="D3" t="str">
        <f>ToResult(獎勵!D3)</f>
        <v>11</v>
      </c>
    </row>
    <row r="4" spans="1:4">
      <c r="A4" t="str">
        <f>ToResult(獎勵!A4)</f>
        <v>3</v>
      </c>
      <c r="B4" t="str">
        <f>ToResult(獎勵!B4)</f>
        <v>1</v>
      </c>
      <c r="C4" t="str">
        <f>ToReward(獎勵!C4)</f>
        <v>1</v>
      </c>
      <c r="D4" t="str">
        <f>ToResult(獎勵!D4)</f>
        <v>12</v>
      </c>
    </row>
    <row r="5" spans="1:4">
      <c r="A5" t="str">
        <f>ToResult(獎勵!A5)</f>
        <v>4</v>
      </c>
      <c r="B5" t="str">
        <f>ToResult(獎勵!B5)</f>
        <v>1</v>
      </c>
      <c r="C5" t="str">
        <f>ToReward(獎勵!C5)</f>
        <v>1</v>
      </c>
      <c r="D5" t="str">
        <f>ToResult(獎勵!D5)</f>
        <v>13</v>
      </c>
    </row>
    <row r="6" spans="1:4">
      <c r="A6" t="str">
        <f>ToResult(獎勵!A6)</f>
        <v>5</v>
      </c>
      <c r="B6" t="str">
        <f>ToResult(獎勵!B6)</f>
        <v>1</v>
      </c>
      <c r="C6" t="str">
        <f>ToReward(獎勵!C6)</f>
        <v>1</v>
      </c>
      <c r="D6" t="str">
        <f>ToResult(獎勵!D6)</f>
        <v>14</v>
      </c>
    </row>
    <row r="7" spans="1:4">
      <c r="A7" t="str">
        <f>ToResult(獎勵!A7)</f>
        <v>6</v>
      </c>
      <c r="B7" t="str">
        <f>ToResult(獎勵!B7)</f>
        <v>1</v>
      </c>
      <c r="C7" t="str">
        <f>ToReward(獎勵!C7)</f>
        <v>1</v>
      </c>
      <c r="D7" t="str">
        <f>ToResult(獎勵!D7)</f>
        <v>25</v>
      </c>
    </row>
    <row r="8" spans="1:4">
      <c r="A8" t="str">
        <f>ToResult(獎勵!A8)</f>
        <v>7</v>
      </c>
      <c r="B8" t="str">
        <f>ToResult(獎勵!B8)</f>
        <v>1</v>
      </c>
      <c r="C8" t="str">
        <f>ToReward(獎勵!C8)</f>
        <v>1</v>
      </c>
      <c r="D8" t="str">
        <f>ToResult(獎勵!D8)</f>
        <v>26</v>
      </c>
    </row>
    <row r="9" spans="1:4">
      <c r="A9" t="str">
        <f>ToResult(獎勵!A9)</f>
        <v>8</v>
      </c>
      <c r="B9" t="str">
        <f>ToResult(獎勵!B9)</f>
        <v>1</v>
      </c>
      <c r="C9" t="str">
        <f>ToReward(獎勵!C9)</f>
        <v>1</v>
      </c>
      <c r="D9" t="str">
        <f>ToResult(獎勵!D9)</f>
        <v>27</v>
      </c>
    </row>
    <row r="10" spans="1:4">
      <c r="A10" t="str">
        <f>ToResult(獎勵!A10)</f>
        <v>9</v>
      </c>
      <c r="B10" t="str">
        <f>ToResult(獎勵!B10)</f>
        <v>1</v>
      </c>
      <c r="C10" t="str">
        <f>ToReward(獎勵!C10)</f>
        <v>1</v>
      </c>
      <c r="D10" t="str">
        <f>ToResult(獎勵!D10)</f>
        <v>28</v>
      </c>
    </row>
    <row r="11" spans="1:4">
      <c r="A11" t="str">
        <f>ToResult(獎勵!A11)</f>
        <v>10</v>
      </c>
      <c r="B11" t="str">
        <f>ToResult(獎勵!B11)</f>
        <v>1</v>
      </c>
      <c r="C11" t="str">
        <f>ToReward(獎勵!C11)</f>
        <v>1</v>
      </c>
      <c r="D11" t="str">
        <f>ToResult(獎勵!D11)</f>
        <v>29</v>
      </c>
    </row>
    <row r="12" spans="1:4">
      <c r="A12" t="str">
        <f>ToResult(獎勵!A12)</f>
        <v>100</v>
      </c>
      <c r="B12" t="str">
        <f>ToResult(獎勵!B12)</f>
        <v>2</v>
      </c>
      <c r="C12" t="str">
        <f>ToReward(獎勵!C12)</f>
        <v>2</v>
      </c>
      <c r="D12" t="str">
        <f>ToResult(獎勵!D12)</f>
        <v>100</v>
      </c>
    </row>
    <row r="13" spans="1:4">
      <c r="A13" t="str">
        <f>ToResult(獎勵!A13)</f>
        <v>101</v>
      </c>
      <c r="B13" t="str">
        <f>ToResult(獎勵!B13)</f>
        <v>2</v>
      </c>
      <c r="C13" t="str">
        <f>ToReward(獎勵!C13)</f>
        <v>2</v>
      </c>
      <c r="D13" t="str">
        <f>ToResult(獎勵!D13)</f>
        <v>100</v>
      </c>
    </row>
    <row r="14" spans="1:4">
      <c r="A14" t="str">
        <f>ToResult(獎勵!A14)</f>
        <v>102</v>
      </c>
      <c r="B14" t="str">
        <f>ToResult(獎勵!B14)</f>
        <v>2</v>
      </c>
      <c r="C14" t="str">
        <f>ToReward(獎勵!C14)</f>
        <v>2</v>
      </c>
      <c r="D14" t="str">
        <f>ToResult(獎勵!D14)</f>
        <v>100</v>
      </c>
    </row>
    <row r="15" spans="1:4">
      <c r="A15" t="str">
        <f>ToResult(獎勵!A15)</f>
        <v>103</v>
      </c>
      <c r="B15" t="str">
        <f>ToResult(獎勵!B15)</f>
        <v>2</v>
      </c>
      <c r="C15" t="str">
        <f>ToReward(獎勵!C15)</f>
        <v>2</v>
      </c>
      <c r="D15" t="str">
        <f>ToResult(獎勵!D15)</f>
        <v>100</v>
      </c>
    </row>
    <row r="16" spans="1:4">
      <c r="A16" t="str">
        <f>ToResult(獎勵!A16)</f>
        <v>104</v>
      </c>
      <c r="B16" t="str">
        <f>ToResult(獎勵!B16)</f>
        <v>2</v>
      </c>
      <c r="C16" t="str">
        <f>ToReward(獎勵!C16)</f>
        <v>2</v>
      </c>
      <c r="D16" t="str">
        <f>ToResult(獎勵!D16)</f>
        <v>100</v>
      </c>
    </row>
    <row r="17" spans="1:4">
      <c r="A17" t="str">
        <f>ToResult(獎勵!A17)</f>
        <v>105</v>
      </c>
      <c r="B17" t="str">
        <f>ToResult(獎勵!B17)</f>
        <v>2</v>
      </c>
      <c r="C17" t="str">
        <f>ToReward(獎勵!C17)</f>
        <v>2</v>
      </c>
      <c r="D17" t="str">
        <f>ToResult(獎勵!D17)</f>
        <v>100</v>
      </c>
    </row>
    <row r="18" spans="1:4">
      <c r="A18" t="str">
        <f>ToResult(獎勵!A18)</f>
        <v>200</v>
      </c>
      <c r="B18" t="str">
        <f>ToResult(獎勵!B18)</f>
        <v>3</v>
      </c>
      <c r="C18" t="str">
        <f>ToReward(獎勵!C18)</f>
        <v>3</v>
      </c>
      <c r="D18" t="str">
        <f>ToResult(獎勵!D18)</f>
        <v>30</v>
      </c>
    </row>
    <row r="19" spans="1:4">
      <c r="A19" t="str">
        <f>ToResult(獎勵!A19)</f>
        <v>201</v>
      </c>
      <c r="B19" t="str">
        <f>ToResult(獎勵!B19)</f>
        <v>3</v>
      </c>
      <c r="C19" t="str">
        <f>ToReward(獎勵!C19)</f>
        <v>3</v>
      </c>
      <c r="D19" t="str">
        <f>ToResult(獎勵!D19)</f>
        <v>30</v>
      </c>
    </row>
    <row r="20" spans="1:4">
      <c r="A20" t="str">
        <f>ToResult(獎勵!A20)</f>
        <v>202</v>
      </c>
      <c r="B20" t="str">
        <f>ToResult(獎勵!B20)</f>
        <v>3</v>
      </c>
      <c r="C20" t="str">
        <f>ToReward(獎勵!C20)</f>
        <v>3</v>
      </c>
      <c r="D20" t="str">
        <f>ToResult(獎勵!D20)</f>
        <v>30</v>
      </c>
    </row>
    <row r="21" spans="1:4">
      <c r="A21" t="str">
        <f>ToResult(獎勵!A21)</f>
        <v>203</v>
      </c>
      <c r="B21" t="str">
        <f>ToResult(獎勵!B21)</f>
        <v>3</v>
      </c>
      <c r="C21" t="str">
        <f>ToReward(獎勵!C21)</f>
        <v>3</v>
      </c>
      <c r="D21" t="str">
        <f>ToResult(獎勵!D21)</f>
        <v>30</v>
      </c>
    </row>
    <row r="22" spans="1:4">
      <c r="A22" t="str">
        <f>ToResult(獎勵!A22)</f>
        <v>204</v>
      </c>
      <c r="B22" t="str">
        <f>ToResult(獎勵!B22)</f>
        <v>3</v>
      </c>
      <c r="C22" t="str">
        <f>ToReward(獎勵!C22)</f>
        <v>3</v>
      </c>
      <c r="D22" t="str">
        <f>ToResult(獎勵!D22)</f>
        <v>30</v>
      </c>
    </row>
    <row r="23" spans="1:4">
      <c r="A23" t="str">
        <f>ToResult(獎勵!A23)</f>
        <v>205</v>
      </c>
      <c r="B23" t="str">
        <f>ToResult(獎勵!B23)</f>
        <v>3</v>
      </c>
      <c r="C23" t="str">
        <f>ToReward(獎勵!C23)</f>
        <v>3</v>
      </c>
      <c r="D23" t="str">
        <f>ToResult(獎勵!D23)</f>
        <v>30</v>
      </c>
    </row>
    <row r="24" spans="1:4">
      <c r="A24" t="str">
        <f>ToResult(獎勵!A24)</f>
        <v>300</v>
      </c>
      <c r="B24" t="str">
        <f>ToResult(獎勵!B24)</f>
        <v>4</v>
      </c>
      <c r="C24" t="str">
        <f>ToReward(獎勵!C24)</f>
        <v>4</v>
      </c>
      <c r="D24" t="str">
        <f>ToResult(獎勵!D24)</f>
        <v>30</v>
      </c>
    </row>
    <row r="25" spans="1:4">
      <c r="A25" t="str">
        <f>ToResult(獎勵!A25)</f>
        <v>301</v>
      </c>
      <c r="B25" t="str">
        <f>ToResult(獎勵!B25)</f>
        <v>4</v>
      </c>
      <c r="C25" t="str">
        <f>ToReward(獎勵!C25)</f>
        <v>4</v>
      </c>
      <c r="D25" t="str">
        <f>ToResult(獎勵!D25)</f>
        <v>30</v>
      </c>
    </row>
    <row r="26" spans="1:4">
      <c r="A26" t="str">
        <f>ToResult(獎勵!A26)</f>
        <v>302</v>
      </c>
      <c r="B26" t="str">
        <f>ToResult(獎勵!B26)</f>
        <v>4</v>
      </c>
      <c r="C26" t="str">
        <f>ToReward(獎勵!C26)</f>
        <v>4</v>
      </c>
      <c r="D26" t="str">
        <f>ToResult(獎勵!D26)</f>
        <v>30</v>
      </c>
    </row>
    <row r="27" spans="1:4">
      <c r="A27" t="str">
        <f>ToResult(獎勵!A27)</f>
        <v>303</v>
      </c>
      <c r="B27" t="str">
        <f>ToResult(獎勵!B27)</f>
        <v>4</v>
      </c>
      <c r="C27" t="str">
        <f>ToReward(獎勵!C27)</f>
        <v>4</v>
      </c>
      <c r="D27" t="str">
        <f>ToResult(獎勵!D27)</f>
        <v>30</v>
      </c>
    </row>
    <row r="28" spans="1:4">
      <c r="A28" t="str">
        <f>ToResult(獎勵!A28)</f>
        <v>304</v>
      </c>
      <c r="B28" t="str">
        <f>ToResult(獎勵!B28)</f>
        <v>4</v>
      </c>
      <c r="C28" t="str">
        <f>ToReward(獎勵!C28)</f>
        <v>4</v>
      </c>
      <c r="D28" t="str">
        <f>ToResult(獎勵!D28)</f>
        <v>30</v>
      </c>
    </row>
    <row r="29" spans="1:4">
      <c r="A29" t="str">
        <f>ToResult(獎勵!A29)</f>
        <v>305</v>
      </c>
      <c r="B29" t="str">
        <f>ToResult(獎勵!B29)</f>
        <v>4</v>
      </c>
      <c r="C29" t="str">
        <f>ToReward(獎勵!C29)</f>
        <v>4</v>
      </c>
      <c r="D29" t="str">
        <f>ToResult(獎勵!D29)</f>
        <v>30</v>
      </c>
    </row>
    <row r="30" spans="1:4">
      <c r="A30" t="str">
        <f>ToResult(獎勵!A30)</f>
        <v>400</v>
      </c>
      <c r="B30" t="str">
        <f>ToResult(獎勵!B30)</f>
        <v>5</v>
      </c>
      <c r="C30" t="str">
        <f>ToReward(獎勵!C30)</f>
        <v>5</v>
      </c>
      <c r="D30" t="str">
        <f>ToResult(獎勵!D30)</f>
        <v>30</v>
      </c>
    </row>
    <row r="31" spans="1:4">
      <c r="A31" t="str">
        <f>ToResult(獎勵!A31)</f>
        <v>401</v>
      </c>
      <c r="B31" t="str">
        <f>ToResult(獎勵!B31)</f>
        <v>5</v>
      </c>
      <c r="C31" t="str">
        <f>ToReward(獎勵!C31)</f>
        <v>5</v>
      </c>
      <c r="D31" t="str">
        <f>ToResult(獎勵!D31)</f>
        <v>30</v>
      </c>
    </row>
    <row r="32" spans="1:4">
      <c r="A32" t="str">
        <f>ToResult(獎勵!A32)</f>
        <v>402</v>
      </c>
      <c r="B32" t="str">
        <f>ToResult(獎勵!B32)</f>
        <v>5</v>
      </c>
      <c r="C32" t="str">
        <f>ToReward(獎勵!C32)</f>
        <v>5</v>
      </c>
      <c r="D32" t="str">
        <f>ToResult(獎勵!D32)</f>
        <v>30</v>
      </c>
    </row>
    <row r="33" spans="1:4">
      <c r="A33" t="str">
        <f>ToResult(獎勵!A33)</f>
        <v>403</v>
      </c>
      <c r="B33" t="str">
        <f>ToResult(獎勵!B33)</f>
        <v>5</v>
      </c>
      <c r="C33" t="str">
        <f>ToReward(獎勵!C33)</f>
        <v>5</v>
      </c>
      <c r="D33" t="str">
        <f>ToResult(獎勵!D33)</f>
        <v>30</v>
      </c>
    </row>
    <row r="34" spans="1:4">
      <c r="A34" t="str">
        <f>ToResult(獎勵!A34)</f>
        <v>404</v>
      </c>
      <c r="B34" t="str">
        <f>ToResult(獎勵!B34)</f>
        <v>5</v>
      </c>
      <c r="C34" t="str">
        <f>ToReward(獎勵!C34)</f>
        <v>5</v>
      </c>
      <c r="D34" t="str">
        <f>ToResult(獎勵!D34)</f>
        <v>30</v>
      </c>
    </row>
    <row r="35" spans="1:4">
      <c r="A35" t="str">
        <f>ToResult(獎勵!A35)</f>
        <v>405</v>
      </c>
      <c r="B35" t="str">
        <f>ToResult(獎勵!B35)</f>
        <v>5</v>
      </c>
      <c r="C35" t="str">
        <f>ToReward(獎勵!C35)</f>
        <v>5</v>
      </c>
      <c r="D35" t="str">
        <f>ToResult(獎勵!D35)</f>
        <v>30</v>
      </c>
    </row>
    <row r="36" spans="1:4">
      <c r="A36" t="str">
        <f>ToResult(獎勵!A36)</f>
        <v>500</v>
      </c>
      <c r="B36" t="str">
        <f>ToResult(獎勵!B36)</f>
        <v>6</v>
      </c>
      <c r="C36" t="str">
        <f>ToReward(獎勵!C36)</f>
        <v>6</v>
      </c>
      <c r="D36" t="str">
        <f>ToResult(獎勵!D36)</f>
        <v>1</v>
      </c>
    </row>
    <row r="37" spans="1:4">
      <c r="A37" t="str">
        <f>ToResult(獎勵!A37)</f>
        <v>501</v>
      </c>
      <c r="B37" t="str">
        <f>ToResult(獎勵!B37)</f>
        <v>6</v>
      </c>
      <c r="C37" t="str">
        <f>ToReward(獎勵!C37)</f>
        <v>6</v>
      </c>
      <c r="D37" t="str">
        <f>ToResult(獎勵!D37)</f>
        <v>1</v>
      </c>
    </row>
    <row r="38" spans="1:4">
      <c r="A38" t="str">
        <f>ToResult(獎勵!A38)</f>
        <v>502</v>
      </c>
      <c r="B38" t="str">
        <f>ToResult(獎勵!B38)</f>
        <v>6</v>
      </c>
      <c r="C38" t="str">
        <f>ToReward(獎勵!C38)</f>
        <v>6</v>
      </c>
      <c r="D38" t="str">
        <f>ToResult(獎勵!D38)</f>
        <v>1</v>
      </c>
    </row>
    <row r="39" spans="1:4">
      <c r="A39" t="str">
        <f>ToResult(獎勵!A39)</f>
        <v>503</v>
      </c>
      <c r="B39" t="str">
        <f>ToResult(獎勵!B39)</f>
        <v>6</v>
      </c>
      <c r="C39" t="str">
        <f>ToReward(獎勵!C39)</f>
        <v>6</v>
      </c>
      <c r="D39" t="str">
        <f>ToResult(獎勵!D39)</f>
        <v>1</v>
      </c>
    </row>
    <row r="40" spans="1:4">
      <c r="A40" t="str">
        <f>ToResult(獎勵!A40)</f>
        <v/>
      </c>
      <c r="B40" t="str">
        <f>ToResult(獎勵!B40)</f>
        <v/>
      </c>
      <c r="C40" t="str">
        <f>ToReward(獎勵!C40)</f>
        <v/>
      </c>
      <c r="D40" t="str">
        <f>ToResult(獎勵!D40)</f>
        <v/>
      </c>
    </row>
    <row r="41" spans="1:4">
      <c r="A41" t="str">
        <f>ToResult(獎勵!A41)</f>
        <v/>
      </c>
      <c r="B41" t="str">
        <f>ToResult(獎勵!B41)</f>
        <v/>
      </c>
      <c r="C41" t="str">
        <f>ToReward(獎勵!C41)</f>
        <v/>
      </c>
      <c r="D41" t="str">
        <f>ToResult(獎勵!D41)</f>
        <v/>
      </c>
    </row>
    <row r="42" spans="1:4">
      <c r="A42" t="str">
        <f>ToResult(獎勵!A42)</f>
        <v/>
      </c>
      <c r="B42" t="str">
        <f>ToResult(獎勵!B42)</f>
        <v/>
      </c>
      <c r="C42" t="str">
        <f>ToReward(獎勵!C42)</f>
        <v/>
      </c>
      <c r="D42" t="str">
        <f>ToResult(獎勵!D42)</f>
        <v/>
      </c>
    </row>
    <row r="43" spans="1:4">
      <c r="A43" t="str">
        <f>ToResult(獎勵!A43)</f>
        <v/>
      </c>
      <c r="B43" t="str">
        <f>ToResult(獎勵!B43)</f>
        <v/>
      </c>
      <c r="C43" t="str">
        <f>ToReward(獎勵!C43)</f>
        <v/>
      </c>
      <c r="D43" t="str">
        <f>ToResult(獎勵!D43)</f>
        <v/>
      </c>
    </row>
    <row r="44" spans="1:4">
      <c r="A44" t="str">
        <f>ToResult(獎勵!A44)</f>
        <v/>
      </c>
      <c r="B44" t="str">
        <f>ToResult(獎勵!B44)</f>
        <v/>
      </c>
      <c r="C44" t="str">
        <f>ToReward(獎勵!C44)</f>
        <v/>
      </c>
      <c r="D44" t="str">
        <f>ToResult(獎勵!D44)</f>
        <v/>
      </c>
    </row>
    <row r="45" spans="1:4">
      <c r="A45" t="str">
        <f>ToResult(獎勵!A45)</f>
        <v/>
      </c>
      <c r="B45" t="str">
        <f>ToResult(獎勵!B45)</f>
        <v/>
      </c>
      <c r="C45" t="str">
        <f>ToReward(獎勵!C45)</f>
        <v/>
      </c>
      <c r="D45" t="str">
        <f>ToResult(獎勵!D45)</f>
        <v/>
      </c>
    </row>
    <row r="46" spans="1:4">
      <c r="A46" t="str">
        <f>ToResult(獎勵!A46)</f>
        <v/>
      </c>
      <c r="B46" t="str">
        <f>ToResult(獎勵!B46)</f>
        <v/>
      </c>
      <c r="C46" t="str">
        <f>ToReward(獎勵!C46)</f>
        <v/>
      </c>
      <c r="D46" t="str">
        <f>ToResult(獎勵!D46)</f>
        <v/>
      </c>
    </row>
    <row r="47" spans="1:4">
      <c r="A47" t="str">
        <f>ToResult(獎勵!A47)</f>
        <v/>
      </c>
      <c r="B47" t="str">
        <f>ToResult(獎勵!B47)</f>
        <v/>
      </c>
      <c r="C47" t="str">
        <f>ToReward(獎勵!C47)</f>
        <v/>
      </c>
      <c r="D47" t="str">
        <f>ToResult(獎勵!D47)</f>
        <v/>
      </c>
    </row>
    <row r="48" spans="1:4">
      <c r="A48" t="str">
        <f>ToResult(獎勵!A48)</f>
        <v/>
      </c>
      <c r="B48" t="str">
        <f>ToResult(獎勵!B48)</f>
        <v/>
      </c>
      <c r="C48" t="str">
        <f>ToReward(獎勵!C48)</f>
        <v/>
      </c>
      <c r="D48" t="str">
        <f>ToResult(獎勵!D48)</f>
        <v/>
      </c>
    </row>
    <row r="49" spans="1:4">
      <c r="A49" t="str">
        <f>ToResult(獎勵!A49)</f>
        <v/>
      </c>
      <c r="B49" t="str">
        <f>ToResult(獎勵!B49)</f>
        <v/>
      </c>
      <c r="C49" t="str">
        <f>ToReward(獎勵!C49)</f>
        <v/>
      </c>
      <c r="D49" t="str">
        <f>ToResult(獎勵!D49)</f>
        <v/>
      </c>
    </row>
    <row r="50" spans="1:4">
      <c r="A50" t="str">
        <f>ToResult(獎勵!A50)</f>
        <v/>
      </c>
      <c r="B50" t="str">
        <f>ToResult(獎勵!B50)</f>
        <v/>
      </c>
      <c r="C50" t="str">
        <f>ToReward(獎勵!C50)</f>
        <v/>
      </c>
      <c r="D50" t="str">
        <f>ToResult(獎勵!D50)</f>
        <v/>
      </c>
    </row>
    <row r="51" spans="1:4">
      <c r="A51" t="str">
        <f>ToResult(獎勵!A51)</f>
        <v/>
      </c>
      <c r="B51" t="str">
        <f>ToResult(獎勵!B51)</f>
        <v/>
      </c>
      <c r="C51" t="str">
        <f>ToReward(獎勵!C51)</f>
        <v/>
      </c>
      <c r="D51" t="str">
        <f>ToResult(獎勵!D51)</f>
        <v/>
      </c>
    </row>
    <row r="52" spans="1:4">
      <c r="A52" t="str">
        <f>ToResult(獎勵!A52)</f>
        <v/>
      </c>
      <c r="B52" t="str">
        <f>ToResult(獎勵!B52)</f>
        <v/>
      </c>
      <c r="C52" t="str">
        <f>ToReward(獎勵!C52)</f>
        <v/>
      </c>
      <c r="D52" t="str">
        <f>ToResult(獎勵!D52)</f>
        <v/>
      </c>
    </row>
    <row r="53" spans="1:4">
      <c r="A53" t="str">
        <f>ToResult(獎勵!A53)</f>
        <v/>
      </c>
      <c r="B53" t="str">
        <f>ToResult(獎勵!B53)</f>
        <v/>
      </c>
      <c r="C53" t="str">
        <f>ToReward(獎勵!C53)</f>
        <v/>
      </c>
      <c r="D53" t="str">
        <f>ToResult(獎勵!D53)</f>
        <v/>
      </c>
    </row>
    <row r="54" spans="1:4">
      <c r="A54" t="str">
        <f>ToResult(獎勵!A54)</f>
        <v/>
      </c>
      <c r="B54" t="str">
        <f>ToResult(獎勵!B54)</f>
        <v/>
      </c>
      <c r="C54" t="str">
        <f>ToReward(獎勵!C54)</f>
        <v/>
      </c>
      <c r="D54" t="str">
        <f>ToResult(獎勵!D54)</f>
        <v/>
      </c>
    </row>
    <row r="55" spans="1:4">
      <c r="A55" t="str">
        <f>ToResult(獎勵!A55)</f>
        <v/>
      </c>
      <c r="B55" t="str">
        <f>ToResult(獎勵!B55)</f>
        <v/>
      </c>
      <c r="C55" t="str">
        <f>ToReward(獎勵!C55)</f>
        <v/>
      </c>
      <c r="D55" t="str">
        <f>ToResult(獎勵!D55)</f>
        <v/>
      </c>
    </row>
    <row r="56" spans="1:4">
      <c r="A56" t="str">
        <f>ToResult(獎勵!A56)</f>
        <v/>
      </c>
      <c r="B56" t="str">
        <f>ToResult(獎勵!B56)</f>
        <v/>
      </c>
      <c r="C56" t="str">
        <f>ToReward(獎勵!C56)</f>
        <v/>
      </c>
      <c r="D56" t="str">
        <f>ToResult(獎勵!D56)</f>
        <v/>
      </c>
    </row>
    <row r="57" spans="1:4">
      <c r="A57" t="str">
        <f>ToResult(獎勵!A57)</f>
        <v/>
      </c>
      <c r="B57" t="str">
        <f>ToResult(獎勵!B57)</f>
        <v/>
      </c>
      <c r="C57" t="str">
        <f>ToReward(獎勵!C57)</f>
        <v/>
      </c>
      <c r="D57" t="str">
        <f>ToResult(獎勵!D57)</f>
        <v/>
      </c>
    </row>
    <row r="58" spans="1:4">
      <c r="A58" t="str">
        <f>ToResult(獎勵!A58)</f>
        <v/>
      </c>
      <c r="B58" t="str">
        <f>ToResult(獎勵!B58)</f>
        <v/>
      </c>
      <c r="C58" t="str">
        <f>ToReward(獎勵!C58)</f>
        <v/>
      </c>
      <c r="D58" t="str">
        <f>ToResult(獎勵!D58)</f>
        <v/>
      </c>
    </row>
    <row r="59" spans="1:4">
      <c r="A59" t="str">
        <f>ToResult(獎勵!A59)</f>
        <v/>
      </c>
      <c r="B59" t="str">
        <f>ToResult(獎勵!B59)</f>
        <v/>
      </c>
      <c r="C59" t="str">
        <f>ToReward(獎勵!C59)</f>
        <v/>
      </c>
      <c r="D59" t="str">
        <f>ToResult(獎勵!D59)</f>
        <v/>
      </c>
    </row>
    <row r="60" spans="1:4">
      <c r="A60" t="str">
        <f>ToResult(獎勵!A60)</f>
        <v/>
      </c>
      <c r="B60" t="str">
        <f>ToResult(獎勵!B60)</f>
        <v/>
      </c>
      <c r="C60" t="str">
        <f>ToReward(獎勵!C60)</f>
        <v/>
      </c>
      <c r="D60" t="str">
        <f>ToResult(獎勵!D60)</f>
        <v/>
      </c>
    </row>
    <row r="61" spans="1:4">
      <c r="A61" t="str">
        <f>ToResult(獎勵!A61)</f>
        <v/>
      </c>
      <c r="B61" t="str">
        <f>ToResult(獎勵!B61)</f>
        <v/>
      </c>
      <c r="C61" t="str">
        <f>ToReward(獎勵!C61)</f>
        <v/>
      </c>
      <c r="D61" t="str">
        <f>ToResult(獎勵!D61)</f>
        <v/>
      </c>
    </row>
    <row r="62" spans="1:4">
      <c r="A62" t="str">
        <f>ToResult(獎勵!A62)</f>
        <v/>
      </c>
      <c r="B62" t="str">
        <f>ToResult(獎勵!B62)</f>
        <v/>
      </c>
      <c r="C62" t="str">
        <f>ToReward(獎勵!C62)</f>
        <v/>
      </c>
      <c r="D62" t="str">
        <f>ToResult(獎勵!D62)</f>
        <v/>
      </c>
    </row>
    <row r="63" spans="1:4">
      <c r="A63" t="str">
        <f>ToResult(獎勵!A63)</f>
        <v/>
      </c>
      <c r="B63" t="str">
        <f>ToResult(獎勵!B63)</f>
        <v/>
      </c>
      <c r="C63" t="str">
        <f>ToReward(獎勵!C63)</f>
        <v/>
      </c>
      <c r="D63" t="str">
        <f>ToResult(獎勵!D63)</f>
        <v/>
      </c>
    </row>
    <row r="64" spans="1:4">
      <c r="A64" t="str">
        <f>ToResult(獎勵!A64)</f>
        <v/>
      </c>
      <c r="B64" t="str">
        <f>ToResult(獎勵!B64)</f>
        <v/>
      </c>
      <c r="C64" t="str">
        <f>ToReward(獎勵!C64)</f>
        <v/>
      </c>
      <c r="D64" t="str">
        <f>ToResult(獎勵!D64)</f>
        <v/>
      </c>
    </row>
    <row r="65" spans="1:4">
      <c r="A65" t="str">
        <f>ToResult(獎勵!A65)</f>
        <v/>
      </c>
      <c r="B65" t="str">
        <f>ToResult(獎勵!B65)</f>
        <v/>
      </c>
      <c r="C65" t="str">
        <f>ToReward(獎勵!C65)</f>
        <v/>
      </c>
      <c r="D65" t="str">
        <f>ToResult(獎勵!D65)</f>
        <v/>
      </c>
    </row>
    <row r="66" spans="1:4">
      <c r="A66" t="str">
        <f>ToResult(獎勵!A66)</f>
        <v/>
      </c>
      <c r="B66" t="str">
        <f>ToResult(獎勵!B66)</f>
        <v/>
      </c>
      <c r="C66" t="str">
        <f>ToReward(獎勵!C66)</f>
        <v/>
      </c>
      <c r="D66" t="str">
        <f>ToResult(獎勵!D66)</f>
        <v/>
      </c>
    </row>
    <row r="67" spans="1:4">
      <c r="A67" t="str">
        <f>ToResult(獎勵!A67)</f>
        <v/>
      </c>
      <c r="B67" t="str">
        <f>ToResult(獎勵!B67)</f>
        <v/>
      </c>
      <c r="C67" t="str">
        <f>ToReward(獎勵!C67)</f>
        <v/>
      </c>
      <c r="D67" t="str">
        <f>ToResult(獎勵!D67)</f>
        <v/>
      </c>
    </row>
    <row r="68" spans="1:4">
      <c r="A68" t="str">
        <f>ToResult(獎勵!A68)</f>
        <v/>
      </c>
      <c r="B68" t="str">
        <f>ToResult(獎勵!B68)</f>
        <v/>
      </c>
      <c r="C68" t="str">
        <f>ToReward(獎勵!C68)</f>
        <v/>
      </c>
      <c r="D68" t="str">
        <f>ToResult(獎勵!D68)</f>
        <v/>
      </c>
    </row>
    <row r="69" spans="1:4">
      <c r="A69" t="str">
        <f>ToResult(獎勵!A69)</f>
        <v/>
      </c>
      <c r="B69" t="str">
        <f>ToResult(獎勵!B69)</f>
        <v/>
      </c>
      <c r="C69" t="str">
        <f>ToReward(獎勵!C69)</f>
        <v/>
      </c>
      <c r="D69" t="str">
        <f>ToResult(獎勵!D69)</f>
        <v/>
      </c>
    </row>
    <row r="70" spans="1:4">
      <c r="A70" t="str">
        <f>ToResult(獎勵!A70)</f>
        <v/>
      </c>
      <c r="B70" t="str">
        <f>ToResult(獎勵!B70)</f>
        <v/>
      </c>
      <c r="C70" t="str">
        <f>ToReward(獎勵!C70)</f>
        <v/>
      </c>
      <c r="D70" t="str">
        <f>ToResult(獎勵!D70)</f>
        <v/>
      </c>
    </row>
    <row r="71" spans="1:4">
      <c r="A71" t="str">
        <f>ToResult(獎勵!A71)</f>
        <v/>
      </c>
      <c r="B71" t="str">
        <f>ToResult(獎勵!B71)</f>
        <v/>
      </c>
      <c r="C71" t="str">
        <f>ToReward(獎勵!C71)</f>
        <v/>
      </c>
      <c r="D71" t="str">
        <f>ToResult(獎勵!D71)</f>
        <v/>
      </c>
    </row>
    <row r="72" spans="1:4">
      <c r="A72" t="str">
        <f>ToResult(獎勵!A72)</f>
        <v/>
      </c>
      <c r="B72" t="str">
        <f>ToResult(獎勵!B72)</f>
        <v/>
      </c>
      <c r="C72" t="str">
        <f>ToReward(獎勵!C72)</f>
        <v/>
      </c>
      <c r="D72" t="str">
        <f>ToResult(獎勵!D72)</f>
        <v/>
      </c>
    </row>
    <row r="73" spans="1:4">
      <c r="A73" t="str">
        <f>ToResult(獎勵!A73)</f>
        <v/>
      </c>
      <c r="B73" t="str">
        <f>ToResult(獎勵!B73)</f>
        <v/>
      </c>
      <c r="C73" t="str">
        <f>ToReward(獎勵!C73)</f>
        <v/>
      </c>
      <c r="D73" t="str">
        <f>ToResult(獎勵!D73)</f>
        <v/>
      </c>
    </row>
    <row r="74" spans="1:4">
      <c r="A74" t="str">
        <f>ToResult(獎勵!A74)</f>
        <v/>
      </c>
      <c r="B74" t="str">
        <f>ToResult(獎勵!B74)</f>
        <v/>
      </c>
      <c r="C74" t="str">
        <f>ToReward(獎勵!C74)</f>
        <v/>
      </c>
      <c r="D74" t="str">
        <f>ToResult(獎勵!D74)</f>
        <v/>
      </c>
    </row>
    <row r="75" spans="1:4">
      <c r="A75" t="str">
        <f>ToResult(獎勵!A75)</f>
        <v/>
      </c>
      <c r="B75" t="str">
        <f>ToResult(獎勵!B75)</f>
        <v/>
      </c>
      <c r="C75" t="str">
        <f>ToReward(獎勵!C75)</f>
        <v/>
      </c>
      <c r="D75" t="str">
        <f>ToResult(獎勵!D75)</f>
        <v/>
      </c>
    </row>
    <row r="76" spans="1:4">
      <c r="A76" t="str">
        <f>ToResult(獎勵!A76)</f>
        <v/>
      </c>
      <c r="B76" t="str">
        <f>ToResult(獎勵!B76)</f>
        <v/>
      </c>
      <c r="C76" t="str">
        <f>ToReward(獎勵!C76)</f>
        <v/>
      </c>
      <c r="D76" t="str">
        <f>ToResult(獎勵!D76)</f>
        <v/>
      </c>
    </row>
    <row r="77" spans="1:4">
      <c r="A77" t="str">
        <f>ToResult(獎勵!A77)</f>
        <v/>
      </c>
      <c r="B77" t="str">
        <f>ToResult(獎勵!B77)</f>
        <v/>
      </c>
      <c r="C77" t="str">
        <f>ToReward(獎勵!C77)</f>
        <v/>
      </c>
      <c r="D77" t="str">
        <f>ToResult(獎勵!D77)</f>
        <v/>
      </c>
    </row>
    <row r="78" spans="1:4">
      <c r="A78" t="str">
        <f>ToResult(獎勵!A78)</f>
        <v/>
      </c>
      <c r="B78" t="str">
        <f>ToResult(獎勵!B78)</f>
        <v/>
      </c>
      <c r="C78" t="str">
        <f>ToReward(獎勵!C78)</f>
        <v/>
      </c>
      <c r="D78" t="str">
        <f>ToResult(獎勵!D78)</f>
        <v/>
      </c>
    </row>
    <row r="79" spans="1:4">
      <c r="A79" t="str">
        <f>ToResult(獎勵!A79)</f>
        <v/>
      </c>
      <c r="B79" t="str">
        <f>ToResult(獎勵!B79)</f>
        <v/>
      </c>
      <c r="C79" t="str">
        <f>ToReward(獎勵!C79)</f>
        <v/>
      </c>
      <c r="D79" t="str">
        <f>ToResult(獎勵!D79)</f>
        <v/>
      </c>
    </row>
    <row r="80" spans="1:4">
      <c r="A80" t="str">
        <f>ToResult(獎勵!A80)</f>
        <v/>
      </c>
      <c r="B80" t="str">
        <f>ToResult(獎勵!B80)</f>
        <v/>
      </c>
      <c r="C80" t="str">
        <f>ToReward(獎勵!C80)</f>
        <v/>
      </c>
      <c r="D80" t="str">
        <f>ToResult(獎勵!D80)</f>
        <v/>
      </c>
    </row>
    <row r="81" spans="1:4">
      <c r="A81" t="str">
        <f>ToResult(獎勵!A81)</f>
        <v/>
      </c>
      <c r="B81" t="str">
        <f>ToResult(獎勵!B81)</f>
        <v/>
      </c>
      <c r="C81" t="str">
        <f>ToReward(獎勵!C81)</f>
        <v/>
      </c>
      <c r="D81" t="str">
        <f>ToResult(獎勵!D81)</f>
        <v/>
      </c>
    </row>
    <row r="82" spans="1:4">
      <c r="A82" t="str">
        <f>ToResult(獎勵!A82)</f>
        <v/>
      </c>
      <c r="B82" t="str">
        <f>ToResult(獎勵!B82)</f>
        <v/>
      </c>
      <c r="C82" t="str">
        <f>ToReward(獎勵!C82)</f>
        <v/>
      </c>
      <c r="D82" t="str">
        <f>ToResult(獎勵!D82)</f>
        <v/>
      </c>
    </row>
    <row r="83" spans="1:4">
      <c r="A83" t="str">
        <f>ToResult(獎勵!A83)</f>
        <v/>
      </c>
      <c r="B83" t="str">
        <f>ToResult(獎勵!B83)</f>
        <v/>
      </c>
      <c r="C83" t="str">
        <f>ToReward(獎勵!C83)</f>
        <v/>
      </c>
      <c r="D83" t="str">
        <f>ToResult(獎勵!D83)</f>
        <v/>
      </c>
    </row>
    <row r="84" spans="1:4">
      <c r="A84" t="str">
        <f>ToResult(獎勵!A84)</f>
        <v/>
      </c>
      <c r="B84" t="str">
        <f>ToResult(獎勵!B84)</f>
        <v/>
      </c>
      <c r="C84" t="str">
        <f>ToReward(獎勵!C84)</f>
        <v/>
      </c>
      <c r="D84" t="str">
        <f>ToResult(獎勵!D84)</f>
        <v/>
      </c>
    </row>
    <row r="85" spans="1:4">
      <c r="A85" t="str">
        <f>ToResult(獎勵!A85)</f>
        <v/>
      </c>
      <c r="B85" t="str">
        <f>ToResult(獎勵!B85)</f>
        <v/>
      </c>
      <c r="C85" t="str">
        <f>ToReward(獎勵!C85)</f>
        <v/>
      </c>
      <c r="D85" t="str">
        <f>ToResult(獎勵!D85)</f>
        <v/>
      </c>
    </row>
    <row r="86" spans="1:4">
      <c r="A86" t="str">
        <f>ToResult(獎勵!A86)</f>
        <v/>
      </c>
      <c r="B86" t="str">
        <f>ToResult(獎勵!B86)</f>
        <v/>
      </c>
      <c r="C86" t="str">
        <f>ToReward(獎勵!C86)</f>
        <v/>
      </c>
      <c r="D86" t="str">
        <f>ToResult(獎勵!D86)</f>
        <v/>
      </c>
    </row>
    <row r="87" spans="1:4">
      <c r="A87" t="str">
        <f>ToResult(獎勵!A87)</f>
        <v/>
      </c>
      <c r="B87" t="str">
        <f>ToResult(獎勵!B87)</f>
        <v/>
      </c>
      <c r="C87" t="str">
        <f>ToReward(獎勵!C87)</f>
        <v/>
      </c>
      <c r="D87" t="str">
        <f>ToResult(獎勵!D87)</f>
        <v/>
      </c>
    </row>
    <row r="88" spans="1:4">
      <c r="A88" t="str">
        <f>ToResult(獎勵!A88)</f>
        <v/>
      </c>
      <c r="B88" t="str">
        <f>ToResult(獎勵!B88)</f>
        <v/>
      </c>
      <c r="C88" t="str">
        <f>ToReward(獎勵!C88)</f>
        <v/>
      </c>
      <c r="D88" t="str">
        <f>ToResult(獎勵!D88)</f>
        <v/>
      </c>
    </row>
    <row r="89" spans="1:4">
      <c r="A89" t="str">
        <f>ToResult(獎勵!A89)</f>
        <v/>
      </c>
      <c r="B89" t="str">
        <f>ToResult(獎勵!B89)</f>
        <v/>
      </c>
      <c r="C89" t="str">
        <f>ToReward(獎勵!C89)</f>
        <v/>
      </c>
      <c r="D89" t="str">
        <f>ToResult(獎勵!D89)</f>
        <v/>
      </c>
    </row>
    <row r="90" spans="1:4">
      <c r="A90" t="str">
        <f>ToResult(獎勵!A90)</f>
        <v/>
      </c>
      <c r="B90" t="str">
        <f>ToResult(獎勵!B90)</f>
        <v/>
      </c>
      <c r="C90" t="str">
        <f>ToReward(獎勵!C90)</f>
        <v/>
      </c>
      <c r="D90" t="str">
        <f>ToResult(獎勵!D90)</f>
        <v/>
      </c>
    </row>
    <row r="91" spans="1:4">
      <c r="A91" t="str">
        <f>ToResult(獎勵!A91)</f>
        <v/>
      </c>
      <c r="B91" t="str">
        <f>ToResult(獎勵!B91)</f>
        <v/>
      </c>
      <c r="C91" t="str">
        <f>ToReward(獎勵!C91)</f>
        <v/>
      </c>
      <c r="D91" t="str">
        <f>ToResult(獎勵!D91)</f>
        <v/>
      </c>
    </row>
    <row r="92" spans="1:4">
      <c r="A92" t="str">
        <f>ToResult(獎勵!A92)</f>
        <v/>
      </c>
      <c r="B92" t="str">
        <f>ToResult(獎勵!B92)</f>
        <v/>
      </c>
      <c r="C92" t="str">
        <f>ToReward(獎勵!C92)</f>
        <v/>
      </c>
      <c r="D92" t="str">
        <f>ToResult(獎勵!D92)</f>
        <v/>
      </c>
    </row>
    <row r="93" spans="1:4">
      <c r="A93" t="str">
        <f>ToResult(獎勵!A93)</f>
        <v/>
      </c>
      <c r="B93" t="str">
        <f>ToResult(獎勵!B93)</f>
        <v/>
      </c>
      <c r="C93" t="str">
        <f>ToReward(獎勵!C93)</f>
        <v/>
      </c>
      <c r="D93" t="str">
        <f>ToResult(獎勵!D93)</f>
        <v/>
      </c>
    </row>
    <row r="94" spans="1:4">
      <c r="A94" t="str">
        <f>ToResult(獎勵!A94)</f>
        <v/>
      </c>
      <c r="B94" t="str">
        <f>ToResult(獎勵!B94)</f>
        <v/>
      </c>
      <c r="C94" t="str">
        <f>ToReward(獎勵!C94)</f>
        <v/>
      </c>
      <c r="D94" t="str">
        <f>ToResult(獎勵!D94)</f>
        <v/>
      </c>
    </row>
    <row r="95" spans="1:4">
      <c r="A95" t="str">
        <f>ToResult(獎勵!A95)</f>
        <v/>
      </c>
      <c r="B95" t="str">
        <f>ToResult(獎勵!B95)</f>
        <v/>
      </c>
      <c r="C95" t="str">
        <f>ToReward(獎勵!C95)</f>
        <v/>
      </c>
      <c r="D95" t="str">
        <f>ToResult(獎勵!D95)</f>
        <v/>
      </c>
    </row>
    <row r="96" spans="1:4">
      <c r="A96" t="str">
        <f>ToResult(獎勵!A96)</f>
        <v/>
      </c>
      <c r="B96" t="str">
        <f>ToResult(獎勵!B96)</f>
        <v/>
      </c>
      <c r="C96" t="str">
        <f>ToReward(獎勵!C96)</f>
        <v/>
      </c>
      <c r="D96" t="str">
        <f>ToResult(獎勵!D96)</f>
        <v/>
      </c>
    </row>
    <row r="97" spans="1:4">
      <c r="A97" t="str">
        <f>ToResult(獎勵!A97)</f>
        <v/>
      </c>
      <c r="B97" t="str">
        <f>ToResult(獎勵!B97)</f>
        <v/>
      </c>
      <c r="C97" t="str">
        <f>ToReward(獎勵!C97)</f>
        <v/>
      </c>
      <c r="D97" t="str">
        <f>ToResult(獎勵!D97)</f>
        <v/>
      </c>
    </row>
    <row r="98" spans="1:4">
      <c r="A98" t="str">
        <f>ToResult(獎勵!A98)</f>
        <v/>
      </c>
      <c r="B98" t="str">
        <f>ToResult(獎勵!B98)</f>
        <v/>
      </c>
      <c r="C98" t="str">
        <f>ToReward(獎勵!C98)</f>
        <v/>
      </c>
      <c r="D98" t="str">
        <f>ToResult(獎勵!D98)</f>
        <v/>
      </c>
    </row>
    <row r="99" spans="1:4">
      <c r="A99" t="str">
        <f>ToResult(獎勵!A99)</f>
        <v/>
      </c>
      <c r="B99" t="str">
        <f>ToResult(獎勵!B99)</f>
        <v/>
      </c>
      <c r="C99" t="str">
        <f>ToReward(獎勵!C99)</f>
        <v/>
      </c>
      <c r="D99" t="str">
        <f>ToResult(獎勵!D99)</f>
        <v/>
      </c>
    </row>
    <row r="100" spans="1:4">
      <c r="A100" t="str">
        <f>ToResult(獎勵!A100)</f>
        <v/>
      </c>
      <c r="B100" t="str">
        <f>ToResult(獎勵!B100)</f>
        <v/>
      </c>
      <c r="C100" t="str">
        <f>ToReward(獎勵!C100)</f>
        <v/>
      </c>
      <c r="D100" t="str">
        <f>ToResult(獎勵!D100)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16</vt:i4>
      </vt:variant>
    </vt:vector>
  </HeadingPairs>
  <TitlesOfParts>
    <vt:vector size="16" baseType="lpstr">
      <vt:lpstr>Main</vt:lpstr>
      <vt:lpstr>語言列表</vt:lpstr>
      <vt:lpstr>裝備</vt:lpstr>
      <vt:lpstr>特性</vt:lpstr>
      <vt:lpstr>怪物</vt:lpstr>
      <vt:lpstr>成就</vt:lpstr>
      <vt:lpstr>收集</vt:lpstr>
      <vt:lpstr>獎勵</vt:lpstr>
      <vt:lpstr>選項清單</vt:lpstr>
      <vt:lpstr>Language</vt:lpstr>
      <vt:lpstr>Equip</vt:lpstr>
      <vt:lpstr>Feature</vt:lpstr>
      <vt:lpstr>Monster</vt:lpstr>
      <vt:lpstr>Achievement</vt:lpstr>
      <vt:lpstr>Collection</vt:lpstr>
      <vt:lpstr>Reward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2015-09-28T12:59:00Z</dcterms:modified>
</cp:coreProperties>
</file>