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2" i="1"/>
  <c r="C3" i="7"/>
  <c r="C7" i="7"/>
  <c r="C11" i="7"/>
  <c r="C15" i="7"/>
  <c r="C19" i="7"/>
  <c r="C23" i="7"/>
  <c r="C27" i="7"/>
  <c r="C9" i="7"/>
  <c r="C17" i="7"/>
  <c r="C25" i="7"/>
  <c r="C6" i="7"/>
  <c r="C18" i="7"/>
  <c r="C26" i="7"/>
  <c r="C4" i="7"/>
  <c r="C8" i="7"/>
  <c r="C12" i="7"/>
  <c r="C16" i="7"/>
  <c r="C20" i="7"/>
  <c r="C24" i="7"/>
  <c r="C28" i="7"/>
  <c r="C5" i="7"/>
  <c r="C13" i="7"/>
  <c r="C21" i="7"/>
  <c r="C29" i="7"/>
  <c r="C10" i="7"/>
  <c r="C14" i="7"/>
  <c r="C22" i="7"/>
  <c r="C30" i="7"/>
  <c r="B4" i="7"/>
  <c r="B8" i="7"/>
  <c r="B12" i="7"/>
  <c r="B16" i="7"/>
  <c r="B20" i="7"/>
  <c r="B24" i="7"/>
  <c r="B28" i="7"/>
  <c r="B5" i="7"/>
  <c r="B9" i="7"/>
  <c r="B13" i="7"/>
  <c r="B17" i="7"/>
  <c r="B21" i="7"/>
  <c r="B25" i="7"/>
  <c r="B29" i="7"/>
  <c r="B6" i="7"/>
  <c r="B10" i="7"/>
  <c r="B14" i="7"/>
  <c r="B18" i="7"/>
  <c r="B22" i="7"/>
  <c r="B26" i="7"/>
  <c r="B30" i="7"/>
  <c r="B3" i="7"/>
  <c r="B7" i="7"/>
  <c r="B11" i="7"/>
  <c r="B15" i="7"/>
  <c r="B19" i="7"/>
  <c r="B23" i="7"/>
  <c r="B27" i="7"/>
  <c r="A3" i="7"/>
  <c r="A7" i="7"/>
  <c r="A11" i="7"/>
  <c r="A15" i="7"/>
  <c r="A19" i="7"/>
  <c r="A23" i="7"/>
  <c r="A27" i="7"/>
  <c r="A4" i="7"/>
  <c r="A8" i="7"/>
  <c r="A12" i="7"/>
  <c r="A16" i="7"/>
  <c r="A20" i="7"/>
  <c r="A24" i="7"/>
  <c r="A28" i="7"/>
  <c r="A5" i="7"/>
  <c r="A9" i="7"/>
  <c r="A13" i="7"/>
  <c r="A17" i="7"/>
  <c r="A21" i="7"/>
  <c r="A25" i="7"/>
  <c r="A29" i="7"/>
  <c r="A6" i="7"/>
  <c r="A10" i="7"/>
  <c r="A14" i="7"/>
  <c r="A18" i="7"/>
  <c r="A22" i="7"/>
  <c r="A26" i="7"/>
  <c r="A30" i="7"/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2" i="1"/>
  <c r="N14" i="1"/>
  <c r="N18" i="1"/>
  <c r="N22" i="1"/>
  <c r="N26" i="1"/>
  <c r="N30" i="1"/>
  <c r="N3" i="1"/>
  <c r="N4" i="1"/>
  <c r="N5" i="1"/>
  <c r="N6" i="1"/>
  <c r="N7" i="1"/>
  <c r="N8" i="1"/>
  <c r="N9" i="1"/>
  <c r="N10" i="1"/>
  <c r="N11" i="1"/>
  <c r="N12" i="1"/>
  <c r="N13" i="1"/>
  <c r="N15" i="1"/>
  <c r="N16" i="1"/>
  <c r="N17" i="1"/>
  <c r="N19" i="1"/>
  <c r="N20" i="1"/>
  <c r="N21" i="1"/>
  <c r="N23" i="1"/>
  <c r="N24" i="1"/>
  <c r="N25" i="1"/>
  <c r="N27" i="1"/>
  <c r="N28" i="1"/>
  <c r="N29" i="1"/>
  <c r="N2" i="1"/>
  <c r="H23" i="9" l="1"/>
  <c r="H4" i="9"/>
  <c r="H6" i="9"/>
  <c r="H10" i="9"/>
  <c r="H14" i="9"/>
  <c r="H18" i="9"/>
  <c r="H22" i="9"/>
  <c r="H26" i="9"/>
  <c r="H30" i="9"/>
  <c r="H3" i="9"/>
  <c r="H7" i="9"/>
  <c r="H11" i="9"/>
  <c r="H15" i="9"/>
  <c r="H19" i="9"/>
  <c r="H27" i="9"/>
  <c r="H8" i="9"/>
  <c r="H12" i="9"/>
  <c r="H16" i="9"/>
  <c r="H20" i="9"/>
  <c r="H24" i="9"/>
  <c r="H28" i="9"/>
  <c r="H5" i="9"/>
  <c r="H9" i="9"/>
  <c r="H13" i="9"/>
  <c r="H17" i="9"/>
  <c r="H21" i="9"/>
  <c r="H25" i="9"/>
  <c r="H29" i="9"/>
  <c r="H2" i="9"/>
  <c r="G27" i="9"/>
  <c r="G4" i="9"/>
  <c r="G6" i="9"/>
  <c r="G10" i="9"/>
  <c r="G14" i="9"/>
  <c r="G18" i="9"/>
  <c r="G22" i="9"/>
  <c r="G26" i="9"/>
  <c r="G30" i="9"/>
  <c r="G3" i="9"/>
  <c r="G7" i="9"/>
  <c r="G11" i="9"/>
  <c r="G15" i="9"/>
  <c r="G19" i="9"/>
  <c r="G23" i="9"/>
  <c r="G8" i="9"/>
  <c r="G12" i="9"/>
  <c r="G16" i="9"/>
  <c r="G20" i="9"/>
  <c r="G24" i="9"/>
  <c r="G28" i="9"/>
  <c r="G5" i="9"/>
  <c r="G9" i="9"/>
  <c r="G13" i="9"/>
  <c r="G17" i="9"/>
  <c r="G21" i="9"/>
  <c r="G25" i="9"/>
  <c r="G29" i="9"/>
  <c r="G2" i="9"/>
  <c r="D3" i="9"/>
  <c r="D19" i="9"/>
  <c r="D27" i="9"/>
  <c r="F29" i="9"/>
  <c r="D6" i="9"/>
  <c r="D10" i="9"/>
  <c r="D14" i="9"/>
  <c r="F16" i="9"/>
  <c r="E19" i="9"/>
  <c r="D22" i="9"/>
  <c r="F24" i="9"/>
  <c r="E27" i="9"/>
  <c r="D30" i="9"/>
  <c r="D5" i="9"/>
  <c r="D9" i="9"/>
  <c r="F11" i="9"/>
  <c r="E14" i="9"/>
  <c r="E18" i="9"/>
  <c r="E22" i="9"/>
  <c r="E26" i="9"/>
  <c r="E30" i="9"/>
  <c r="F7" i="9"/>
  <c r="F15" i="9"/>
  <c r="F19" i="9"/>
  <c r="F23" i="9"/>
  <c r="D29" i="9"/>
  <c r="D4" i="9"/>
  <c r="E5" i="9"/>
  <c r="F6" i="9"/>
  <c r="D8" i="9"/>
  <c r="E9" i="9"/>
  <c r="F10" i="9"/>
  <c r="D12" i="9"/>
  <c r="E13" i="9"/>
  <c r="F14" i="9"/>
  <c r="D16" i="9"/>
  <c r="E17" i="9"/>
  <c r="F18" i="9"/>
  <c r="D20" i="9"/>
  <c r="E21" i="9"/>
  <c r="F22" i="9"/>
  <c r="D24" i="9"/>
  <c r="E25" i="9"/>
  <c r="F26" i="9"/>
  <c r="D28" i="9"/>
  <c r="E29" i="9"/>
  <c r="F30" i="9"/>
  <c r="F5" i="9"/>
  <c r="D7" i="9"/>
  <c r="E8" i="9"/>
  <c r="F9" i="9"/>
  <c r="D11" i="9"/>
  <c r="E12" i="9"/>
  <c r="F13" i="9"/>
  <c r="D15" i="9"/>
  <c r="E16" i="9"/>
  <c r="F17" i="9"/>
  <c r="E20" i="9"/>
  <c r="F21" i="9"/>
  <c r="D23" i="9"/>
  <c r="E24" i="9"/>
  <c r="F25" i="9"/>
  <c r="E28" i="9"/>
  <c r="F4" i="9"/>
  <c r="E7" i="9"/>
  <c r="F8" i="9"/>
  <c r="E11" i="9"/>
  <c r="F12" i="9"/>
  <c r="E15" i="9"/>
  <c r="D18" i="9"/>
  <c r="F20" i="9"/>
  <c r="E23" i="9"/>
  <c r="D26" i="9"/>
  <c r="F28" i="9"/>
  <c r="F3" i="9"/>
  <c r="E6" i="9"/>
  <c r="E10" i="9"/>
  <c r="D13" i="9"/>
  <c r="D17" i="9"/>
  <c r="D21" i="9"/>
  <c r="D25" i="9"/>
  <c r="F27" i="9"/>
  <c r="F2" i="9"/>
  <c r="D2" i="9"/>
  <c r="C19" i="9"/>
  <c r="C4" i="9"/>
  <c r="C6" i="9"/>
  <c r="C10" i="9"/>
  <c r="C14" i="9"/>
  <c r="C18" i="9"/>
  <c r="C22" i="9"/>
  <c r="C26" i="9"/>
  <c r="C30" i="9"/>
  <c r="C3" i="9"/>
  <c r="C7" i="9"/>
  <c r="C11" i="9"/>
  <c r="C15" i="9"/>
  <c r="C23" i="9"/>
  <c r="C27" i="9"/>
  <c r="C8" i="9"/>
  <c r="C12" i="9"/>
  <c r="C16" i="9"/>
  <c r="C20" i="9"/>
  <c r="C24" i="9"/>
  <c r="C28" i="9"/>
  <c r="C5" i="9"/>
  <c r="C9" i="9"/>
  <c r="C13" i="9"/>
  <c r="C17" i="9"/>
  <c r="C21" i="9"/>
  <c r="C25" i="9"/>
  <c r="C29" i="9"/>
  <c r="C2" i="9"/>
  <c r="A13" i="9"/>
  <c r="B25" i="9"/>
  <c r="A6" i="9"/>
  <c r="A12" i="9"/>
  <c r="A18" i="9"/>
  <c r="A24" i="9"/>
  <c r="A30" i="9"/>
  <c r="B3" i="9"/>
  <c r="B21" i="9"/>
  <c r="A8" i="9"/>
  <c r="A14" i="9"/>
  <c r="A20" i="9"/>
  <c r="A26" i="9"/>
  <c r="B4" i="9"/>
  <c r="B6" i="9"/>
  <c r="B8" i="9"/>
  <c r="B10" i="9"/>
  <c r="B12" i="9"/>
  <c r="B14" i="9"/>
  <c r="B16" i="9"/>
  <c r="B18" i="9"/>
  <c r="B20" i="9"/>
  <c r="B22" i="9"/>
  <c r="B24" i="9"/>
  <c r="B26" i="9"/>
  <c r="B28" i="9"/>
  <c r="B30" i="9"/>
  <c r="A3" i="9"/>
  <c r="A5" i="9"/>
  <c r="A7" i="9"/>
  <c r="A9" i="9"/>
  <c r="A11" i="9"/>
  <c r="A15" i="9"/>
  <c r="A17" i="9"/>
  <c r="A19" i="9"/>
  <c r="A21" i="9"/>
  <c r="A23" i="9"/>
  <c r="A25" i="9"/>
  <c r="A27" i="9"/>
  <c r="A29" i="9"/>
  <c r="B5" i="9"/>
  <c r="B7" i="9"/>
  <c r="B9" i="9"/>
  <c r="B11" i="9"/>
  <c r="B13" i="9"/>
  <c r="B15" i="9"/>
  <c r="B17" i="9"/>
  <c r="B19" i="9"/>
  <c r="B23" i="9"/>
  <c r="B27" i="9"/>
  <c r="B29" i="9"/>
  <c r="A4" i="9"/>
  <c r="A10" i="9"/>
  <c r="A16" i="9"/>
  <c r="A22" i="9"/>
  <c r="A28" i="9"/>
  <c r="B2" i="9"/>
  <c r="A2" i="9"/>
  <c r="B1" i="8"/>
  <c r="C1" i="8"/>
  <c r="D1" i="8"/>
  <c r="E1" i="8"/>
  <c r="F1" i="8"/>
  <c r="G1" i="8"/>
  <c r="H1" i="8"/>
  <c r="H6" i="8"/>
  <c r="H22" i="8"/>
  <c r="H7" i="8"/>
  <c r="H23" i="8"/>
  <c r="H12" i="8"/>
  <c r="H5" i="8"/>
  <c r="H21" i="8"/>
  <c r="G24" i="8"/>
  <c r="G18" i="8"/>
  <c r="G3" i="8"/>
  <c r="G19" i="8"/>
  <c r="G8" i="8"/>
  <c r="G28" i="8"/>
  <c r="G17" i="8"/>
  <c r="G2" i="8"/>
  <c r="E16" i="8"/>
  <c r="F25" i="8"/>
  <c r="F12" i="8"/>
  <c r="D18" i="8"/>
  <c r="E23" i="8"/>
  <c r="D5" i="8"/>
  <c r="F15" i="8"/>
  <c r="D21" i="8"/>
  <c r="E26" i="8"/>
  <c r="D4" i="8"/>
  <c r="F14" i="8"/>
  <c r="D20" i="8"/>
  <c r="E25" i="8"/>
  <c r="F30" i="8"/>
  <c r="D27" i="8"/>
  <c r="E2" i="8"/>
  <c r="C9" i="8"/>
  <c r="C25" i="8"/>
  <c r="C14" i="8"/>
  <c r="C30" i="8"/>
  <c r="C15" i="8"/>
  <c r="C4" i="8"/>
  <c r="C20" i="8"/>
  <c r="A29" i="8"/>
  <c r="A12" i="8"/>
  <c r="B3" i="8"/>
  <c r="B23" i="8"/>
  <c r="A20" i="8"/>
  <c r="B8" i="8"/>
  <c r="B16" i="8"/>
  <c r="B24" i="8"/>
  <c r="A5" i="8"/>
  <c r="A13" i="8"/>
  <c r="A21" i="8"/>
  <c r="B7" i="8"/>
  <c r="B21" i="8"/>
  <c r="A16" i="8"/>
  <c r="A2" i="8"/>
  <c r="H30" i="8"/>
  <c r="H24" i="8"/>
  <c r="H29" i="8"/>
  <c r="G11" i="8"/>
  <c r="G9" i="8"/>
  <c r="F13" i="8"/>
  <c r="D10" i="8"/>
  <c r="D26" i="8"/>
  <c r="E18" i="8"/>
  <c r="F6" i="8"/>
  <c r="F22" i="8"/>
  <c r="D23" i="8"/>
  <c r="C17" i="8"/>
  <c r="C7" i="8"/>
  <c r="C28" i="8"/>
  <c r="B13" i="8"/>
  <c r="B12" i="8"/>
  <c r="A9" i="8"/>
  <c r="B11" i="8"/>
  <c r="H10" i="8"/>
  <c r="H26" i="8"/>
  <c r="H11" i="8"/>
  <c r="H27" i="8"/>
  <c r="H20" i="8"/>
  <c r="H9" i="8"/>
  <c r="H25" i="8"/>
  <c r="G6" i="8"/>
  <c r="G22" i="8"/>
  <c r="G7" i="8"/>
  <c r="G23" i="8"/>
  <c r="G12" i="8"/>
  <c r="G5" i="8"/>
  <c r="G21" i="8"/>
  <c r="D7" i="8"/>
  <c r="E12" i="8"/>
  <c r="F17" i="8"/>
  <c r="E28" i="8"/>
  <c r="F8" i="8"/>
  <c r="D14" i="8"/>
  <c r="E19" i="8"/>
  <c r="F24" i="8"/>
  <c r="E6" i="8"/>
  <c r="F11" i="8"/>
  <c r="D17" i="8"/>
  <c r="E22" i="8"/>
  <c r="F27" i="8"/>
  <c r="F10" i="8"/>
  <c r="D16" i="8"/>
  <c r="E21" i="8"/>
  <c r="F26" i="8"/>
  <c r="D19" i="8"/>
  <c r="F29" i="8"/>
  <c r="D2" i="8"/>
  <c r="C13" i="8"/>
  <c r="C29" i="8"/>
  <c r="C18" i="8"/>
  <c r="C3" i="8"/>
  <c r="C19" i="8"/>
  <c r="C8" i="8"/>
  <c r="C24" i="8"/>
  <c r="B17" i="8"/>
  <c r="A18" i="8"/>
  <c r="B5" i="8"/>
  <c r="B29" i="8"/>
  <c r="A26" i="8"/>
  <c r="B10" i="8"/>
  <c r="B18" i="8"/>
  <c r="B26" i="8"/>
  <c r="A7" i="8"/>
  <c r="A15" i="8"/>
  <c r="A23" i="8"/>
  <c r="B9" i="8"/>
  <c r="B27" i="8"/>
  <c r="A24" i="8"/>
  <c r="H14" i="8"/>
  <c r="H4" i="8"/>
  <c r="G10" i="8"/>
  <c r="G27" i="8"/>
  <c r="G25" i="8"/>
  <c r="E20" i="8"/>
  <c r="E15" i="8"/>
  <c r="F7" i="8"/>
  <c r="F23" i="8"/>
  <c r="E17" i="8"/>
  <c r="F28" i="8"/>
  <c r="C6" i="8"/>
  <c r="C23" i="8"/>
  <c r="B25" i="8"/>
  <c r="A8" i="8"/>
  <c r="B20" i="8"/>
  <c r="A17" i="8"/>
  <c r="A6" i="8"/>
  <c r="H16" i="8"/>
  <c r="H18" i="8"/>
  <c r="H3" i="8"/>
  <c r="H19" i="8"/>
  <c r="H8" i="8"/>
  <c r="H28" i="8"/>
  <c r="H17" i="8"/>
  <c r="H2" i="8"/>
  <c r="G14" i="8"/>
  <c r="G30" i="8"/>
  <c r="G15" i="8"/>
  <c r="G4" i="8"/>
  <c r="G20" i="8"/>
  <c r="G13" i="8"/>
  <c r="G29" i="8"/>
  <c r="F9" i="8"/>
  <c r="D15" i="8"/>
  <c r="F21" i="8"/>
  <c r="D6" i="8"/>
  <c r="F16" i="8"/>
  <c r="D22" i="8"/>
  <c r="E27" i="8"/>
  <c r="D9" i="8"/>
  <c r="E14" i="8"/>
  <c r="F19" i="8"/>
  <c r="D25" i="8"/>
  <c r="E30" i="8"/>
  <c r="D8" i="8"/>
  <c r="E13" i="8"/>
  <c r="F18" i="8"/>
  <c r="D24" i="8"/>
  <c r="E29" i="8"/>
  <c r="E24" i="8"/>
  <c r="F2" i="8"/>
  <c r="C5" i="8"/>
  <c r="C21" i="8"/>
  <c r="C10" i="8"/>
  <c r="C26" i="8"/>
  <c r="C11" i="8"/>
  <c r="C27" i="8"/>
  <c r="C16" i="8"/>
  <c r="A3" i="8"/>
  <c r="A4" i="8"/>
  <c r="A28" i="8"/>
  <c r="B19" i="8"/>
  <c r="A14" i="8"/>
  <c r="B6" i="8"/>
  <c r="B14" i="8"/>
  <c r="B22" i="8"/>
  <c r="B30" i="8"/>
  <c r="A11" i="8"/>
  <c r="A19" i="8"/>
  <c r="A27" i="8"/>
  <c r="B15" i="8"/>
  <c r="A10" i="8"/>
  <c r="B2" i="8"/>
  <c r="H15" i="8"/>
  <c r="H13" i="8"/>
  <c r="G26" i="8"/>
  <c r="G16" i="8"/>
  <c r="D30" i="8"/>
  <c r="F20" i="8"/>
  <c r="D13" i="8"/>
  <c r="D29" i="8"/>
  <c r="D12" i="8"/>
  <c r="D28" i="8"/>
  <c r="C2" i="8"/>
  <c r="C22" i="8"/>
  <c r="C12" i="8"/>
  <c r="A22" i="8"/>
  <c r="B4" i="8"/>
  <c r="B28" i="8"/>
  <c r="A25" i="8"/>
  <c r="A30" i="8"/>
  <c r="D3" i="8"/>
  <c r="F5" i="8"/>
  <c r="F4" i="8"/>
  <c r="F3" i="8"/>
  <c r="E3" i="8"/>
  <c r="E4" i="9"/>
  <c r="E3" i="9"/>
  <c r="E2" i="9"/>
  <c r="E11" i="8"/>
  <c r="D11" i="8"/>
  <c r="E10" i="8"/>
  <c r="E9" i="8"/>
  <c r="E8" i="8"/>
  <c r="E7" i="8"/>
  <c r="E5" i="8"/>
  <c r="E4" i="8"/>
  <c r="C3" i="10"/>
  <c r="C7" i="10"/>
  <c r="C11" i="10"/>
  <c r="C15" i="10"/>
  <c r="C19" i="10"/>
  <c r="C23" i="10"/>
  <c r="C27" i="10"/>
  <c r="D8" i="10"/>
  <c r="D19" i="10"/>
  <c r="E3" i="10"/>
  <c r="E15" i="10"/>
  <c r="E27" i="10"/>
  <c r="D5" i="10"/>
  <c r="D11" i="10"/>
  <c r="D23" i="10"/>
  <c r="E8" i="10"/>
  <c r="E20" i="10"/>
  <c r="F3" i="10"/>
  <c r="F7" i="10"/>
  <c r="F11" i="10"/>
  <c r="F15" i="10"/>
  <c r="F19" i="10"/>
  <c r="F23" i="10"/>
  <c r="F27" i="10"/>
  <c r="D9" i="10"/>
  <c r="D24" i="10"/>
  <c r="E7" i="10"/>
  <c r="E19" i="10"/>
  <c r="F2" i="10"/>
  <c r="B8" i="10"/>
  <c r="B18" i="10"/>
  <c r="B3" i="10"/>
  <c r="B19" i="10"/>
  <c r="B12" i="10"/>
  <c r="B28" i="10"/>
  <c r="B17" i="10"/>
  <c r="B2" i="10"/>
  <c r="A9" i="10"/>
  <c r="A17" i="10"/>
  <c r="A25" i="10"/>
  <c r="A6" i="10"/>
  <c r="A14" i="10"/>
  <c r="A22" i="10"/>
  <c r="A30" i="10"/>
  <c r="C4" i="10"/>
  <c r="C8" i="10"/>
  <c r="C12" i="10"/>
  <c r="C16" i="10"/>
  <c r="C20" i="10"/>
  <c r="C24" i="10"/>
  <c r="C28" i="10"/>
  <c r="D12" i="10"/>
  <c r="D22" i="10"/>
  <c r="E6" i="10"/>
  <c r="E18" i="10"/>
  <c r="E30" i="10"/>
  <c r="D6" i="10"/>
  <c r="D13" i="10"/>
  <c r="D26" i="10"/>
  <c r="E12" i="10"/>
  <c r="E23" i="10"/>
  <c r="F4" i="10"/>
  <c r="F8" i="10"/>
  <c r="F12" i="10"/>
  <c r="F16" i="10"/>
  <c r="F20" i="10"/>
  <c r="F24" i="10"/>
  <c r="F28" i="10"/>
  <c r="D15" i="10"/>
  <c r="D27" i="10"/>
  <c r="E10" i="10"/>
  <c r="E22" i="10"/>
  <c r="D2" i="10"/>
  <c r="B6" i="10"/>
  <c r="B22" i="10"/>
  <c r="B7" i="10"/>
  <c r="B23" i="10"/>
  <c r="B16" i="10"/>
  <c r="B5" i="10"/>
  <c r="B21" i="10"/>
  <c r="A4" i="10"/>
  <c r="A3" i="10"/>
  <c r="A11" i="10"/>
  <c r="A19" i="10"/>
  <c r="A27" i="10"/>
  <c r="A8" i="10"/>
  <c r="A16" i="10"/>
  <c r="A24" i="10"/>
  <c r="E16" i="10"/>
  <c r="A15" i="10"/>
  <c r="A20" i="10"/>
  <c r="C5" i="10"/>
  <c r="C9" i="10"/>
  <c r="C13" i="10"/>
  <c r="C17" i="10"/>
  <c r="C21" i="10"/>
  <c r="C25" i="10"/>
  <c r="C29" i="10"/>
  <c r="D14" i="10"/>
  <c r="D25" i="10"/>
  <c r="E9" i="10"/>
  <c r="E21" i="10"/>
  <c r="D3" i="10"/>
  <c r="D7" i="10"/>
  <c r="D16" i="10"/>
  <c r="D29" i="10"/>
  <c r="E14" i="10"/>
  <c r="E26" i="10"/>
  <c r="F5" i="10"/>
  <c r="F9" i="10"/>
  <c r="F13" i="10"/>
  <c r="F17" i="10"/>
  <c r="F21" i="10"/>
  <c r="F25" i="10"/>
  <c r="F29" i="10"/>
  <c r="D18" i="10"/>
  <c r="D30" i="10"/>
  <c r="E13" i="10"/>
  <c r="E25" i="10"/>
  <c r="E2" i="10"/>
  <c r="B10" i="10"/>
  <c r="B26" i="10"/>
  <c r="B11" i="10"/>
  <c r="B27" i="10"/>
  <c r="B20" i="10"/>
  <c r="B9" i="10"/>
  <c r="B25" i="10"/>
  <c r="A5" i="10"/>
  <c r="A13" i="10"/>
  <c r="A21" i="10"/>
  <c r="A29" i="10"/>
  <c r="A10" i="10"/>
  <c r="A18" i="10"/>
  <c r="A26" i="10"/>
  <c r="A2" i="10"/>
  <c r="C6" i="10"/>
  <c r="C10" i="10"/>
  <c r="C14" i="10"/>
  <c r="C18" i="10"/>
  <c r="C22" i="10"/>
  <c r="C26" i="10"/>
  <c r="C30" i="10"/>
  <c r="D17" i="10"/>
  <c r="D28" i="10"/>
  <c r="E11" i="10"/>
  <c r="E24" i="10"/>
  <c r="D4" i="10"/>
  <c r="D10" i="10"/>
  <c r="D20" i="10"/>
  <c r="E5" i="10"/>
  <c r="E17" i="10"/>
  <c r="E28" i="10"/>
  <c r="F6" i="10"/>
  <c r="F10" i="10"/>
  <c r="F14" i="10"/>
  <c r="F18" i="10"/>
  <c r="F22" i="10"/>
  <c r="F26" i="10"/>
  <c r="F30" i="10"/>
  <c r="D21" i="10"/>
  <c r="E4" i="10"/>
  <c r="E29" i="10"/>
  <c r="C2" i="10"/>
  <c r="B14" i="10"/>
  <c r="B30" i="10"/>
  <c r="B15" i="10"/>
  <c r="B4" i="10"/>
  <c r="B24" i="10"/>
  <c r="B13" i="10"/>
  <c r="B29" i="10"/>
  <c r="A7" i="10"/>
  <c r="A23" i="10"/>
  <c r="A12" i="10"/>
  <c r="A28" i="10"/>
  <c r="C2" i="7"/>
  <c r="B2" i="7"/>
  <c r="A2" i="7"/>
  <c r="B1" i="10" l="1"/>
  <c r="C1" i="10"/>
  <c r="D1" i="10"/>
  <c r="E1" i="10"/>
  <c r="F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<sst xmlns="http://schemas.openxmlformats.org/spreadsheetml/2006/main" count="174" uniqueCount="122">
  <si>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</si>
  <si>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</si>
  <si>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</si>
  <si>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</si>
  <si>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</si>
  <si>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</si>
  <si>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</si>
  <si>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</si>
  <si>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</si>
  <si>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</si>
  <si>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</si>
  <si>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</si>
  <si>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</si>
  <si>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</si>
  <si>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</si>
  <si>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</si>
  <si>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</si>
  <si>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</si>
  <si>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</si>
  <si>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</si>
  <si>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</si>
  <si>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</si>
  <si>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</si>
  <si>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</si>
  <si>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</si>
  <si>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</si>
  <si>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</si>
  <si>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</si>
  <si>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</si>
  <si>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</si>
  <si>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</si>
  <si>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</si>
  <si>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</si>
  <si>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</si>
  <si>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</si>
  <si>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</si>
  <si>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</si>
  <si>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</si>
  <si>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</si>
  <si>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</si>
  <si>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緊張不安</t>
  </si>
  <si>
    <t>隨機</t>
  </si>
  <si>
    <t>壓力</t>
  </si>
  <si>
    <t>善於安撫</t>
  </si>
  <si>
    <t>拾荒者</t>
  </si>
  <si>
    <t>笨拙的槍手</t>
  </si>
  <si>
    <t>被動</t>
  </si>
  <si>
    <t>老練的槍手</t>
  </si>
  <si>
    <t>天才的槍手</t>
  </si>
  <si>
    <t>Nervous</t>
  </si>
  <si>
    <t>Good appease</t>
  </si>
  <si>
    <t>The scavengers</t>
  </si>
  <si>
    <t>Clumsy shooter</t>
  </si>
  <si>
    <t>Veteran shooter</t>
  </si>
  <si>
    <t>Gifted shooter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</si>
  <si>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</si>
  <si>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</si>
  <si>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</si>
  <si>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</si>
  <si>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</si>
  <si>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</si>
  <si>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</si>
  <si>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回復</t>
  </si>
  <si>
    <t>致命</t>
    <phoneticPr fontId="1" type="noConversion"/>
  </si>
  <si>
    <t>增傷</t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</si>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</sst>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" xfId="0" applyFont="1" applyFill="1" applyBorder="1">
      <alignment vertical="center"/>
    </xf>
    <xf numFmtId="0" fontId="0" fillId="0" borderId="1" xfId="0" applyFont="1" applyBorder="1">
      <alignment vertical="center"/>
    </xf>
  </cellXfs>
  <cellStyles count="1">
    <cellStyle name="一般" xfId="0" builtinId="0"/>
  </cellStyles>
  <dxfs count="3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33" totalsRowShown="0" headerRowDxfId="37">
  <autoFilter ref="A1:C33"/>
  <tableColumns count="3">
    <tableColumn id="1" name="GUID" dataDxfId="36"/>
    <tableColumn id="2" name="enUS" dataDxfId="35"/>
    <tableColumn id="3" name="zhTW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30" totalsRowShown="0" headerRowDxfId="33" headerRowBorderDxfId="32" tableBorderDxfId="31" totalsRowBorderDxfId="30">
  <autoFilter ref="A1:H30"/>
  <tableColumns count="8">
    <tableColumn id="1" name="GUID" dataDxfId="29"/>
    <tableColumn id="2" name="StrID" dataDxfId="28"/>
    <tableColumn id="3" name="Mode" dataDxfId="27"/>
    <tableColumn id="4" name="Damage" dataDxfId="26"/>
    <tableColumn id="8" name="CriticalStrike" dataDxfId="25"/>
    <tableColumn id="5" name="FireRate" dataDxfId="24"/>
    <tableColumn id="6" name="Range" dataDxfId="23"/>
    <tableColumn id="7" name="Resource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31" totalsRowShown="0" headerRowDxfId="21">
  <autoFilter ref="A1:H31"/>
  <tableColumns count="8">
    <tableColumn id="1" name="GUID" dataDxfId="20"/>
    <tableColumn id="2" name="StrID" dataDxfId="19"/>
    <tableColumn id="3" name="Mode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31" totalsRowShown="0" headerRowDxfId="12" dataDxfId="11">
  <autoFilter ref="A1:F31"/>
  <tableColumns count="6">
    <tableColumn id="1" name="GUID" dataDxfId="10"/>
    <tableColumn id="3" name="Mode" dataDxfId="9"/>
    <tableColumn id="4" name="HP" dataDxfId="8"/>
    <tableColumn id="5" name="Move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30" totalsRowShown="0" headerRowDxfId="4">
  <autoFilter ref="A1:D3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79</v>
      </c>
      <c r="B1" s="3" t="s">
        <v>80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7"/>
  <sheetViews>
    <sheetView workbookViewId="0">
      <pane ySplit="1" topLeftCell="A2" activePane="bottomLeft" state="frozen"/>
      <selection pane="bottomLeft" activeCell="A18" sqref="A18:XFD20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102</v>
      </c>
      <c r="C3" s="3" t="s">
        <v>28</v>
      </c>
    </row>
    <row r="4" spans="1:3" x14ac:dyDescent="0.25">
      <c r="A4" s="3">
        <v>1003</v>
      </c>
      <c r="B4" s="3" t="s">
        <v>103</v>
      </c>
      <c r="C4" s="3" t="s">
        <v>104</v>
      </c>
    </row>
    <row r="5" spans="1:3" x14ac:dyDescent="0.25">
      <c r="A5" s="3">
        <v>1004</v>
      </c>
      <c r="B5" s="3" t="s">
        <v>105</v>
      </c>
      <c r="C5" s="3" t="s">
        <v>106</v>
      </c>
    </row>
    <row r="6" spans="1:3" x14ac:dyDescent="0.25">
      <c r="A6" s="3">
        <v>1005</v>
      </c>
      <c r="B6" s="3" t="s">
        <v>107</v>
      </c>
      <c r="C6" s="18" t="s">
        <v>29</v>
      </c>
    </row>
    <row r="7" spans="1:3" x14ac:dyDescent="0.25">
      <c r="A7" s="3">
        <v>1006</v>
      </c>
      <c r="B7" s="3" t="s">
        <v>108</v>
      </c>
      <c r="C7" s="18" t="s">
        <v>109</v>
      </c>
    </row>
    <row r="8" spans="1:3" x14ac:dyDescent="0.25">
      <c r="A8" s="3">
        <v>1007</v>
      </c>
      <c r="B8" s="3" t="s">
        <v>110</v>
      </c>
      <c r="C8" s="18" t="s">
        <v>111</v>
      </c>
    </row>
    <row r="9" spans="1:3" x14ac:dyDescent="0.25">
      <c r="A9" s="3">
        <v>1008</v>
      </c>
      <c r="B9" s="3" t="s">
        <v>112</v>
      </c>
      <c r="C9" s="18" t="s">
        <v>113</v>
      </c>
    </row>
    <row r="10" spans="1:3" x14ac:dyDescent="0.25">
      <c r="A10" s="3">
        <v>1009</v>
      </c>
      <c r="B10" s="3" t="s">
        <v>117</v>
      </c>
      <c r="C10" s="18" t="s">
        <v>114</v>
      </c>
    </row>
    <row r="11" spans="1:3" x14ac:dyDescent="0.25">
      <c r="A11" s="3">
        <v>1010</v>
      </c>
      <c r="B11" s="3" t="s">
        <v>115</v>
      </c>
      <c r="C11" s="18" t="s">
        <v>116</v>
      </c>
    </row>
    <row r="12" spans="1:3" x14ac:dyDescent="0.25">
      <c r="A12" s="3">
        <v>2001</v>
      </c>
      <c r="B12" s="3" t="s">
        <v>49</v>
      </c>
      <c r="C12" s="3" t="s">
        <v>40</v>
      </c>
    </row>
    <row r="13" spans="1:3" x14ac:dyDescent="0.25">
      <c r="A13" s="3">
        <v>2002</v>
      </c>
      <c r="B13" s="3" t="s">
        <v>50</v>
      </c>
      <c r="C13" s="3" t="s">
        <v>43</v>
      </c>
    </row>
    <row r="14" spans="1:3" x14ac:dyDescent="0.25">
      <c r="A14" s="3">
        <v>2003</v>
      </c>
      <c r="B14" s="3" t="s">
        <v>51</v>
      </c>
      <c r="C14" s="3" t="s">
        <v>44</v>
      </c>
    </row>
    <row r="15" spans="1:3" x14ac:dyDescent="0.25">
      <c r="A15" s="3">
        <v>2004</v>
      </c>
      <c r="B15" s="3" t="s">
        <v>52</v>
      </c>
      <c r="C15" s="3" t="s">
        <v>45</v>
      </c>
    </row>
    <row r="16" spans="1:3" x14ac:dyDescent="0.25">
      <c r="A16" s="3">
        <v>2005</v>
      </c>
      <c r="B16" s="3" t="s">
        <v>53</v>
      </c>
      <c r="C16" s="3" t="s">
        <v>47</v>
      </c>
    </row>
    <row r="17" spans="1:3" x14ac:dyDescent="0.25">
      <c r="A17" s="3">
        <v>2006</v>
      </c>
      <c r="B17" s="3" t="s">
        <v>54</v>
      </c>
      <c r="C17" s="3" t="s">
        <v>48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0"/>
  <sheetViews>
    <sheetView workbookViewId="0">
      <pane ySplit="1" topLeftCell="A2" activePane="bottomLeft" state="frozen"/>
      <selection pane="bottomLeft" activeCell="M3" sqref="M3:M30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1" width="9" style="17" customWidth="1"/>
    <col min="12" max="12" width="9" style="17"/>
    <col min="13" max="13" width="9" style="3"/>
    <col min="14" max="14" width="9" style="17"/>
    <col min="15" max="16384" width="9" style="3"/>
  </cols>
  <sheetData>
    <row r="1" spans="1:14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81</v>
      </c>
      <c r="F1" s="2" t="s">
        <v>6</v>
      </c>
      <c r="G1" s="2" t="s">
        <v>7</v>
      </c>
      <c r="H1" s="2" t="s">
        <v>8</v>
      </c>
      <c r="J1" s="2" t="s">
        <v>9</v>
      </c>
      <c r="K1" s="16" t="s">
        <v>119</v>
      </c>
      <c r="L1" s="16" t="s">
        <v>99</v>
      </c>
      <c r="M1" s="15" t="s">
        <v>101</v>
      </c>
      <c r="N1" s="16" t="s">
        <v>100</v>
      </c>
    </row>
    <row r="2" spans="1:14" x14ac:dyDescent="0.25">
      <c r="A2" s="3">
        <v>1</v>
      </c>
      <c r="B2" s="3">
        <v>1001</v>
      </c>
      <c r="C2" s="3" t="s">
        <v>30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  <c r="K2" s="17">
        <f>IF(裝備!F2&gt;0,1/裝備!F2,0)</f>
        <v>0</v>
      </c>
      <c r="L2" s="17">
        <f>IF(裝備!F2&gt;0,(裝備!D2 + 裝備!D2 * 裝備!E2) / 裝備!F2,0)</f>
        <v>0</v>
      </c>
      <c r="M2" s="3">
        <v>0</v>
      </c>
      <c r="N2" s="17">
        <f>IF(裝備!L2&gt;0,裝備!M2/裝備!L2,0)</f>
        <v>0</v>
      </c>
    </row>
    <row r="3" spans="1:14" x14ac:dyDescent="0.25">
      <c r="A3" s="3">
        <v>2</v>
      </c>
      <c r="B3" s="3">
        <v>1002</v>
      </c>
      <c r="C3" s="3" t="s">
        <v>31</v>
      </c>
      <c r="D3" s="3">
        <v>1</v>
      </c>
      <c r="E3" s="3">
        <v>0</v>
      </c>
      <c r="F3" s="3">
        <v>1</v>
      </c>
      <c r="G3" s="3" t="s">
        <v>13</v>
      </c>
      <c r="H3" s="3" t="s">
        <v>18</v>
      </c>
      <c r="J3" s="3" t="s">
        <v>28</v>
      </c>
      <c r="K3" s="17">
        <f>IF(裝備!F3&gt;0,1/裝備!F3,0)</f>
        <v>1</v>
      </c>
      <c r="L3" s="17">
        <f>IF(裝備!F3&gt;0,(裝備!D3 + 裝備!D3 * 裝備!E3) / 裝備!F3,0)</f>
        <v>1</v>
      </c>
      <c r="M3" s="3">
        <v>6</v>
      </c>
      <c r="N3" s="17">
        <f>IF(裝備!L3&gt;0,裝備!M3/裝備!L3,0)</f>
        <v>6</v>
      </c>
    </row>
    <row r="4" spans="1:14" x14ac:dyDescent="0.25">
      <c r="A4" s="3">
        <v>3</v>
      </c>
      <c r="B4" s="3">
        <v>1003</v>
      </c>
      <c r="C4" s="3" t="s">
        <v>118</v>
      </c>
      <c r="D4" s="3">
        <v>2</v>
      </c>
      <c r="E4" s="3">
        <v>0.5</v>
      </c>
      <c r="F4" s="3">
        <v>2</v>
      </c>
      <c r="G4" s="3" t="s">
        <v>13</v>
      </c>
      <c r="H4" s="3" t="s">
        <v>18</v>
      </c>
      <c r="J4" s="3" t="s">
        <v>104</v>
      </c>
      <c r="K4" s="17">
        <f>IF(裝備!F4&gt;0,1/裝備!F4,0)</f>
        <v>0.5</v>
      </c>
      <c r="L4" s="17">
        <f>IF(裝備!F4&gt;0,(裝備!D4 + 裝備!D4 * 裝備!E4) / 裝備!F4,0)</f>
        <v>1.5</v>
      </c>
      <c r="M4" s="3">
        <v>6</v>
      </c>
      <c r="N4" s="17">
        <f>IF(裝備!L4&gt;0,裝備!M4/裝備!L4,0)</f>
        <v>4</v>
      </c>
    </row>
    <row r="5" spans="1:14" x14ac:dyDescent="0.25">
      <c r="A5" s="3">
        <v>4</v>
      </c>
      <c r="B5" s="3">
        <v>1004</v>
      </c>
      <c r="C5" s="3" t="s">
        <v>31</v>
      </c>
      <c r="D5" s="3">
        <v>1</v>
      </c>
      <c r="E5" s="3">
        <v>0.1</v>
      </c>
      <c r="F5" s="3">
        <v>0.5</v>
      </c>
      <c r="G5" s="3" t="s">
        <v>13</v>
      </c>
      <c r="H5" s="6" t="s">
        <v>24</v>
      </c>
      <c r="J5" s="3" t="s">
        <v>106</v>
      </c>
      <c r="K5" s="17">
        <f>IF(裝備!F5&gt;0,1/裝備!F5,0)</f>
        <v>2</v>
      </c>
      <c r="L5" s="17">
        <f>IF(裝備!F5&gt;0,(裝備!D5 + 裝備!D5 * 裝備!E5) / 裝備!F5,0)</f>
        <v>2.2000000000000002</v>
      </c>
      <c r="M5" s="3">
        <v>6</v>
      </c>
      <c r="N5" s="17">
        <f>IF(裝備!L5&gt;0,裝備!M5/裝備!L5,0)</f>
        <v>2.7272727272727271</v>
      </c>
    </row>
    <row r="6" spans="1:14" x14ac:dyDescent="0.25">
      <c r="A6" s="3">
        <v>5</v>
      </c>
      <c r="B6" s="3">
        <v>1005</v>
      </c>
      <c r="C6" s="3" t="s">
        <v>31</v>
      </c>
      <c r="D6" s="3">
        <v>3</v>
      </c>
      <c r="E6" s="3">
        <v>0</v>
      </c>
      <c r="F6" s="3">
        <v>1</v>
      </c>
      <c r="G6" s="3" t="s">
        <v>15</v>
      </c>
      <c r="H6" s="3" t="s">
        <v>20</v>
      </c>
      <c r="J6" s="3" t="s">
        <v>29</v>
      </c>
      <c r="K6" s="17">
        <f>IF(裝備!F6&gt;0,1/裝備!F6,0)</f>
        <v>1</v>
      </c>
      <c r="L6" s="17">
        <f>IF(裝備!F6&gt;0,(裝備!D6 + 裝備!D6 * 裝備!E6) / 裝備!F6,0)</f>
        <v>3</v>
      </c>
      <c r="M6" s="3">
        <v>6</v>
      </c>
      <c r="N6" s="17">
        <f>IF(裝備!L6&gt;0,裝備!M6/裝備!L6,0)</f>
        <v>2</v>
      </c>
    </row>
    <row r="7" spans="1:14" x14ac:dyDescent="0.25">
      <c r="A7" s="3">
        <v>6</v>
      </c>
      <c r="B7" s="3">
        <v>1006</v>
      </c>
      <c r="C7" s="3" t="s">
        <v>31</v>
      </c>
      <c r="D7" s="3">
        <v>3</v>
      </c>
      <c r="E7" s="3">
        <v>0.2</v>
      </c>
      <c r="F7" s="3">
        <v>1</v>
      </c>
      <c r="G7" s="3" t="s">
        <v>15</v>
      </c>
      <c r="H7" s="3" t="s">
        <v>20</v>
      </c>
      <c r="J7" s="3" t="s">
        <v>109</v>
      </c>
      <c r="K7" s="17">
        <f>IF(裝備!F7&gt;0,1/裝備!F7,0)</f>
        <v>1</v>
      </c>
      <c r="L7" s="17">
        <f>IF(裝備!F7&gt;0,(裝備!D7 + 裝備!D7 * 裝備!E7) / 裝備!F7,0)</f>
        <v>3.6</v>
      </c>
      <c r="M7" s="3">
        <v>6</v>
      </c>
      <c r="N7" s="17">
        <f>IF(裝備!L7&gt;0,裝備!M7/裝備!L7,0)</f>
        <v>1.6666666666666665</v>
      </c>
    </row>
    <row r="8" spans="1:14" x14ac:dyDescent="0.25">
      <c r="A8" s="3">
        <v>7</v>
      </c>
      <c r="B8" s="3">
        <v>1007</v>
      </c>
      <c r="C8" s="3" t="s">
        <v>31</v>
      </c>
      <c r="D8" s="3">
        <v>6</v>
      </c>
      <c r="E8" s="3">
        <v>0.8</v>
      </c>
      <c r="F8" s="3">
        <v>2.5</v>
      </c>
      <c r="G8" s="3" t="s">
        <v>15</v>
      </c>
      <c r="H8" s="3" t="s">
        <v>20</v>
      </c>
      <c r="J8" s="3" t="s">
        <v>111</v>
      </c>
      <c r="K8" s="17">
        <f>IF(裝備!F8&gt;0,1/裝備!F8,0)</f>
        <v>0.4</v>
      </c>
      <c r="L8" s="17">
        <f>IF(裝備!F8&gt;0,(裝備!D8 + 裝備!D8 * 裝備!E8) / 裝備!F8,0)</f>
        <v>4.32</v>
      </c>
      <c r="M8" s="3">
        <v>6</v>
      </c>
      <c r="N8" s="17">
        <f>IF(裝備!L8&gt;0,裝備!M8/裝備!L8,0)</f>
        <v>1.3888888888888888</v>
      </c>
    </row>
    <row r="9" spans="1:14" x14ac:dyDescent="0.25">
      <c r="A9" s="3">
        <v>8</v>
      </c>
      <c r="B9" s="3">
        <v>1008</v>
      </c>
      <c r="C9" s="3" t="s">
        <v>31</v>
      </c>
      <c r="D9" s="3">
        <v>2</v>
      </c>
      <c r="E9" s="3">
        <v>0.25</v>
      </c>
      <c r="F9" s="3">
        <v>0.5</v>
      </c>
      <c r="G9" s="3" t="s">
        <v>15</v>
      </c>
      <c r="H9" s="3" t="s">
        <v>22</v>
      </c>
      <c r="J9" s="3" t="s">
        <v>113</v>
      </c>
      <c r="K9" s="17">
        <f>IF(裝備!F9&gt;0,1/裝備!F9,0)</f>
        <v>2</v>
      </c>
      <c r="L9" s="17">
        <f>IF(裝備!F9&gt;0,(裝備!D9 + 裝備!D9 * 裝備!E9) / 裝備!F9,0)</f>
        <v>5</v>
      </c>
      <c r="M9" s="3">
        <v>6</v>
      </c>
      <c r="N9" s="17">
        <f>IF(裝備!L9&gt;0,裝備!M9/裝備!L9,0)</f>
        <v>1.2</v>
      </c>
    </row>
    <row r="10" spans="1:14" x14ac:dyDescent="0.25">
      <c r="A10" s="3">
        <v>9</v>
      </c>
      <c r="B10" s="3">
        <v>1009</v>
      </c>
      <c r="C10" s="3" t="s">
        <v>31</v>
      </c>
      <c r="D10" s="3">
        <v>4</v>
      </c>
      <c r="E10" s="3">
        <v>0.5</v>
      </c>
      <c r="F10" s="3">
        <v>1</v>
      </c>
      <c r="G10" s="3" t="s">
        <v>15</v>
      </c>
      <c r="H10" s="3" t="s">
        <v>22</v>
      </c>
      <c r="J10" s="3" t="s">
        <v>114</v>
      </c>
      <c r="K10" s="17">
        <f>IF(裝備!F10&gt;0,1/裝備!F10,0)</f>
        <v>1</v>
      </c>
      <c r="L10" s="17">
        <f>IF(裝備!F10&gt;0,(裝備!D10 + 裝備!D10 * 裝備!E10) / 裝備!F10,0)</f>
        <v>6</v>
      </c>
      <c r="M10" s="3">
        <v>6</v>
      </c>
      <c r="N10" s="17">
        <f>IF(裝備!L10&gt;0,裝備!M10/裝備!L10,0)</f>
        <v>1</v>
      </c>
    </row>
    <row r="11" spans="1:14" x14ac:dyDescent="0.25">
      <c r="A11" s="3">
        <v>10</v>
      </c>
      <c r="B11" s="3">
        <v>1010</v>
      </c>
      <c r="C11" s="3" t="s">
        <v>31</v>
      </c>
      <c r="D11" s="3">
        <v>2</v>
      </c>
      <c r="E11" s="3">
        <v>0</v>
      </c>
      <c r="F11" s="3">
        <v>0.25</v>
      </c>
      <c r="G11" s="3" t="s">
        <v>15</v>
      </c>
      <c r="H11" s="3" t="s">
        <v>22</v>
      </c>
      <c r="J11" s="3" t="s">
        <v>116</v>
      </c>
      <c r="K11" s="17">
        <f>IF(裝備!F11&gt;0,1/裝備!F11,0)</f>
        <v>4</v>
      </c>
      <c r="L11" s="17">
        <f>IF(裝備!F11&gt;0,(裝備!D11 + 裝備!D11 * 裝備!E11) / 裝備!F11,0)</f>
        <v>8</v>
      </c>
      <c r="M11" s="3">
        <v>6</v>
      </c>
      <c r="N11" s="17">
        <f>IF(裝備!L11&gt;0,裝備!M11/裝備!L11,0)</f>
        <v>0.75</v>
      </c>
    </row>
    <row r="12" spans="1:14" x14ac:dyDescent="0.25">
      <c r="K12" s="17">
        <f>IF(裝備!F12&gt;0,1/裝備!F12,0)</f>
        <v>0</v>
      </c>
      <c r="L12" s="17">
        <f>IF(裝備!F12&gt;0,(裝備!D12 + 裝備!D12 * 裝備!E12) / 裝備!F12,0)</f>
        <v>0</v>
      </c>
      <c r="M12" s="3">
        <v>6</v>
      </c>
      <c r="N12" s="17">
        <f>IF(裝備!L12&gt;0,裝備!M12/裝備!L12,0)</f>
        <v>0</v>
      </c>
    </row>
    <row r="13" spans="1:14" x14ac:dyDescent="0.25">
      <c r="K13" s="17">
        <f>IF(裝備!F13&gt;0,1/裝備!F13,0)</f>
        <v>0</v>
      </c>
      <c r="L13" s="17">
        <f>IF(裝備!F13&gt;0,(裝備!D13 + 裝備!D13 * 裝備!E13) / 裝備!F13,0)</f>
        <v>0</v>
      </c>
      <c r="M13" s="3">
        <v>6</v>
      </c>
      <c r="N13" s="17">
        <f>IF(裝備!L13&gt;0,裝備!M13/裝備!L13,0)</f>
        <v>0</v>
      </c>
    </row>
    <row r="14" spans="1:14" x14ac:dyDescent="0.25">
      <c r="K14" s="17">
        <f>IF(裝備!F14&gt;0,1/裝備!F14,0)</f>
        <v>0</v>
      </c>
      <c r="L14" s="17">
        <f>IF(裝備!F14&gt;0,(裝備!D14 + 裝備!D14 * 裝備!E14) / 裝備!F14,0)</f>
        <v>0</v>
      </c>
      <c r="M14" s="3">
        <v>6</v>
      </c>
      <c r="N14" s="17">
        <f>IF(裝備!L14&gt;0,裝備!M14/裝備!L14,0)</f>
        <v>0</v>
      </c>
    </row>
    <row r="15" spans="1:14" x14ac:dyDescent="0.25">
      <c r="K15" s="17">
        <f>IF(裝備!F15&gt;0,1/裝備!F15,0)</f>
        <v>0</v>
      </c>
      <c r="L15" s="17">
        <f>IF(裝備!F15&gt;0,(裝備!D15 + 裝備!D15 * 裝備!E15) / 裝備!F15,0)</f>
        <v>0</v>
      </c>
      <c r="M15" s="3">
        <v>6</v>
      </c>
      <c r="N15" s="17">
        <f>IF(裝備!L15&gt;0,裝備!M15/裝備!L15,0)</f>
        <v>0</v>
      </c>
    </row>
    <row r="16" spans="1:14" x14ac:dyDescent="0.25">
      <c r="K16" s="17">
        <f>IF(裝備!F16&gt;0,1/裝備!F16,0)</f>
        <v>0</v>
      </c>
      <c r="L16" s="17">
        <f>IF(裝備!F16&gt;0,(裝備!D16 + 裝備!D16 * 裝備!E16) / 裝備!F16,0)</f>
        <v>0</v>
      </c>
      <c r="M16" s="3">
        <v>6</v>
      </c>
      <c r="N16" s="17">
        <f>IF(裝備!L16&gt;0,裝備!M16/裝備!L16,0)</f>
        <v>0</v>
      </c>
    </row>
    <row r="17" spans="11:14" x14ac:dyDescent="0.25">
      <c r="K17" s="17">
        <f>IF(裝備!F17&gt;0,1/裝備!F17,0)</f>
        <v>0</v>
      </c>
      <c r="L17" s="17">
        <f>IF(裝備!F17&gt;0,(裝備!D17 + 裝備!D17 * 裝備!E17) / 裝備!F17,0)</f>
        <v>0</v>
      </c>
      <c r="M17" s="3">
        <v>6</v>
      </c>
      <c r="N17" s="17">
        <f>IF(裝備!L17&gt;0,裝備!M17/裝備!L17,0)</f>
        <v>0</v>
      </c>
    </row>
    <row r="18" spans="11:14" x14ac:dyDescent="0.25">
      <c r="K18" s="17">
        <f>IF(裝備!F18&gt;0,1/裝備!F18,0)</f>
        <v>0</v>
      </c>
      <c r="L18" s="17">
        <f>IF(裝備!F18&gt;0,(裝備!D18 + 裝備!D18 * 裝備!E18) / 裝備!F18,0)</f>
        <v>0</v>
      </c>
      <c r="M18" s="3">
        <v>6</v>
      </c>
      <c r="N18" s="17">
        <f>IF(裝備!L18&gt;0,裝備!M18/裝備!L18,0)</f>
        <v>0</v>
      </c>
    </row>
    <row r="19" spans="11:14" x14ac:dyDescent="0.25">
      <c r="K19" s="17">
        <f>IF(裝備!F19&gt;0,1/裝備!F19,0)</f>
        <v>0</v>
      </c>
      <c r="L19" s="17">
        <f>IF(裝備!F19&gt;0,(裝備!D19 + 裝備!D19 * 裝備!E19) / 裝備!F19,0)</f>
        <v>0</v>
      </c>
      <c r="M19" s="3">
        <v>6</v>
      </c>
      <c r="N19" s="17">
        <f>IF(裝備!L19&gt;0,裝備!M19/裝備!L19,0)</f>
        <v>0</v>
      </c>
    </row>
    <row r="20" spans="11:14" x14ac:dyDescent="0.25">
      <c r="K20" s="17">
        <f>IF(裝備!F20&gt;0,1/裝備!F20,0)</f>
        <v>0</v>
      </c>
      <c r="L20" s="17">
        <f>IF(裝備!F20&gt;0,(裝備!D20 + 裝備!D20 * 裝備!E20) / 裝備!F20,0)</f>
        <v>0</v>
      </c>
      <c r="M20" s="3">
        <v>6</v>
      </c>
      <c r="N20" s="17">
        <f>IF(裝備!L20&gt;0,裝備!M20/裝備!L20,0)</f>
        <v>0</v>
      </c>
    </row>
    <row r="21" spans="11:14" x14ac:dyDescent="0.25">
      <c r="K21" s="17">
        <f>IF(裝備!F21&gt;0,1/裝備!F21,0)</f>
        <v>0</v>
      </c>
      <c r="L21" s="17">
        <f>IF(裝備!F21&gt;0,(裝備!D21 + 裝備!D21 * 裝備!E21) / 裝備!F21,0)</f>
        <v>0</v>
      </c>
      <c r="M21" s="3">
        <v>6</v>
      </c>
      <c r="N21" s="17">
        <f>IF(裝備!L21&gt;0,裝備!M21/裝備!L21,0)</f>
        <v>0</v>
      </c>
    </row>
    <row r="22" spans="11:14" x14ac:dyDescent="0.25">
      <c r="K22" s="17">
        <f>IF(裝備!F22&gt;0,1/裝備!F22,0)</f>
        <v>0</v>
      </c>
      <c r="L22" s="17">
        <f>IF(裝備!F22&gt;0,(裝備!D22 + 裝備!D22 * 裝備!E22) / 裝備!F22,0)</f>
        <v>0</v>
      </c>
      <c r="M22" s="3">
        <v>6</v>
      </c>
      <c r="N22" s="17">
        <f>IF(裝備!L22&gt;0,裝備!M22/裝備!L22,0)</f>
        <v>0</v>
      </c>
    </row>
    <row r="23" spans="11:14" x14ac:dyDescent="0.25">
      <c r="K23" s="17">
        <f>IF(裝備!F23&gt;0,1/裝備!F23,0)</f>
        <v>0</v>
      </c>
      <c r="L23" s="17">
        <f>IF(裝備!F23&gt;0,(裝備!D23 + 裝備!D23 * 裝備!E23) / 裝備!F23,0)</f>
        <v>0</v>
      </c>
      <c r="M23" s="3">
        <v>6</v>
      </c>
      <c r="N23" s="17">
        <f>IF(裝備!L23&gt;0,裝備!M23/裝備!L23,0)</f>
        <v>0</v>
      </c>
    </row>
    <row r="24" spans="11:14" x14ac:dyDescent="0.25">
      <c r="K24" s="17">
        <f>IF(裝備!F24&gt;0,1/裝備!F24,0)</f>
        <v>0</v>
      </c>
      <c r="L24" s="17">
        <f>IF(裝備!F24&gt;0,(裝備!D24 + 裝備!D24 * 裝備!E24) / 裝備!F24,0)</f>
        <v>0</v>
      </c>
      <c r="M24" s="3">
        <v>6</v>
      </c>
      <c r="N24" s="17">
        <f>IF(裝備!L24&gt;0,裝備!M24/裝備!L24,0)</f>
        <v>0</v>
      </c>
    </row>
    <row r="25" spans="11:14" x14ac:dyDescent="0.25">
      <c r="K25" s="17">
        <f>IF(裝備!F25&gt;0,1/裝備!F25,0)</f>
        <v>0</v>
      </c>
      <c r="L25" s="17">
        <f>IF(裝備!F25&gt;0,(裝備!D25 + 裝備!D25 * 裝備!E25) / 裝備!F25,0)</f>
        <v>0</v>
      </c>
      <c r="M25" s="3">
        <v>6</v>
      </c>
      <c r="N25" s="17">
        <f>IF(裝備!L25&gt;0,裝備!M25/裝備!L25,0)</f>
        <v>0</v>
      </c>
    </row>
    <row r="26" spans="11:14" x14ac:dyDescent="0.25">
      <c r="K26" s="17">
        <f>IF(裝備!F26&gt;0,1/裝備!F26,0)</f>
        <v>0</v>
      </c>
      <c r="L26" s="17">
        <f>IF(裝備!F26&gt;0,(裝備!D26 + 裝備!D26 * 裝備!E26) / 裝備!F26,0)</f>
        <v>0</v>
      </c>
      <c r="M26" s="3">
        <v>6</v>
      </c>
      <c r="N26" s="17">
        <f>IF(裝備!L26&gt;0,裝備!M26/裝備!L26,0)</f>
        <v>0</v>
      </c>
    </row>
    <row r="27" spans="11:14" x14ac:dyDescent="0.25">
      <c r="K27" s="17">
        <f>IF(裝備!F27&gt;0,1/裝備!F27,0)</f>
        <v>0</v>
      </c>
      <c r="L27" s="17">
        <f>IF(裝備!F27&gt;0,(裝備!D27 + 裝備!D27 * 裝備!E27) / 裝備!F27,0)</f>
        <v>0</v>
      </c>
      <c r="M27" s="3">
        <v>6</v>
      </c>
      <c r="N27" s="17">
        <f>IF(裝備!L27&gt;0,裝備!M27/裝備!L27,0)</f>
        <v>0</v>
      </c>
    </row>
    <row r="28" spans="11:14" x14ac:dyDescent="0.25">
      <c r="K28" s="17">
        <f>IF(裝備!F28&gt;0,1/裝備!F28,0)</f>
        <v>0</v>
      </c>
      <c r="L28" s="17">
        <f>IF(裝備!F28&gt;0,(裝備!D28 + 裝備!D28 * 裝備!E28) / 裝備!F28,0)</f>
        <v>0</v>
      </c>
      <c r="M28" s="3">
        <v>6</v>
      </c>
      <c r="N28" s="17">
        <f>IF(裝備!L28&gt;0,裝備!M28/裝備!L28,0)</f>
        <v>0</v>
      </c>
    </row>
    <row r="29" spans="11:14" x14ac:dyDescent="0.25">
      <c r="K29" s="17">
        <f>IF(裝備!F29&gt;0,1/裝備!F29,0)</f>
        <v>0</v>
      </c>
      <c r="L29" s="17">
        <f>IF(裝備!F29&gt;0,(裝備!D29 + 裝備!D29 * 裝備!E29) / 裝備!F29,0)</f>
        <v>0</v>
      </c>
      <c r="M29" s="3">
        <v>6</v>
      </c>
      <c r="N29" s="17">
        <f>IF(裝備!L29&gt;0,裝備!M29/裝備!L29,0)</f>
        <v>0</v>
      </c>
    </row>
    <row r="30" spans="11:14" x14ac:dyDescent="0.25">
      <c r="K30" s="17">
        <f>IF(裝備!F30&gt;0,1/裝備!F30,0)</f>
        <v>0</v>
      </c>
      <c r="L30" s="17">
        <f>IF(裝備!F30&gt;0,(裝備!D30 + 裝備!D30 * 裝備!E30) / 裝備!F30,0)</f>
        <v>0</v>
      </c>
      <c r="M30" s="3">
        <v>6</v>
      </c>
      <c r="N30" s="17">
        <f>IF(裝備!L30&gt;0,裝備!M30/裝備!L30,0)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7"/>
  <sheetViews>
    <sheetView workbookViewId="0">
      <pane ySplit="1" topLeftCell="A2" activePane="bottomLeft" state="frozen"/>
      <selection pane="bottomLeft" activeCell="E5" sqref="E5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6384" width="9" style="3"/>
  </cols>
  <sheetData>
    <row r="1" spans="1:10" s="2" customFormat="1" x14ac:dyDescent="0.25">
      <c r="A1" s="2" t="s">
        <v>32</v>
      </c>
      <c r="B1" s="2" t="s">
        <v>33</v>
      </c>
      <c r="C1" s="2" t="s">
        <v>34</v>
      </c>
      <c r="D1" s="2" t="s">
        <v>66</v>
      </c>
      <c r="E1" s="2" t="s">
        <v>38</v>
      </c>
      <c r="F1" s="2" t="s">
        <v>35</v>
      </c>
      <c r="G1" s="2" t="s">
        <v>39</v>
      </c>
      <c r="H1" s="2" t="s">
        <v>36</v>
      </c>
      <c r="J1" s="2" t="s">
        <v>37</v>
      </c>
    </row>
    <row r="2" spans="1:10" x14ac:dyDescent="0.25">
      <c r="A2" s="3">
        <v>1</v>
      </c>
      <c r="B2" s="3">
        <v>2001</v>
      </c>
      <c r="C2" s="3" t="s">
        <v>41</v>
      </c>
      <c r="D2" s="3">
        <v>0</v>
      </c>
      <c r="E2" s="3">
        <v>0.3</v>
      </c>
      <c r="F2" s="3">
        <v>5</v>
      </c>
      <c r="G2" s="3" t="s">
        <v>42</v>
      </c>
      <c r="H2" s="3">
        <v>1</v>
      </c>
    </row>
    <row r="3" spans="1:10" x14ac:dyDescent="0.25">
      <c r="A3" s="3">
        <v>2</v>
      </c>
      <c r="B3" s="3">
        <v>2002</v>
      </c>
      <c r="C3" s="3" t="s">
        <v>41</v>
      </c>
      <c r="D3" s="3">
        <v>0</v>
      </c>
      <c r="E3" s="3">
        <v>0.1</v>
      </c>
      <c r="F3" s="3">
        <v>20</v>
      </c>
      <c r="G3" s="3" t="s">
        <v>42</v>
      </c>
      <c r="H3" s="3">
        <v>-10</v>
      </c>
    </row>
    <row r="4" spans="1:10" x14ac:dyDescent="0.25">
      <c r="A4" s="3">
        <v>3</v>
      </c>
      <c r="B4" s="3">
        <v>2003</v>
      </c>
      <c r="C4" s="3" t="s">
        <v>41</v>
      </c>
      <c r="D4" s="3">
        <v>0</v>
      </c>
      <c r="E4" s="3">
        <v>0.05</v>
      </c>
      <c r="F4" s="3">
        <v>30</v>
      </c>
      <c r="G4" s="3" t="s">
        <v>24</v>
      </c>
      <c r="H4" s="3">
        <v>5</v>
      </c>
    </row>
    <row r="5" spans="1:10" x14ac:dyDescent="0.25">
      <c r="A5" s="3">
        <v>4</v>
      </c>
      <c r="B5" s="3">
        <v>2004</v>
      </c>
      <c r="C5" s="3" t="s">
        <v>46</v>
      </c>
      <c r="D5" s="3">
        <v>1</v>
      </c>
      <c r="E5" s="3">
        <v>0</v>
      </c>
      <c r="F5" s="3">
        <v>0</v>
      </c>
      <c r="G5" s="3" t="s">
        <v>64</v>
      </c>
      <c r="H5" s="3">
        <v>-1</v>
      </c>
    </row>
    <row r="6" spans="1:10" x14ac:dyDescent="0.25">
      <c r="A6" s="3">
        <v>5</v>
      </c>
      <c r="B6" s="3">
        <v>2005</v>
      </c>
      <c r="C6" s="3" t="s">
        <v>46</v>
      </c>
      <c r="D6" s="3">
        <v>1</v>
      </c>
      <c r="E6" s="3">
        <v>0</v>
      </c>
      <c r="F6" s="3">
        <v>0</v>
      </c>
      <c r="G6" s="3" t="s">
        <v>64</v>
      </c>
      <c r="H6" s="3">
        <v>1</v>
      </c>
    </row>
    <row r="7" spans="1:10" x14ac:dyDescent="0.25">
      <c r="A7" s="3">
        <v>6</v>
      </c>
      <c r="B7" s="3">
        <v>2006</v>
      </c>
      <c r="C7" s="3" t="s">
        <v>46</v>
      </c>
      <c r="D7" s="3">
        <v>1</v>
      </c>
      <c r="E7" s="3">
        <v>0</v>
      </c>
      <c r="F7" s="3">
        <v>0</v>
      </c>
      <c r="G7" s="3" t="s">
        <v>64</v>
      </c>
      <c r="H7" s="3">
        <v>2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 C1</xm:sqref>
        </x14:dataValidation>
        <x14:dataValidation type="list" allowBlank="1" showInputMessage="1" showErrorMessage="1">
          <x14:formula1>
            <xm:f>選項清單!$I$2:$I$11</xm:f>
          </x14:formula1>
          <xm:sqref>G1:G1048576 G1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4"/>
  <sheetViews>
    <sheetView tabSelected="1" workbookViewId="0">
      <pane ySplit="1" topLeftCell="A2" activePane="bottomLeft" state="frozen"/>
      <selection pane="bottomLeft" activeCell="D11" sqref="D11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10" customWidth="1"/>
    <col min="9" max="16384" width="9" style="10"/>
  </cols>
  <sheetData>
    <row r="1" spans="1:8" s="2" customFormat="1" x14ac:dyDescent="0.25">
      <c r="A1" s="12" t="s">
        <v>67</v>
      </c>
      <c r="B1" s="2" t="s">
        <v>68</v>
      </c>
      <c r="C1" s="2" t="s">
        <v>69</v>
      </c>
      <c r="D1" s="2" t="s">
        <v>121</v>
      </c>
      <c r="E1" s="2" t="s">
        <v>70</v>
      </c>
      <c r="F1" s="2" t="s">
        <v>71</v>
      </c>
      <c r="H1" s="2" t="s">
        <v>72</v>
      </c>
    </row>
    <row r="2" spans="1:8" x14ac:dyDescent="0.25">
      <c r="A2" s="11">
        <v>1</v>
      </c>
      <c r="B2" s="10" t="s">
        <v>75</v>
      </c>
      <c r="C2" s="13">
        <v>6</v>
      </c>
      <c r="D2" s="13">
        <v>0.05</v>
      </c>
      <c r="E2" s="13">
        <v>1</v>
      </c>
      <c r="F2" s="13">
        <v>1</v>
      </c>
      <c r="H2" s="21" t="s">
        <v>77</v>
      </c>
    </row>
    <row r="3" spans="1:8" x14ac:dyDescent="0.25">
      <c r="A3" s="11">
        <v>2</v>
      </c>
      <c r="B3" s="10" t="s">
        <v>75</v>
      </c>
      <c r="C3" s="13">
        <v>10</v>
      </c>
      <c r="D3" s="13">
        <v>0.05</v>
      </c>
      <c r="E3" s="13">
        <v>2</v>
      </c>
      <c r="F3" s="13">
        <v>1</v>
      </c>
      <c r="H3" s="22" t="s">
        <v>120</v>
      </c>
    </row>
    <row r="4" spans="1:8" x14ac:dyDescent="0.25">
      <c r="A4" s="11">
        <v>3</v>
      </c>
      <c r="B4" s="10" t="s">
        <v>75</v>
      </c>
      <c r="C4" s="13">
        <v>18</v>
      </c>
      <c r="D4" s="13">
        <v>0.01</v>
      </c>
      <c r="E4" s="13">
        <v>3</v>
      </c>
      <c r="F4" s="13">
        <v>1</v>
      </c>
      <c r="H4" s="21" t="s">
        <v>78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 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workbookViewId="0">
      <pane ySplit="1" topLeftCell="A2" activePane="bottomLeft" state="frozen"/>
      <selection pane="bottomLeft" activeCell="J7" sqref="J7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82</v>
      </c>
      <c r="B1" s="2" t="s">
        <v>91</v>
      </c>
      <c r="C1" s="2" t="s">
        <v>84</v>
      </c>
      <c r="D1" s="2" t="s">
        <v>85</v>
      </c>
    </row>
    <row r="2" spans="1:4" x14ac:dyDescent="0.25">
      <c r="A2" s="3" t="s">
        <v>96</v>
      </c>
      <c r="B2" s="3" t="s">
        <v>86</v>
      </c>
      <c r="C2" s="3" t="s">
        <v>87</v>
      </c>
      <c r="D2" s="3" t="s">
        <v>97</v>
      </c>
    </row>
    <row r="3" spans="1:4" x14ac:dyDescent="0.25">
      <c r="A3" s="3" t="s">
        <v>83</v>
      </c>
      <c r="B3" s="3" t="s">
        <v>86</v>
      </c>
      <c r="C3" s="3" t="s">
        <v>87</v>
      </c>
      <c r="D3" s="3" t="s">
        <v>93</v>
      </c>
    </row>
    <row r="4" spans="1:4" x14ac:dyDescent="0.25">
      <c r="A4" s="3" t="s">
        <v>95</v>
      </c>
      <c r="B4" s="3" t="s">
        <v>90</v>
      </c>
      <c r="C4" s="3" t="s">
        <v>88</v>
      </c>
      <c r="D4" s="3" t="s">
        <v>97</v>
      </c>
    </row>
    <row r="5" spans="1:4" x14ac:dyDescent="0.25">
      <c r="A5" s="3" t="s">
        <v>94</v>
      </c>
      <c r="B5" s="3" t="s">
        <v>89</v>
      </c>
      <c r="C5" s="3" t="s">
        <v>98</v>
      </c>
      <c r="D5" s="3" t="s">
        <v>92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1"/>
  <sheetViews>
    <sheetView workbookViewId="0">
      <selection activeCell="I3" sqref="I3:I11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19" t="s">
        <v>10</v>
      </c>
      <c r="B1" s="19"/>
      <c r="C1" s="19" t="s">
        <v>17</v>
      </c>
      <c r="D1" s="19"/>
      <c r="E1" s="19" t="s">
        <v>58</v>
      </c>
      <c r="F1" s="20"/>
      <c r="G1" s="19" t="s">
        <v>55</v>
      </c>
      <c r="H1" s="20"/>
      <c r="I1" s="19" t="s">
        <v>59</v>
      </c>
      <c r="J1" s="20"/>
      <c r="K1" s="19" t="s">
        <v>73</v>
      </c>
      <c r="L1" s="20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74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56</v>
      </c>
      <c r="H3" s="4">
        <v>1</v>
      </c>
      <c r="I3" s="8" t="s">
        <v>60</v>
      </c>
      <c r="J3" s="4">
        <v>1</v>
      </c>
      <c r="K3" s="4" t="s">
        <v>76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57</v>
      </c>
      <c r="H4" s="4">
        <v>2</v>
      </c>
      <c r="I4" s="8" t="s">
        <v>42</v>
      </c>
      <c r="J4" s="4">
        <v>2</v>
      </c>
    </row>
    <row r="5" spans="1:12" x14ac:dyDescent="0.25">
      <c r="E5" s="7" t="s">
        <v>23</v>
      </c>
      <c r="F5" s="4">
        <v>3</v>
      </c>
      <c r="I5" s="8" t="s">
        <v>61</v>
      </c>
      <c r="J5" s="4">
        <v>3</v>
      </c>
    </row>
    <row r="6" spans="1:12" x14ac:dyDescent="0.25">
      <c r="I6" s="8" t="s">
        <v>24</v>
      </c>
      <c r="J6" s="4">
        <v>4</v>
      </c>
    </row>
    <row r="7" spans="1:12" x14ac:dyDescent="0.25">
      <c r="I7" s="8" t="s">
        <v>20</v>
      </c>
      <c r="J7" s="4">
        <v>5</v>
      </c>
    </row>
    <row r="8" spans="1:12" x14ac:dyDescent="0.25">
      <c r="I8" s="8" t="s">
        <v>22</v>
      </c>
      <c r="J8" s="4">
        <v>6</v>
      </c>
    </row>
    <row r="9" spans="1:12" x14ac:dyDescent="0.25">
      <c r="I9" s="8" t="s">
        <v>62</v>
      </c>
      <c r="J9" s="4">
        <v>7</v>
      </c>
    </row>
    <row r="10" spans="1:12" x14ac:dyDescent="0.25">
      <c r="I10" s="4" t="s">
        <v>63</v>
      </c>
      <c r="J10" s="4">
        <v>8</v>
      </c>
    </row>
    <row r="11" spans="1:12" x14ac:dyDescent="0.25">
      <c r="I11" s="4" t="s">
        <v>65</v>
      </c>
      <c r="J11" s="4">
        <v>9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30"/>
  <sheetViews>
    <sheetView workbookViewId="0">
      <selection activeCell="C13" sqref="C13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Nervous</v>
      </c>
      <c r="C12" t="str">
        <f>ToResult(語言列表!C12)</f>
        <v>緊張不安</v>
      </c>
    </row>
    <row r="13" spans="1:3" x14ac:dyDescent="0.25">
      <c r="A13" t="str">
        <f>ToResult(語言列表!A13)</f>
        <v>2002</v>
      </c>
      <c r="B13" t="str">
        <f>ToResult(語言列表!B13)</f>
        <v>Good appease</v>
      </c>
      <c r="C13" t="str">
        <f>ToResult(語言列表!C13)</f>
        <v>善於安撫</v>
      </c>
    </row>
    <row r="14" spans="1:3" x14ac:dyDescent="0.25">
      <c r="A14" t="str">
        <f>ToResult(語言列表!A14)</f>
        <v>2003</v>
      </c>
      <c r="B14" t="str">
        <f>ToResult(語言列表!B14)</f>
        <v>The scavengers</v>
      </c>
      <c r="C14" t="str">
        <f>ToResult(語言列表!C14)</f>
        <v>拾荒者</v>
      </c>
    </row>
    <row r="15" spans="1:3" x14ac:dyDescent="0.25">
      <c r="A15" t="str">
        <f>ToResult(語言列表!A15)</f>
        <v>2004</v>
      </c>
      <c r="B15" t="str">
        <f>ToResult(語言列表!B15)</f>
        <v>Clumsy shooter</v>
      </c>
      <c r="C15" t="str">
        <f>ToResult(語言列表!C15)</f>
        <v>笨拙的槍手</v>
      </c>
    </row>
    <row r="16" spans="1:3" x14ac:dyDescent="0.25">
      <c r="A16" t="str">
        <f>ToResult(語言列表!A16)</f>
        <v>2005</v>
      </c>
      <c r="B16" t="str">
        <f>ToResult(語言列表!B16)</f>
        <v>Veteran shooter</v>
      </c>
      <c r="C16" t="str">
        <f>ToResult(語言列表!C16)</f>
        <v>老練的槍手</v>
      </c>
    </row>
    <row r="17" spans="1:3" x14ac:dyDescent="0.25">
      <c r="A17" t="str">
        <f>ToResult(語言列表!A17)</f>
        <v>2006</v>
      </c>
      <c r="B17" t="str">
        <f>ToResult(語言列表!B17)</f>
        <v>Gifted shooter</v>
      </c>
      <c r="C17" t="str">
        <f>ToResult(語言列表!C17)</f>
        <v>天才的槍手</v>
      </c>
    </row>
    <row r="18" spans="1:3" x14ac:dyDescent="0.25">
      <c r="A18" t="str">
        <f>ToResult(語言列表!A18)</f>
        <v/>
      </c>
      <c r="B18" t="str">
        <f>ToResult(語言列表!B18)</f>
        <v/>
      </c>
      <c r="C18" t="str">
        <f>ToResult(語言列表!C18)</f>
        <v/>
      </c>
    </row>
    <row r="19" spans="1:3" x14ac:dyDescent="0.25">
      <c r="A19" t="str">
        <f>ToResult(語言列表!A19)</f>
        <v/>
      </c>
      <c r="B19" t="str">
        <f>ToResult(語言列表!B19)</f>
        <v/>
      </c>
      <c r="C19" t="str">
        <f>ToResult(語言列表!C19)</f>
        <v/>
      </c>
    </row>
    <row r="20" spans="1:3" x14ac:dyDescent="0.25">
      <c r="A20" t="str">
        <f>ToResult(語言列表!A20)</f>
        <v/>
      </c>
      <c r="B20" t="str">
        <f>ToResult(語言列表!B20)</f>
        <v/>
      </c>
      <c r="C20" t="str">
        <f>ToResult(語言列表!C20)</f>
        <v/>
      </c>
    </row>
    <row r="21" spans="1:3" x14ac:dyDescent="0.25">
      <c r="A21" t="str">
        <f>ToResult(語言列表!A21)</f>
        <v/>
      </c>
      <c r="B21" t="str">
        <f>ToResult(語言列表!B21)</f>
        <v/>
      </c>
      <c r="C21" t="str">
        <f>ToResult(語言列表!C21)</f>
        <v/>
      </c>
    </row>
    <row r="22" spans="1:3" x14ac:dyDescent="0.25">
      <c r="A22" t="str">
        <f>ToResult(語言列表!A22)</f>
        <v/>
      </c>
      <c r="B22" t="str">
        <f>ToResult(語言列表!B22)</f>
        <v/>
      </c>
      <c r="C22" t="str">
        <f>ToResult(語言列表!C22)</f>
        <v/>
      </c>
    </row>
    <row r="23" spans="1:3" x14ac:dyDescent="0.25">
      <c r="A23" t="str">
        <f>ToResult(語言列表!A23)</f>
        <v/>
      </c>
      <c r="B23" t="str">
        <f>ToResult(語言列表!B23)</f>
        <v/>
      </c>
      <c r="C23" t="str">
        <f>ToResult(語言列表!C23)</f>
        <v/>
      </c>
    </row>
    <row r="24" spans="1:3" x14ac:dyDescent="0.25">
      <c r="A24" t="str">
        <f>ToResult(語言列表!A24)</f>
        <v/>
      </c>
      <c r="B24" t="str">
        <f>ToResult(語言列表!B24)</f>
        <v/>
      </c>
      <c r="C24" t="str">
        <f>ToResult(語言列表!C24)</f>
        <v/>
      </c>
    </row>
    <row r="25" spans="1:3" x14ac:dyDescent="0.25">
      <c r="A25" t="str">
        <f>ToResult(語言列表!A25)</f>
        <v/>
      </c>
      <c r="B25" t="str">
        <f>ToResult(語言列表!B25)</f>
        <v/>
      </c>
      <c r="C25" t="str">
        <f>ToResult(語言列表!C25)</f>
        <v/>
      </c>
    </row>
    <row r="26" spans="1:3" x14ac:dyDescent="0.25">
      <c r="A26" t="str">
        <f>ToResult(語言列表!A26)</f>
        <v/>
      </c>
      <c r="B26" t="str">
        <f>ToResult(語言列表!B26)</f>
        <v/>
      </c>
      <c r="C26" t="str">
        <f>ToResult(語言列表!C26)</f>
        <v/>
      </c>
    </row>
    <row r="27" spans="1:3" x14ac:dyDescent="0.25">
      <c r="A27" t="str">
        <f>ToResult(語言列表!A27)</f>
        <v/>
      </c>
      <c r="B27" t="str">
        <f>ToResult(語言列表!B27)</f>
        <v/>
      </c>
      <c r="C27" t="str">
        <f>ToResult(語言列表!C27)</f>
        <v/>
      </c>
    </row>
    <row r="28" spans="1:3" x14ac:dyDescent="0.25">
      <c r="A28" t="str">
        <f>ToResult(語言列表!A28)</f>
        <v/>
      </c>
      <c r="B28" t="str">
        <f>ToResult(語言列表!B28)</f>
        <v/>
      </c>
      <c r="C28" t="str">
        <f>ToResult(語言列表!C28)</f>
        <v/>
      </c>
    </row>
    <row r="29" spans="1:3" x14ac:dyDescent="0.25">
      <c r="A29" t="str">
        <f>ToResult(語言列表!A29)</f>
        <v/>
      </c>
      <c r="B29" t="str">
        <f>ToResult(語言列表!B29)</f>
        <v/>
      </c>
      <c r="C29" t="str">
        <f>ToResult(語言列表!C29)</f>
        <v/>
      </c>
    </row>
    <row r="30" spans="1:3" x14ac:dyDescent="0.25">
      <c r="A30" t="str">
        <f>ToResult(語言列表!A30)</f>
        <v/>
      </c>
      <c r="B30" t="str">
        <f>ToResult(語言列表!B30)</f>
        <v/>
      </c>
      <c r="C30" t="str">
        <f>ToResult(語言列表!C30)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30"/>
  <sheetViews>
    <sheetView workbookViewId="0">
      <selection activeCell="E1" sqref="E1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0</v>
      </c>
      <c r="F3" t="str">
        <f>ToResult(裝備!F3)</f>
        <v>1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2</v>
      </c>
      <c r="E4" t="str">
        <f>ToResult(裝備!E4)</f>
        <v>0.5</v>
      </c>
      <c r="F4" t="str">
        <f>ToResult(裝備!F4)</f>
        <v>2</v>
      </c>
      <c r="G4" t="str">
        <f>ToEquipRange(裝備!G4)</f>
        <v>1</v>
      </c>
      <c r="H4" t="str">
        <f>ToEquipResource(裝備!H4)</f>
        <v>0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1</v>
      </c>
      <c r="E5" t="str">
        <f>ToResult(裝備!E5)</f>
        <v>0.1</v>
      </c>
      <c r="F5" t="str">
        <f>ToResult(裝備!F5)</f>
        <v>0.5</v>
      </c>
      <c r="G5" t="str">
        <f>ToEquipRange(裝備!G5)</f>
        <v>1</v>
      </c>
      <c r="H5" t="str">
        <f>ToEquipResource(裝備!H5)</f>
        <v>1</v>
      </c>
    </row>
    <row r="6" spans="1:8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3</v>
      </c>
      <c r="E6" t="str">
        <f>ToResult(裝備!E6)</f>
        <v>0</v>
      </c>
      <c r="F6" t="str">
        <f>ToResult(裝備!F6)</f>
        <v>1</v>
      </c>
      <c r="G6" t="str">
        <f>ToEquipRange(裝備!G6)</f>
        <v>2</v>
      </c>
      <c r="H6" t="str">
        <f>ToEquipResource(裝備!H6)</f>
        <v>2</v>
      </c>
    </row>
    <row r="7" spans="1:8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3</v>
      </c>
      <c r="E7" t="str">
        <f>ToResult(裝備!E7)</f>
        <v>0.2</v>
      </c>
      <c r="F7" t="str">
        <f>ToResult(裝備!F7)</f>
        <v>1</v>
      </c>
      <c r="G7" t="str">
        <f>ToEquipRange(裝備!G7)</f>
        <v>2</v>
      </c>
      <c r="H7" t="str">
        <f>ToEquipResource(裝備!H7)</f>
        <v>2</v>
      </c>
    </row>
    <row r="8" spans="1:8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6</v>
      </c>
      <c r="E8" t="str">
        <f>ToResult(裝備!E8)</f>
        <v>0.8</v>
      </c>
      <c r="F8" t="str">
        <f>ToResult(裝備!F8)</f>
        <v>2.5</v>
      </c>
      <c r="G8" t="str">
        <f>ToEquipRange(裝備!G8)</f>
        <v>2</v>
      </c>
      <c r="H8" t="str">
        <f>ToEquipResource(裝備!H8)</f>
        <v>2</v>
      </c>
    </row>
    <row r="9" spans="1:8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2</v>
      </c>
      <c r="E9" t="str">
        <f>ToResult(裝備!E9)</f>
        <v>0.25</v>
      </c>
      <c r="F9" t="str">
        <f>ToResult(裝備!F9)</f>
        <v>0.5</v>
      </c>
      <c r="G9" t="str">
        <f>ToEquipRange(裝備!G9)</f>
        <v>2</v>
      </c>
      <c r="H9" t="str">
        <f>ToEquipResource(裝備!H9)</f>
        <v>3</v>
      </c>
    </row>
    <row r="10" spans="1:8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4</v>
      </c>
      <c r="E10" t="str">
        <f>ToResult(裝備!E10)</f>
        <v>0.5</v>
      </c>
      <c r="F10" t="str">
        <f>ToResult(裝備!F10)</f>
        <v>1</v>
      </c>
      <c r="G10" t="str">
        <f>ToEquipRange(裝備!G10)</f>
        <v>2</v>
      </c>
      <c r="H10" t="str">
        <f>ToEquipResource(裝備!H10)</f>
        <v>3</v>
      </c>
    </row>
    <row r="11" spans="1:8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2</v>
      </c>
      <c r="E11" t="str">
        <f>ToResult(裝備!E11)</f>
        <v>0</v>
      </c>
      <c r="F11" t="str">
        <f>ToResult(裝備!F11)</f>
        <v>0.25</v>
      </c>
      <c r="G11" t="str">
        <f>ToEquipRange(裝備!G11)</f>
        <v>2</v>
      </c>
      <c r="H11" t="str">
        <f>ToEquipResource(裝備!H11)</f>
        <v>3</v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30"/>
  <sheetViews>
    <sheetView workbookViewId="0">
      <selection activeCell="D1" sqref="D1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0</v>
      </c>
      <c r="E2" t="str">
        <f>ToResult(特性!E2)</f>
        <v>0.3</v>
      </c>
      <c r="F2" t="str">
        <f>ToResult(特性!F2)</f>
        <v>5</v>
      </c>
      <c r="G2" t="str">
        <f>ToFeatureEffect(特性!G2)</f>
        <v>2</v>
      </c>
      <c r="H2" t="str">
        <f>ToResult(特性!H2)</f>
        <v>1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0</v>
      </c>
      <c r="E3" t="str">
        <f>ToResult(特性!E3)</f>
        <v>0.1</v>
      </c>
      <c r="F3" t="str">
        <f>ToResult(特性!F3)</f>
        <v>20</v>
      </c>
      <c r="G3" t="str">
        <f>ToFeatureEffect(特性!G3)</f>
        <v>2</v>
      </c>
      <c r="H3" t="str">
        <f>ToResult(特性!H3)</f>
        <v>-10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0.05</v>
      </c>
      <c r="F4" t="str">
        <f>ToResult(特性!F4)</f>
        <v>30</v>
      </c>
      <c r="G4" t="str">
        <f>ToFeatureEffect(特性!G4)</f>
        <v>4</v>
      </c>
      <c r="H4" t="str">
        <f>ToResult(特性!H4)</f>
        <v>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1</v>
      </c>
      <c r="E5" t="str">
        <f>ToResult(特性!E5)</f>
        <v>0</v>
      </c>
      <c r="F5" t="str">
        <f>ToResult(特性!F5)</f>
        <v>0</v>
      </c>
      <c r="G5" t="str">
        <f>ToFeatureEffect(特性!G5)</f>
        <v>9</v>
      </c>
      <c r="H5" t="str">
        <f>ToResult(特性!H5)</f>
        <v>-1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1</v>
      </c>
      <c r="E6" t="str">
        <f>ToResult(特性!E6)</f>
        <v>0</v>
      </c>
      <c r="F6" t="str">
        <f>ToResult(特性!F6)</f>
        <v>0</v>
      </c>
      <c r="G6" t="str">
        <f>ToFeatureEffect(特性!G6)</f>
        <v>9</v>
      </c>
      <c r="H6" t="str">
        <f>ToResult(特性!H6)</f>
        <v>1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</v>
      </c>
      <c r="E7" t="str">
        <f>ToResult(特性!E7)</f>
        <v>0</v>
      </c>
      <c r="F7" t="str">
        <f>ToResult(特性!F7)</f>
        <v>0</v>
      </c>
      <c r="G7" t="str">
        <f>ToFeatureEffect(特性!G7)</f>
        <v>9</v>
      </c>
      <c r="H7" t="str">
        <f>ToResult(特性!H7)</f>
        <v>2</v>
      </c>
    </row>
    <row r="8" spans="1:8" x14ac:dyDescent="0.25">
      <c r="A8" t="str">
        <f>ToResult(特性!A8)</f>
        <v/>
      </c>
      <c r="B8" t="str">
        <f>ToResult(特性!B8)</f>
        <v/>
      </c>
      <c r="C8" t="str">
        <f>ToFeatureMode(特性!C8)</f>
        <v/>
      </c>
      <c r="D8" t="str">
        <f>ToResult(特性!D8)</f>
        <v/>
      </c>
      <c r="E8" t="str">
        <f>ToResult(特性!E8)</f>
        <v/>
      </c>
      <c r="F8" t="str">
        <f>ToResult(特性!F8)</f>
        <v/>
      </c>
      <c r="G8" t="str">
        <f>ToFeatureEffect(特性!G8)</f>
        <v/>
      </c>
      <c r="H8" t="str">
        <f>ToResult(特性!H8)</f>
        <v/>
      </c>
    </row>
    <row r="9" spans="1:8" x14ac:dyDescent="0.25">
      <c r="A9" t="str">
        <f>ToResult(特性!A9)</f>
        <v/>
      </c>
      <c r="B9" t="str">
        <f>ToResult(特性!B9)</f>
        <v/>
      </c>
      <c r="C9" t="str">
        <f>ToFeatureMode(特性!C9)</f>
        <v/>
      </c>
      <c r="D9" t="str">
        <f>ToResult(特性!D9)</f>
        <v/>
      </c>
      <c r="E9" t="str">
        <f>ToResult(特性!E9)</f>
        <v/>
      </c>
      <c r="F9" t="str">
        <f>ToResult(特性!F9)</f>
        <v/>
      </c>
      <c r="G9" t="str">
        <f>ToFeatureEffect(特性!G9)</f>
        <v/>
      </c>
      <c r="H9" t="str">
        <f>ToResult(特性!H9)</f>
        <v/>
      </c>
    </row>
    <row r="10" spans="1:8" x14ac:dyDescent="0.25">
      <c r="A10" t="str">
        <f>ToResult(特性!A10)</f>
        <v/>
      </c>
      <c r="B10" t="str">
        <f>ToResult(特性!B10)</f>
        <v/>
      </c>
      <c r="C10" t="str">
        <f>ToFeatureMode(特性!C10)</f>
        <v/>
      </c>
      <c r="D10" t="str">
        <f>ToResult(特性!D10)</f>
        <v/>
      </c>
      <c r="E10" t="str">
        <f>ToResult(特性!E10)</f>
        <v/>
      </c>
      <c r="F10" t="str">
        <f>ToResult(特性!F10)</f>
        <v/>
      </c>
      <c r="G10" t="str">
        <f>ToFeatureEffect(特性!G10)</f>
        <v/>
      </c>
      <c r="H10" t="str">
        <f>ToResult(特性!H10)</f>
        <v/>
      </c>
    </row>
    <row r="11" spans="1:8" x14ac:dyDescent="0.25">
      <c r="A11" t="str">
        <f>ToResult(特性!A11)</f>
        <v/>
      </c>
      <c r="B11" t="str">
        <f>ToResult(特性!B11)</f>
        <v/>
      </c>
      <c r="C11" t="str">
        <f>ToFeatureMode(特性!C11)</f>
        <v/>
      </c>
      <c r="D11" t="str">
        <f>ToResult(特性!D11)</f>
        <v/>
      </c>
      <c r="E11" t="str">
        <f>ToResult(特性!E11)</f>
        <v/>
      </c>
      <c r="F11" t="str">
        <f>ToResult(特性!F11)</f>
        <v/>
      </c>
      <c r="G11" t="str">
        <f>ToFeatureEffect(特性!G11)</f>
        <v/>
      </c>
      <c r="H11" t="str">
        <f>ToResult(特性!H11)</f>
        <v/>
      </c>
    </row>
    <row r="12" spans="1:8" x14ac:dyDescent="0.25">
      <c r="A12" t="str">
        <f>ToResult(特性!A12)</f>
        <v/>
      </c>
      <c r="B12" t="str">
        <f>ToResult(特性!B12)</f>
        <v/>
      </c>
      <c r="C12" t="str">
        <f>ToFeatureMode(特性!C12)</f>
        <v/>
      </c>
      <c r="D12" t="str">
        <f>ToResult(特性!D12)</f>
        <v/>
      </c>
      <c r="E12" t="str">
        <f>ToResult(特性!E12)</f>
        <v/>
      </c>
      <c r="F12" t="str">
        <f>ToResult(特性!F12)</f>
        <v/>
      </c>
      <c r="G12" t="str">
        <f>ToFeatureEffect(特性!G12)</f>
        <v/>
      </c>
      <c r="H12" t="str">
        <f>ToResult(特性!H12)</f>
        <v/>
      </c>
    </row>
    <row r="13" spans="1:8" x14ac:dyDescent="0.25">
      <c r="A13" t="str">
        <f>ToResult(特性!A13)</f>
        <v/>
      </c>
      <c r="B13" t="str">
        <f>ToResult(特性!B13)</f>
        <v/>
      </c>
      <c r="C13" t="str">
        <f>ToFeatureMode(特性!C13)</f>
        <v/>
      </c>
      <c r="D13" t="str">
        <f>ToResult(特性!D13)</f>
        <v/>
      </c>
      <c r="E13" t="str">
        <f>ToResult(特性!E13)</f>
        <v/>
      </c>
      <c r="F13" t="str">
        <f>ToResult(特性!F13)</f>
        <v/>
      </c>
      <c r="G13" t="str">
        <f>ToFeatureEffect(特性!G13)</f>
        <v/>
      </c>
      <c r="H13" t="str">
        <f>ToResult(特性!H13)</f>
        <v/>
      </c>
    </row>
    <row r="14" spans="1:8" x14ac:dyDescent="0.25">
      <c r="A14" t="str">
        <f>ToResult(特性!A14)</f>
        <v/>
      </c>
      <c r="B14" t="str">
        <f>ToResult(特性!B14)</f>
        <v/>
      </c>
      <c r="C14" t="str">
        <f>ToFeatureMode(特性!C14)</f>
        <v/>
      </c>
      <c r="D14" t="str">
        <f>ToResult(特性!D14)</f>
        <v/>
      </c>
      <c r="E14" t="str">
        <f>ToResult(特性!E14)</f>
        <v/>
      </c>
      <c r="F14" t="str">
        <f>ToResult(特性!F14)</f>
        <v/>
      </c>
      <c r="G14" t="str">
        <f>ToFeatureEffect(特性!G14)</f>
        <v/>
      </c>
      <c r="H14" t="str">
        <f>ToResult(特性!H14)</f>
        <v/>
      </c>
    </row>
    <row r="15" spans="1:8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ToFeatureEffect(特性!G15)</f>
        <v/>
      </c>
      <c r="H15" t="str">
        <f>ToResult(特性!H15)</f>
        <v/>
      </c>
    </row>
    <row r="16" spans="1:8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ToFeatureEffect(特性!G16)</f>
        <v/>
      </c>
      <c r="H16" t="str">
        <f>ToResult(特性!H16)</f>
        <v/>
      </c>
    </row>
    <row r="17" spans="1:8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ToFeatureEffect(特性!G17)</f>
        <v/>
      </c>
      <c r="H17" t="str">
        <f>ToResult(特性!H17)</f>
        <v/>
      </c>
    </row>
    <row r="18" spans="1:8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ToFeatureEffect(特性!G18)</f>
        <v/>
      </c>
      <c r="H18" t="str">
        <f>ToResult(特性!H18)</f>
        <v/>
      </c>
    </row>
    <row r="19" spans="1:8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ToFeatureEffect(特性!G19)</f>
        <v/>
      </c>
      <c r="H19" t="str">
        <f>ToResult(特性!H19)</f>
        <v/>
      </c>
    </row>
    <row r="20" spans="1:8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ToFeatureEffect(特性!G20)</f>
        <v/>
      </c>
      <c r="H20" t="str">
        <f>ToResult(特性!H20)</f>
        <v/>
      </c>
    </row>
    <row r="21" spans="1:8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ToFeatureEffect(特性!G21)</f>
        <v/>
      </c>
      <c r="H21" t="str">
        <f>ToResult(特性!H21)</f>
        <v/>
      </c>
    </row>
    <row r="22" spans="1:8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ToFeatureEffect(特性!G22)</f>
        <v/>
      </c>
      <c r="H22" t="str">
        <f>ToResult(特性!H22)</f>
        <v/>
      </c>
    </row>
    <row r="23" spans="1:8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ToFeatureEffect(特性!G23)</f>
        <v/>
      </c>
      <c r="H23" t="str">
        <f>ToResult(特性!H23)</f>
        <v/>
      </c>
    </row>
    <row r="24" spans="1:8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ToFeatureEffect(特性!G24)</f>
        <v/>
      </c>
      <c r="H24" t="str">
        <f>ToResult(特性!H24)</f>
        <v/>
      </c>
    </row>
    <row r="25" spans="1:8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ToFeatureEffect(特性!G25)</f>
        <v/>
      </c>
      <c r="H25" t="str">
        <f>ToResult(特性!H25)</f>
        <v/>
      </c>
    </row>
    <row r="26" spans="1:8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ToFeatureEffect(特性!G26)</f>
        <v/>
      </c>
      <c r="H26" t="str">
        <f>ToResult(特性!H26)</f>
        <v/>
      </c>
    </row>
    <row r="27" spans="1:8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ToFeatureEffect(特性!G27)</f>
        <v/>
      </c>
      <c r="H27" t="str">
        <f>ToResult(特性!H27)</f>
        <v/>
      </c>
    </row>
    <row r="28" spans="1:8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ToFeatureEffect(特性!G28)</f>
        <v/>
      </c>
      <c r="H28" t="str">
        <f>ToResult(特性!H28)</f>
        <v/>
      </c>
    </row>
    <row r="29" spans="1:8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ToFeatureEffect(特性!G29)</f>
        <v/>
      </c>
      <c r="H29" t="str">
        <f>ToResult(特性!H29)</f>
        <v/>
      </c>
    </row>
    <row r="30" spans="1:8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ToFeatureEffect(特性!G30)</f>
        <v/>
      </c>
      <c r="H30" t="str">
        <f>ToResult(特性!H30)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30"/>
  <sheetViews>
    <sheetView workbookViewId="0">
      <selection activeCell="D19" sqref="D19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9" t="str">
        <f>怪物!B1</f>
        <v>Mode</v>
      </c>
      <c r="C1" s="9" t="str">
        <f>怪物!C1</f>
        <v>HP</v>
      </c>
      <c r="D1" s="9" t="str">
        <f>怪物!D1</f>
        <v>MoveSpeed</v>
      </c>
      <c r="E1" s="9" t="str">
        <f>怪物!E1</f>
        <v>Threat</v>
      </c>
      <c r="F1" s="9" t="str">
        <f>怪物!F1</f>
        <v>StageID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6</v>
      </c>
      <c r="D2" t="str">
        <f>ToResult(怪物!D2)</f>
        <v>0.05</v>
      </c>
      <c r="E2" t="str">
        <f>ToResult(怪物!E2)</f>
        <v>1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10</v>
      </c>
      <c r="D3" t="str">
        <f>ToResult(怪物!D3)</f>
        <v>0.05</v>
      </c>
      <c r="E3" t="str">
        <f>ToResult(怪物!E3)</f>
        <v>2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18</v>
      </c>
      <c r="D4" t="str">
        <f>ToResult(怪物!D4)</f>
        <v>0.01</v>
      </c>
      <c r="E4" t="str">
        <f>ToResult(怪物!E4)</f>
        <v>3</v>
      </c>
      <c r="F4" t="str">
        <f>ToResult(怪物!F4)</f>
        <v>1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2015-04-02T07:33:50Z</dcterms:modified>
</cp:coreProperties>
</file>