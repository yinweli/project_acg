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G16" i="10"/>
  <c r="G15" i="10"/>
  <c r="G14" i="10"/>
  <c r="G13" i="10"/>
  <c r="G12" i="10"/>
  <c r="G11" i="10"/>
  <c r="G10" i="10"/>
  <c r="G9" i="10"/>
  <c r="G8" i="10"/>
  <c r="G7" i="10"/>
  <c r="E3" i="10"/>
  <c r="D12" i="10"/>
  <c r="E12" i="10"/>
  <c r="E7" i="10"/>
  <c r="E2" i="10"/>
  <c r="E5" i="10"/>
  <c r="E4" i="10"/>
  <c r="E6" i="10"/>
  <c r="E16" i="10"/>
  <c r="E15" i="10"/>
  <c r="E14" i="10"/>
  <c r="E13" i="10"/>
  <c r="E11" i="10"/>
  <c r="E10" i="10"/>
  <c r="E9" i="10"/>
  <c r="E8" i="10"/>
  <c r="D16" i="10"/>
  <c r="D15" i="10"/>
  <c r="D14" i="10"/>
  <c r="D13" i="10"/>
  <c r="D11" i="10"/>
  <c r="D10" i="10"/>
  <c r="D9" i="10"/>
  <c r="D8" i="10"/>
  <c r="D6" i="10"/>
  <c r="D5" i="10"/>
  <c r="D4" i="10"/>
  <c r="D3" i="10"/>
  <c r="J1" i="9" l="1"/>
  <c r="J23" i="9"/>
  <c r="J83" i="9"/>
  <c r="J91" i="9"/>
  <c r="J21" i="9"/>
  <c r="J22" i="9"/>
  <c r="J14" i="9"/>
  <c r="J96" i="9"/>
  <c r="J24" i="9"/>
  <c r="J61" i="9"/>
  <c r="J34" i="9"/>
  <c r="J50" i="9"/>
  <c r="J18" i="9"/>
  <c r="J95" i="9"/>
  <c r="J77" i="9"/>
  <c r="J33" i="9"/>
  <c r="J60" i="9"/>
  <c r="J90" i="9"/>
  <c r="J46" i="9"/>
  <c r="J53" i="9"/>
  <c r="J69" i="9"/>
  <c r="J7" i="9"/>
  <c r="J64" i="9"/>
  <c r="J41" i="9"/>
  <c r="J68" i="9"/>
  <c r="J19" i="9"/>
  <c r="J74" i="9"/>
  <c r="J80" i="9"/>
  <c r="J73" i="9"/>
  <c r="J43" i="9"/>
  <c r="J55" i="9"/>
  <c r="J56" i="9"/>
  <c r="J88" i="9"/>
  <c r="J52" i="9"/>
  <c r="J39" i="9"/>
  <c r="J11" i="9"/>
  <c r="J84" i="9"/>
  <c r="J9" i="9"/>
  <c r="J75" i="9"/>
  <c r="J49" i="9"/>
  <c r="J48" i="9"/>
  <c r="J31" i="9"/>
  <c r="J92" i="9"/>
  <c r="J87" i="9"/>
  <c r="J20" i="9"/>
  <c r="J72" i="9"/>
  <c r="J97" i="9"/>
  <c r="J86" i="9"/>
  <c r="J45" i="9"/>
  <c r="J37" i="9"/>
  <c r="J98" i="9"/>
  <c r="J2" i="9"/>
  <c r="J35" i="9"/>
  <c r="J44" i="9"/>
  <c r="J76" i="9"/>
  <c r="J54" i="9"/>
  <c r="J81" i="9"/>
  <c r="J89" i="9"/>
  <c r="J12" i="9"/>
  <c r="J47" i="9"/>
  <c r="J57" i="9"/>
  <c r="J70" i="9"/>
  <c r="J5" i="9"/>
  <c r="J17" i="9"/>
  <c r="J4" i="9"/>
  <c r="J67" i="9"/>
  <c r="J30" i="9"/>
  <c r="J15" i="9"/>
  <c r="J58" i="9"/>
  <c r="J94" i="9"/>
  <c r="J28" i="9"/>
  <c r="J59" i="9"/>
  <c r="J29" i="9"/>
  <c r="J27" i="9"/>
  <c r="J42" i="9"/>
  <c r="J63" i="9"/>
  <c r="J26" i="9"/>
  <c r="J65" i="9"/>
  <c r="J40" i="9"/>
  <c r="J3" i="9"/>
  <c r="J36" i="9"/>
  <c r="J25" i="9"/>
  <c r="J85" i="9"/>
  <c r="J10" i="9"/>
  <c r="J66" i="9"/>
  <c r="J62" i="9"/>
  <c r="J13" i="9"/>
  <c r="J32" i="9"/>
  <c r="J8" i="9"/>
  <c r="J16" i="9"/>
  <c r="J78" i="9"/>
  <c r="J51" i="9"/>
  <c r="J99" i="9"/>
  <c r="J82" i="9"/>
  <c r="J6" i="9"/>
  <c r="J38" i="9"/>
  <c r="J71" i="9"/>
  <c r="J79" i="9"/>
  <c r="J93" i="9"/>
  <c r="M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2" i="8"/>
  <c r="D4" i="8"/>
  <c r="D8" i="8"/>
  <c r="D7" i="8"/>
  <c r="D5" i="8"/>
  <c r="D6" i="8"/>
  <c r="E38" i="9"/>
  <c r="D42" i="9"/>
  <c r="E57" i="9"/>
  <c r="F37" i="9"/>
  <c r="H61" i="9"/>
  <c r="H30" i="9"/>
  <c r="H86" i="9"/>
  <c r="F52" i="9"/>
  <c r="D84" i="9"/>
  <c r="E76" i="9"/>
  <c r="E60" i="9"/>
  <c r="H26" i="9"/>
  <c r="A66" i="9"/>
  <c r="C5" i="9"/>
  <c r="B39" i="9"/>
  <c r="H79" i="9"/>
  <c r="B32" i="9"/>
  <c r="D51" i="9"/>
  <c r="A84" i="9"/>
  <c r="D92" i="9"/>
  <c r="F91" i="9"/>
  <c r="E77" i="9"/>
  <c r="G51" i="9"/>
  <c r="B99" i="9"/>
  <c r="I45" i="9"/>
  <c r="F69" i="9"/>
  <c r="B43" i="9"/>
  <c r="I89" i="9"/>
  <c r="A94" i="9"/>
  <c r="D57" i="9"/>
  <c r="C81" i="9"/>
  <c r="B92" i="9"/>
  <c r="G83" i="9"/>
  <c r="I28" i="9"/>
  <c r="I77" i="9"/>
  <c r="F31" i="9"/>
  <c r="D59" i="9"/>
  <c r="E40" i="9"/>
  <c r="A92" i="9"/>
  <c r="G5" i="9"/>
  <c r="B40" i="9"/>
  <c r="I90" i="9"/>
  <c r="E96" i="9"/>
  <c r="I58" i="9"/>
  <c r="A50" i="9"/>
  <c r="B67" i="9"/>
  <c r="D96" i="9"/>
  <c r="B37" i="9"/>
  <c r="B25" i="9"/>
  <c r="H25" i="9"/>
  <c r="F22" i="9"/>
  <c r="E68" i="9"/>
  <c r="B72" i="9"/>
  <c r="F44" i="9"/>
  <c r="B85" i="9"/>
  <c r="A32" i="9"/>
  <c r="F89" i="9"/>
  <c r="H76" i="9"/>
  <c r="E32" i="9"/>
  <c r="G63" i="9"/>
  <c r="F48" i="9"/>
  <c r="B89" i="9"/>
  <c r="F7" i="9"/>
  <c r="A73" i="9"/>
  <c r="B57" i="9"/>
  <c r="I74" i="9"/>
  <c r="C83" i="9"/>
  <c r="E26" i="9"/>
  <c r="D2" i="9"/>
  <c r="C60" i="9"/>
  <c r="D47" i="9"/>
  <c r="I94" i="9"/>
  <c r="I86" i="9"/>
  <c r="H22" i="9"/>
  <c r="A18" i="9"/>
  <c r="G54" i="9"/>
  <c r="A93" i="9"/>
  <c r="A53" i="9"/>
  <c r="E18" i="9"/>
  <c r="C29" i="9"/>
  <c r="I43" i="9"/>
  <c r="F51" i="9"/>
  <c r="H88" i="9"/>
  <c r="H93" i="9"/>
  <c r="I39" i="9"/>
  <c r="G48" i="9"/>
  <c r="D82" i="9"/>
  <c r="H45" i="9"/>
  <c r="C32" i="9"/>
  <c r="I53" i="9"/>
  <c r="B42" i="9"/>
  <c r="H35" i="9"/>
  <c r="C93" i="9"/>
  <c r="D69" i="9"/>
  <c r="D3" i="9"/>
  <c r="F83" i="9"/>
  <c r="E74" i="9"/>
  <c r="E73" i="9"/>
  <c r="B94" i="9"/>
  <c r="B66" i="9"/>
  <c r="D88" i="9"/>
  <c r="A56" i="9"/>
  <c r="D34" i="9"/>
  <c r="I88" i="9"/>
  <c r="A55" i="9"/>
  <c r="G55" i="9"/>
  <c r="F34" i="9"/>
  <c r="B65" i="9"/>
  <c r="C46" i="9"/>
  <c r="B68" i="9"/>
  <c r="D20" i="9"/>
  <c r="F3" i="9"/>
  <c r="F46" i="9"/>
  <c r="D24" i="9"/>
  <c r="D91" i="9"/>
  <c r="C28" i="9"/>
  <c r="I57" i="9"/>
  <c r="G68" i="9"/>
  <c r="G27" i="9"/>
  <c r="I79" i="9"/>
  <c r="I24" i="9"/>
  <c r="D39" i="9"/>
  <c r="A19" i="9"/>
  <c r="G8" i="9"/>
  <c r="F47" i="9"/>
  <c r="A89" i="9"/>
  <c r="A61" i="9"/>
  <c r="I97" i="9"/>
  <c r="E48" i="9"/>
  <c r="F66" i="9"/>
  <c r="I52" i="9"/>
  <c r="B58" i="9"/>
  <c r="I81" i="9"/>
  <c r="H82" i="9"/>
  <c r="F19" i="9"/>
  <c r="C30" i="9"/>
  <c r="B96" i="9"/>
  <c r="B3" i="9"/>
  <c r="B87" i="9"/>
  <c r="D94" i="9"/>
  <c r="G75" i="9"/>
  <c r="B74" i="9"/>
  <c r="G85" i="9"/>
  <c r="C40" i="9"/>
  <c r="H55" i="9"/>
  <c r="C45" i="9"/>
  <c r="C17" i="9"/>
  <c r="E22" i="9"/>
  <c r="C49" i="9"/>
  <c r="F6" i="9"/>
  <c r="H90" i="9"/>
  <c r="F50" i="9"/>
  <c r="E84" i="9"/>
  <c r="B84" i="9"/>
  <c r="B98" i="9"/>
  <c r="I68" i="9"/>
  <c r="G93" i="9"/>
  <c r="H53" i="9"/>
  <c r="G46" i="9"/>
  <c r="G37" i="9"/>
  <c r="G53" i="9"/>
  <c r="B33" i="9"/>
  <c r="B38" i="9"/>
  <c r="C43" i="9"/>
  <c r="C47" i="9"/>
  <c r="F76" i="9"/>
  <c r="H94" i="9"/>
  <c r="F74" i="9"/>
  <c r="C2" i="9"/>
  <c r="H47" i="9"/>
  <c r="E82" i="9"/>
  <c r="B62" i="9"/>
  <c r="D67" i="9"/>
  <c r="F59" i="9"/>
  <c r="F25" i="9"/>
  <c r="D77" i="9"/>
  <c r="C20" i="9"/>
  <c r="E42" i="9"/>
  <c r="G6" i="9"/>
  <c r="E78" i="9"/>
  <c r="A62" i="9"/>
  <c r="H92" i="9"/>
  <c r="D68" i="9"/>
  <c r="F98" i="9"/>
  <c r="H21" i="9"/>
  <c r="A83" i="9"/>
  <c r="I18" i="9"/>
  <c r="A99" i="9"/>
  <c r="H32" i="9"/>
  <c r="G59" i="9"/>
  <c r="D40" i="9"/>
  <c r="H49" i="9"/>
  <c r="B29" i="9"/>
  <c r="C27" i="9"/>
  <c r="D61" i="9"/>
  <c r="F39" i="9"/>
  <c r="B51" i="9"/>
  <c r="F87" i="9"/>
  <c r="B45" i="9"/>
  <c r="G35" i="9"/>
  <c r="E86" i="9"/>
  <c r="E53" i="9"/>
  <c r="H85" i="9"/>
  <c r="I61" i="9"/>
  <c r="D71" i="9"/>
  <c r="D66" i="9"/>
  <c r="G31" i="9"/>
  <c r="I51" i="9"/>
  <c r="G18" i="9"/>
  <c r="B24" i="9"/>
  <c r="E25" i="9"/>
  <c r="E24" i="9"/>
  <c r="C6" i="9"/>
  <c r="C76" i="9"/>
  <c r="G43" i="9"/>
  <c r="A82" i="9"/>
  <c r="E91" i="9"/>
  <c r="I40" i="9"/>
  <c r="B18" i="9"/>
  <c r="I38" i="9"/>
  <c r="I96" i="9"/>
  <c r="A59" i="9"/>
  <c r="A28" i="9"/>
  <c r="G90" i="9"/>
  <c r="F68" i="9"/>
  <c r="B77" i="9"/>
  <c r="D86" i="9"/>
  <c r="C67" i="9"/>
  <c r="F33" i="9"/>
  <c r="D49" i="9"/>
  <c r="G36" i="9"/>
  <c r="G47" i="9"/>
  <c r="E65" i="9"/>
  <c r="I78" i="9"/>
  <c r="G30" i="9"/>
  <c r="E28" i="9"/>
  <c r="B88" i="9"/>
  <c r="B22" i="9"/>
  <c r="A95" i="9"/>
  <c r="F64" i="9"/>
  <c r="I67" i="9"/>
  <c r="D48" i="9"/>
  <c r="C90" i="9"/>
  <c r="B60" i="9"/>
  <c r="H44" i="9"/>
  <c r="I20" i="9"/>
  <c r="C91" i="9"/>
  <c r="E54" i="9"/>
  <c r="G89" i="9"/>
  <c r="G3" i="9"/>
  <c r="I47" i="9"/>
  <c r="A80" i="9"/>
  <c r="C61" i="9"/>
  <c r="I34" i="9"/>
  <c r="C68" i="9"/>
  <c r="E43" i="9"/>
  <c r="G34" i="9"/>
  <c r="C87" i="9"/>
  <c r="A74" i="9"/>
  <c r="H27" i="9"/>
  <c r="D64" i="9"/>
  <c r="B2" i="9"/>
  <c r="E37" i="9"/>
  <c r="E97" i="9"/>
  <c r="F36" i="9"/>
  <c r="G19" i="9"/>
  <c r="I35" i="9"/>
  <c r="A37" i="9"/>
  <c r="H97" i="9"/>
  <c r="C57" i="9"/>
  <c r="E41" i="9"/>
  <c r="A48" i="9"/>
  <c r="C85" i="9"/>
  <c r="H41" i="9"/>
  <c r="A21" i="9"/>
  <c r="F40" i="9"/>
  <c r="E47" i="9"/>
  <c r="A69" i="9"/>
  <c r="D25" i="9"/>
  <c r="G58" i="9"/>
  <c r="D87" i="9"/>
  <c r="F60" i="9"/>
  <c r="I29" i="9"/>
  <c r="D99" i="9"/>
  <c r="C64" i="9"/>
  <c r="F45" i="9"/>
  <c r="F92" i="9"/>
  <c r="C44" i="9"/>
  <c r="B47" i="9"/>
  <c r="B20" i="9"/>
  <c r="H81" i="9"/>
  <c r="G67" i="9"/>
  <c r="H38" i="9"/>
  <c r="G72" i="9"/>
  <c r="G70" i="9"/>
  <c r="A70" i="9"/>
  <c r="F26" i="9"/>
  <c r="C8" i="9"/>
  <c r="E90" i="9"/>
  <c r="B64" i="9"/>
  <c r="B23" i="9"/>
  <c r="B35" i="9"/>
  <c r="D17" i="9"/>
  <c r="A54" i="9"/>
  <c r="A64" i="9"/>
  <c r="G33" i="9"/>
  <c r="B83" i="9"/>
  <c r="D89" i="9"/>
  <c r="G84" i="9"/>
  <c r="G39" i="9"/>
  <c r="A96" i="9"/>
  <c r="F42" i="9"/>
  <c r="E63" i="9"/>
  <c r="C74" i="9"/>
  <c r="F23" i="9"/>
  <c r="B48" i="9"/>
  <c r="A31" i="9"/>
  <c r="I83" i="9"/>
  <c r="I49" i="9"/>
  <c r="G2" i="9"/>
  <c r="B8" i="9"/>
  <c r="F16" i="9"/>
  <c r="I92" i="9"/>
  <c r="C37" i="9"/>
  <c r="A97" i="9"/>
  <c r="I80" i="9"/>
  <c r="G45" i="9"/>
  <c r="D33" i="9"/>
  <c r="E99" i="9"/>
  <c r="D60" i="9"/>
  <c r="C86" i="9"/>
  <c r="I37" i="9"/>
  <c r="G44" i="9"/>
  <c r="F88" i="9"/>
  <c r="I70" i="9"/>
  <c r="F49" i="9"/>
  <c r="A30" i="9"/>
  <c r="B30" i="9"/>
  <c r="H52" i="9"/>
  <c r="F96" i="9"/>
  <c r="E89" i="9"/>
  <c r="D45" i="9"/>
  <c r="C4" i="9"/>
  <c r="B80" i="9"/>
  <c r="E83" i="9"/>
  <c r="G61" i="9"/>
  <c r="D97" i="9"/>
  <c r="G17" i="9"/>
  <c r="C56" i="9"/>
  <c r="C9" i="9"/>
  <c r="E56" i="9"/>
  <c r="H99" i="9"/>
  <c r="I33" i="9"/>
  <c r="H78" i="9"/>
  <c r="D41" i="9"/>
  <c r="D54" i="9"/>
  <c r="E19" i="9"/>
  <c r="H37" i="9"/>
  <c r="B55" i="9"/>
  <c r="A44" i="9"/>
  <c r="F32" i="9"/>
  <c r="H40" i="9"/>
  <c r="A60" i="9"/>
  <c r="B26" i="9"/>
  <c r="G71" i="9"/>
  <c r="C69" i="9"/>
  <c r="A4" i="9"/>
  <c r="F15" i="9"/>
  <c r="A11" i="9"/>
  <c r="D11" i="9"/>
  <c r="H69" i="9"/>
  <c r="E98" i="9"/>
  <c r="D73" i="9"/>
  <c r="I30" i="9"/>
  <c r="E27" i="9"/>
  <c r="H2" i="9"/>
  <c r="A46" i="9"/>
  <c r="I17" i="9"/>
  <c r="F30" i="9"/>
  <c r="D79" i="9"/>
  <c r="A85" i="9"/>
  <c r="A47" i="9"/>
  <c r="E23" i="9"/>
  <c r="A41" i="9"/>
  <c r="D78" i="9"/>
  <c r="G96" i="9"/>
  <c r="C75" i="9"/>
  <c r="G94" i="9"/>
  <c r="F55" i="9"/>
  <c r="F5" i="9"/>
  <c r="A3" i="9"/>
  <c r="E15" i="9"/>
  <c r="F14" i="9"/>
  <c r="G11" i="9"/>
  <c r="C41" i="9"/>
  <c r="D19" i="9"/>
  <c r="F27" i="9"/>
  <c r="D16" i="9"/>
  <c r="C10" i="9"/>
  <c r="H31" i="9"/>
  <c r="D85" i="9"/>
  <c r="E33" i="9"/>
  <c r="B54" i="9"/>
  <c r="D5" i="9"/>
  <c r="E46" i="9"/>
  <c r="E31" i="9"/>
  <c r="B14" i="9"/>
  <c r="F99" i="9"/>
  <c r="A91" i="9"/>
  <c r="H73" i="9"/>
  <c r="A90" i="9"/>
  <c r="I93" i="9"/>
  <c r="I72" i="9"/>
  <c r="A2" i="9"/>
  <c r="H87" i="9"/>
  <c r="G20" i="9"/>
  <c r="F90" i="9"/>
  <c r="E21" i="9"/>
  <c r="B93" i="9"/>
  <c r="E79" i="9"/>
  <c r="I84" i="9"/>
  <c r="H66" i="9"/>
  <c r="G28" i="9"/>
  <c r="A65" i="9"/>
  <c r="D28" i="9"/>
  <c r="C7" i="9"/>
  <c r="B16" i="9"/>
  <c r="G14" i="9"/>
  <c r="A13" i="9"/>
  <c r="H59" i="9"/>
  <c r="F35" i="9"/>
  <c r="D30" i="9"/>
  <c r="A71" i="9"/>
  <c r="G66" i="9"/>
  <c r="H19" i="9"/>
  <c r="C94" i="9"/>
  <c r="B56" i="9"/>
  <c r="B19" i="9"/>
  <c r="H28" i="9"/>
  <c r="D23" i="9"/>
  <c r="D70" i="9"/>
  <c r="A43" i="9"/>
  <c r="H71" i="9"/>
  <c r="F97" i="9"/>
  <c r="A15" i="9"/>
  <c r="B71" i="9"/>
  <c r="E39" i="9"/>
  <c r="C23" i="9"/>
  <c r="G4" i="9"/>
  <c r="D53" i="9"/>
  <c r="C72" i="9"/>
  <c r="C50" i="9"/>
  <c r="D44" i="9"/>
  <c r="C63" i="9"/>
  <c r="E95" i="9"/>
  <c r="E66" i="9"/>
  <c r="E61" i="9"/>
  <c r="F53" i="9"/>
  <c r="I91" i="9"/>
  <c r="A78" i="9"/>
  <c r="G76" i="9"/>
  <c r="G69" i="9"/>
  <c r="A86" i="9"/>
  <c r="I50" i="9"/>
  <c r="I59" i="9"/>
  <c r="G92" i="9"/>
  <c r="I41" i="9"/>
  <c r="F78" i="9"/>
  <c r="C33" i="9"/>
  <c r="C71" i="9"/>
  <c r="I25" i="9"/>
  <c r="I71" i="9"/>
  <c r="A45" i="9"/>
  <c r="I46" i="9"/>
  <c r="H68" i="9"/>
  <c r="H20" i="9"/>
  <c r="F81" i="9"/>
  <c r="I21" i="9"/>
  <c r="F24" i="9"/>
  <c r="G32" i="9"/>
  <c r="B82" i="9"/>
  <c r="B76" i="9"/>
  <c r="A36" i="9"/>
  <c r="I62" i="9"/>
  <c r="F28" i="9"/>
  <c r="I98" i="9"/>
  <c r="D76" i="9"/>
  <c r="B50" i="9"/>
  <c r="A7" i="9"/>
  <c r="A12" i="9"/>
  <c r="I12" i="9"/>
  <c r="H11" i="9"/>
  <c r="G87" i="9"/>
  <c r="E69" i="9"/>
  <c r="E55" i="9"/>
  <c r="H62" i="9"/>
  <c r="B34" i="9"/>
  <c r="F63" i="9"/>
  <c r="E45" i="9"/>
  <c r="I56" i="9"/>
  <c r="F71" i="9"/>
  <c r="H3" i="9"/>
  <c r="H91" i="9"/>
  <c r="I99" i="9"/>
  <c r="G38" i="9"/>
  <c r="G29" i="9"/>
  <c r="A72" i="9"/>
  <c r="G26" i="9"/>
  <c r="A22" i="9"/>
  <c r="H96" i="9"/>
  <c r="C42" i="9"/>
  <c r="G77" i="9"/>
  <c r="C35" i="9"/>
  <c r="E16" i="9"/>
  <c r="D13" i="9"/>
  <c r="F12" i="9"/>
  <c r="A25" i="9"/>
  <c r="C52" i="9"/>
  <c r="B95" i="9"/>
  <c r="H7" i="9"/>
  <c r="H13" i="9"/>
  <c r="I11" i="9"/>
  <c r="F9" i="9"/>
  <c r="B90" i="9"/>
  <c r="F77" i="9"/>
  <c r="B27" i="9"/>
  <c r="H33" i="9"/>
  <c r="G74" i="9"/>
  <c r="A68" i="9"/>
  <c r="D9" i="9"/>
  <c r="C12" i="9"/>
  <c r="C89" i="9"/>
  <c r="D74" i="9"/>
  <c r="C66" i="9"/>
  <c r="H56" i="9"/>
  <c r="C38" i="9"/>
  <c r="I76" i="9"/>
  <c r="D50" i="9"/>
  <c r="B31" i="9"/>
  <c r="E85" i="9"/>
  <c r="A75" i="9"/>
  <c r="H84" i="9"/>
  <c r="F4" i="9"/>
  <c r="G95" i="9"/>
  <c r="D35" i="9"/>
  <c r="F43" i="9"/>
  <c r="E71" i="9"/>
  <c r="H24" i="9"/>
  <c r="H80" i="9"/>
  <c r="H4" i="9"/>
  <c r="D15" i="9"/>
  <c r="F13" i="9"/>
  <c r="B10" i="9"/>
  <c r="I65" i="9"/>
  <c r="D22" i="9"/>
  <c r="F20" i="9"/>
  <c r="A35" i="9"/>
  <c r="G52" i="9"/>
  <c r="G73" i="9"/>
  <c r="I22" i="9"/>
  <c r="I82" i="9"/>
  <c r="G86" i="9"/>
  <c r="A26" i="9"/>
  <c r="I27" i="9"/>
  <c r="H29" i="9"/>
  <c r="F72" i="9"/>
  <c r="F21" i="9"/>
  <c r="D12" i="9"/>
  <c r="F65" i="9"/>
  <c r="C51" i="9"/>
  <c r="B63" i="9"/>
  <c r="B17" i="9"/>
  <c r="E58" i="9"/>
  <c r="F62" i="9"/>
  <c r="F85" i="9"/>
  <c r="I95" i="9"/>
  <c r="H50" i="9"/>
  <c r="B59" i="9"/>
  <c r="B49" i="9"/>
  <c r="H9" i="9"/>
  <c r="D52" i="9"/>
  <c r="B91" i="9"/>
  <c r="G7" i="9"/>
  <c r="B36" i="9"/>
  <c r="H54" i="9"/>
  <c r="A49" i="9"/>
  <c r="F29" i="9"/>
  <c r="B78" i="9"/>
  <c r="E17" i="9"/>
  <c r="F70" i="9"/>
  <c r="G40" i="9"/>
  <c r="A79" i="9"/>
  <c r="G79" i="9"/>
  <c r="C19" i="9"/>
  <c r="A27" i="9"/>
  <c r="H46" i="9"/>
  <c r="C25" i="9"/>
  <c r="E29" i="9"/>
  <c r="D81" i="9"/>
  <c r="C80" i="9"/>
  <c r="I23" i="9"/>
  <c r="F93" i="9"/>
  <c r="I55" i="9"/>
  <c r="E64" i="9"/>
  <c r="D38" i="9"/>
  <c r="G50" i="9"/>
  <c r="D62" i="9"/>
  <c r="G97" i="9"/>
  <c r="I85" i="9"/>
  <c r="B73" i="9"/>
  <c r="G21" i="9"/>
  <c r="C3" i="9"/>
  <c r="B15" i="9"/>
  <c r="H12" i="9"/>
  <c r="B12" i="9"/>
  <c r="A10" i="9"/>
  <c r="A57" i="9"/>
  <c r="H63" i="9"/>
  <c r="B44" i="9"/>
  <c r="C22" i="9"/>
  <c r="B81" i="9"/>
  <c r="F8" i="9"/>
  <c r="C84" i="9"/>
  <c r="B28" i="9"/>
  <c r="G22" i="9"/>
  <c r="B70" i="9"/>
  <c r="D90" i="9"/>
  <c r="F56" i="9"/>
  <c r="C98" i="9"/>
  <c r="D95" i="9"/>
  <c r="H65" i="9"/>
  <c r="H48" i="9"/>
  <c r="D46" i="9"/>
  <c r="H70" i="9"/>
  <c r="C58" i="9"/>
  <c r="C78" i="9"/>
  <c r="C21" i="9"/>
  <c r="B6" i="9"/>
  <c r="H15" i="9"/>
  <c r="B13" i="9"/>
  <c r="G10" i="9"/>
  <c r="E59" i="9"/>
  <c r="A51" i="9"/>
  <c r="E51" i="9"/>
  <c r="G15" i="9"/>
  <c r="I14" i="9"/>
  <c r="F41" i="9"/>
  <c r="A20" i="9"/>
  <c r="E72" i="9"/>
  <c r="H64" i="9"/>
  <c r="B97" i="9"/>
  <c r="B46" i="9"/>
  <c r="E75" i="9"/>
  <c r="G16" i="9"/>
  <c r="H10" i="9"/>
  <c r="H57" i="9"/>
  <c r="C97" i="9"/>
  <c r="H8" i="9"/>
  <c r="A76" i="9"/>
  <c r="F86" i="9"/>
  <c r="D8" i="9"/>
  <c r="I87" i="9"/>
  <c r="C55" i="9"/>
  <c r="C59" i="9"/>
  <c r="G81" i="9"/>
  <c r="D83" i="9"/>
  <c r="E94" i="9"/>
  <c r="C95" i="9"/>
  <c r="A52" i="9"/>
  <c r="A87" i="9"/>
  <c r="B79" i="9"/>
  <c r="A23" i="9"/>
  <c r="G9" i="9"/>
  <c r="A6" i="9"/>
  <c r="A16" i="9"/>
  <c r="A14" i="9"/>
  <c r="F11" i="9"/>
  <c r="C36" i="9"/>
  <c r="A29" i="9"/>
  <c r="F2" i="9"/>
  <c r="H72" i="9"/>
  <c r="G60" i="9"/>
  <c r="A34" i="9"/>
  <c r="A40" i="9"/>
  <c r="D32" i="9"/>
  <c r="G78" i="9"/>
  <c r="I42" i="9"/>
  <c r="B86" i="9"/>
  <c r="F75" i="9"/>
  <c r="D63" i="9"/>
  <c r="A5" i="9"/>
  <c r="D10" i="9"/>
  <c r="D18" i="9"/>
  <c r="H74" i="9"/>
  <c r="F54" i="9"/>
  <c r="I19" i="9"/>
  <c r="I73" i="9"/>
  <c r="G56" i="9"/>
  <c r="I44" i="9"/>
  <c r="A58" i="9"/>
  <c r="G23" i="9"/>
  <c r="C24" i="9"/>
  <c r="A8" i="9"/>
  <c r="F84" i="9"/>
  <c r="H77" i="9"/>
  <c r="A39" i="9"/>
  <c r="D27" i="9"/>
  <c r="A98" i="9"/>
  <c r="B53" i="9"/>
  <c r="F80" i="9"/>
  <c r="H83" i="9"/>
  <c r="D4" i="9"/>
  <c r="H75" i="9"/>
  <c r="A81" i="9"/>
  <c r="A67" i="9"/>
  <c r="D98" i="9"/>
  <c r="B61" i="9"/>
  <c r="D55" i="9"/>
  <c r="I66" i="9"/>
  <c r="F57" i="9"/>
  <c r="D58" i="9"/>
  <c r="H17" i="9"/>
  <c r="C88" i="9"/>
  <c r="C48" i="9"/>
  <c r="A88" i="9"/>
  <c r="C70" i="9"/>
  <c r="H5" i="9"/>
  <c r="C92" i="9"/>
  <c r="G64" i="9"/>
  <c r="H39" i="9"/>
  <c r="C79" i="9"/>
  <c r="H36" i="9"/>
  <c r="G99" i="9"/>
  <c r="G57" i="9"/>
  <c r="C31" i="9"/>
  <c r="G41" i="9"/>
  <c r="E93" i="9"/>
  <c r="I75" i="9"/>
  <c r="A24" i="9"/>
  <c r="I16" i="9"/>
  <c r="B52" i="9"/>
  <c r="A33" i="9"/>
  <c r="E70" i="9"/>
  <c r="C53" i="9"/>
  <c r="G82" i="9"/>
  <c r="E20" i="9"/>
  <c r="B11" i="9"/>
  <c r="B5" i="9"/>
  <c r="F73" i="9"/>
  <c r="I48" i="9"/>
  <c r="E35" i="9"/>
  <c r="H67" i="9"/>
  <c r="G80" i="9"/>
  <c r="D75" i="9"/>
  <c r="I32" i="9"/>
  <c r="D14" i="9"/>
  <c r="E87" i="9"/>
  <c r="B41" i="9"/>
  <c r="E3" i="9"/>
  <c r="B9" i="9"/>
  <c r="F17" i="9"/>
  <c r="G24" i="9"/>
  <c r="F94" i="9"/>
  <c r="D31" i="9"/>
  <c r="F67" i="9"/>
  <c r="H58" i="9"/>
  <c r="E50" i="9"/>
  <c r="D7" i="9"/>
  <c r="G12" i="9"/>
  <c r="F38" i="9"/>
  <c r="I31" i="9"/>
  <c r="G62" i="9"/>
  <c r="E44" i="9"/>
  <c r="E88" i="9"/>
  <c r="B7" i="9"/>
  <c r="G42" i="9"/>
  <c r="D43" i="9"/>
  <c r="D37" i="9"/>
  <c r="E30" i="9"/>
  <c r="C62" i="9"/>
  <c r="D72" i="9"/>
  <c r="C18" i="9"/>
  <c r="C73" i="9"/>
  <c r="D6" i="9"/>
  <c r="E52" i="9"/>
  <c r="H42" i="9"/>
  <c r="C14" i="9"/>
  <c r="H98" i="9"/>
  <c r="D29" i="9"/>
  <c r="F58" i="9"/>
  <c r="H6" i="9"/>
  <c r="H89" i="9"/>
  <c r="I15" i="9"/>
  <c r="A17" i="9"/>
  <c r="D93" i="9"/>
  <c r="F95" i="9"/>
  <c r="A9" i="9"/>
  <c r="D26" i="9"/>
  <c r="B69" i="9"/>
  <c r="H18" i="9"/>
  <c r="B21" i="9"/>
  <c r="B4" i="9"/>
  <c r="D36" i="9"/>
  <c r="H43" i="9"/>
  <c r="I64" i="9"/>
  <c r="A42" i="9"/>
  <c r="I10" i="9"/>
  <c r="C26" i="9"/>
  <c r="E36" i="9"/>
  <c r="E62" i="9"/>
  <c r="G88" i="9"/>
  <c r="F82" i="9"/>
  <c r="D80" i="9"/>
  <c r="E67" i="9"/>
  <c r="C15" i="9"/>
  <c r="C77" i="9"/>
  <c r="E80" i="9"/>
  <c r="D56" i="9"/>
  <c r="B75" i="9"/>
  <c r="I36" i="9"/>
  <c r="H14" i="9"/>
  <c r="H95" i="9"/>
  <c r="H23" i="9"/>
  <c r="G65" i="9"/>
  <c r="C54" i="9"/>
  <c r="I69" i="9"/>
  <c r="C16" i="9"/>
  <c r="A38" i="9"/>
  <c r="A77" i="9"/>
  <c r="C96" i="9"/>
  <c r="E81" i="9"/>
  <c r="C65" i="9"/>
  <c r="E49" i="9"/>
  <c r="F18" i="9"/>
  <c r="E92" i="9"/>
  <c r="H16" i="9"/>
  <c r="G49" i="9"/>
  <c r="A63" i="9"/>
  <c r="G25" i="9"/>
  <c r="C82" i="9"/>
  <c r="I63" i="9"/>
  <c r="F79" i="9"/>
  <c r="C99" i="9"/>
  <c r="E34" i="9"/>
  <c r="H60" i="9"/>
  <c r="C13" i="9"/>
  <c r="I60" i="9"/>
  <c r="D21" i="9"/>
  <c r="C34" i="9"/>
  <c r="I26" i="9"/>
  <c r="E7" i="9"/>
  <c r="G98" i="9"/>
  <c r="G13" i="9"/>
  <c r="D65" i="9"/>
  <c r="G91" i="9"/>
  <c r="F61" i="9"/>
  <c r="C11" i="9"/>
  <c r="C39" i="9"/>
  <c r="I13" i="9"/>
  <c r="H34" i="9"/>
  <c r="I54" i="9"/>
  <c r="H51" i="9"/>
  <c r="F10" i="9"/>
  <c r="E14" i="9"/>
  <c r="E13" i="9"/>
  <c r="E11" i="9"/>
  <c r="E9" i="9"/>
  <c r="E5" i="9"/>
  <c r="E12" i="9"/>
  <c r="E10" i="9"/>
  <c r="E8" i="9"/>
  <c r="E6" i="9"/>
  <c r="E4" i="9"/>
  <c r="E2" i="9"/>
  <c r="E8" i="8"/>
  <c r="E7" i="8"/>
  <c r="E6" i="8"/>
  <c r="E5" i="8"/>
  <c r="E4" i="8"/>
  <c r="E3" i="8"/>
  <c r="C39" i="7"/>
  <c r="C30" i="7"/>
  <c r="C35" i="7"/>
  <c r="C31" i="7"/>
  <c r="B38" i="7"/>
  <c r="B36" i="7"/>
  <c r="B29" i="7"/>
  <c r="B33" i="7"/>
  <c r="B30" i="7"/>
  <c r="C36" i="7"/>
  <c r="C33" i="7"/>
  <c r="B37" i="7"/>
  <c r="B34" i="7"/>
  <c r="B31" i="7"/>
  <c r="C38" i="7"/>
  <c r="C37" i="7"/>
  <c r="C34" i="7"/>
  <c r="B39" i="7"/>
  <c r="B32" i="7"/>
  <c r="C32" i="7"/>
  <c r="C29" i="7"/>
  <c r="B35" i="7"/>
  <c r="I9" i="9"/>
  <c r="I8" i="9"/>
  <c r="I7" i="9"/>
  <c r="I6" i="9"/>
  <c r="I5" i="9"/>
  <c r="I4" i="9"/>
  <c r="I3" i="9"/>
  <c r="I2" i="9"/>
  <c r="B25" i="7"/>
  <c r="B28" i="7"/>
  <c r="B26" i="7"/>
  <c r="C28" i="7"/>
  <c r="C25" i="7"/>
  <c r="B27" i="7"/>
  <c r="C26" i="7"/>
  <c r="C27" i="7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<sst xmlns="http://schemas.openxmlformats.org/spreadsheetml/2006/main" count="243" uniqueCount="173">
  <si>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</si>
  <si>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</si>
  <si>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</si>
  <si>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</si>
  <si>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</si>
  <si>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</si>
  <si>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</si>
  <si>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</si>
  <si>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</si>
  <si>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</si>
  <si>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</si>
  <si>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</si>
  <si>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</si>
  <si>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</si>
  <si>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</si>
  <si>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</si>
  <si>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</si>
  <si>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</si>
  <si>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</si>
  <si>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</si>
  <si>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</si>
  <si>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</si>
  <si>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</si>
  <si>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</si>
  <si>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</si>
  <si>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</si>
  <si>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</si>
  <si>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</si>
  <si>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</si>
  <si>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</si>
  <si>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</si>
  <si>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</si>
  <si>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</si>
  <si>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</si>
  <si>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</si>
  <si>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</si>
  <si>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</si>
  <si>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</si>
  <si>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</si>
  <si>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</si>
  <si>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</si>
  <si>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</si>
  <si>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</si>
  <si>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</si>
  <si>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</si>
  <si>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</si>
  <si>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</si>
  <si>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</si>
  <si>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</si>
  <si>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</si>
  <si>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</si>
  <si>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</si>
  <si>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</si>
  <si>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</si>
  <si>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</si>
  <si>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</si>
  <si>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</si>
  <si>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</si>
  <si>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</si>
  <si>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</si>
  <si>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</si>
  <si>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</si>
  <si>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</si>
  <si>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</si>
  <si>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</si>
  <si>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</si>
  <si>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</si>
  <si>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</si>
  <si>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</si>
  <si>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</si>
  <si>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</si>
  <si>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</si>
  <si>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</si>
  <si>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</si>
  <si>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</si>
  <si>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</si>
  <si>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</si>
  <si>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</si>
  <si>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</si>
  <si>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</si>
  <si>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</si>
  <si>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</si>
  <si>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</si>
  <si>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</si>
  <si>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</si>
  <si>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</si>
  <si>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</si>
  <si>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</si>
  <si>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</si>
  <si>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</si>
  <si>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</si>
  <si>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</si>
  <si>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</si>
  <si>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</si>
  <si>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</si>
  <si>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</si>
  <si>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</si>
  <si>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</si>
  <si>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</si>
  <si>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</si>
  <si>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</si>
  <si>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</si>
  <si>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</si>
  <si>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</si>
  <si>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</si>
  <si>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</si>
  <si>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</si>
  <si>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</si>
  <si>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</si>
  <si>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</si>
  <si>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</si>
  <si>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</si>
  <si>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</si>
  <si>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</si>
  <si>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</si>
  <si>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</si>
  <si>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</si>
  <si>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</si>
  <si>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</si>
  <si>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</si>
  <si>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</si>
  <si>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</si>
  <si>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</si>
  <si>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</si>
  <si>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</si>
  <si>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</si>
  <si>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</si>
  <si>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</si>
  <si>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</si>
  <si>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</si>
  <si>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</si>
  <si>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</si>
  <si>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</si>
  <si>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</si>
  <si>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</si>
  <si>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</si>
  <si>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</si>
  <si>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</si>
  <si>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</si>
  <si>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</si>
  <si>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</si>
  <si>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</si>
  <si>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</si>
  <si>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</si>
  <si>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</si>
  <si>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</si>
  <si>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</si>
  <si>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</si>
  <si>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</si>
  <si>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</si>
  <si>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</si>
  <si>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</si>
  <si>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</si>
  <si>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</si>
  <si>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</si>
  <si>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</si>
  <si>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</si>
  <si>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</si>
  <si>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</si>
  <si>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</si>
  <si>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</si>
  <si>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</si>
  <si>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</si>
  <si>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</si>
  <si>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</si>
  <si>
    <t>[ffed00]sta limit[-][546ef2]+4[-]</t>
  </si>
  <si>
    <t>增加耐力上限4點</t>
  </si>
  <si>
    <t>[ffed00]sta limit[-][546ef2]+8[-]</t>
  </si>
  <si>
    <t>增加耐力上限8點</t>
  </si>
  <si>
    <t>[ffed00]sta limit[-][e92121]-4[-]</t>
  </si>
  <si>
    <t>減少耐力上限4點</t>
  </si>
  <si>
    <t>[ffed00]sta limit[-][e92121]-8[-]</t>
  </si>
  <si>
    <t>減少耐力上限8點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</si>
</sst>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2" sqref="B12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34" sqref="C3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141</v>
      </c>
      <c r="C20" s="21" t="s">
        <v>99</v>
      </c>
    </row>
    <row r="21" spans="1:3" x14ac:dyDescent="0.25">
      <c r="A21" s="3">
        <v>2010</v>
      </c>
      <c r="B21" s="3" t="s">
        <v>142</v>
      </c>
      <c r="C21" s="21" t="s">
        <v>100</v>
      </c>
    </row>
    <row r="22" spans="1:3" x14ac:dyDescent="0.25">
      <c r="A22" s="3">
        <v>2011</v>
      </c>
      <c r="B22" s="3" t="s">
        <v>143</v>
      </c>
      <c r="C22" s="21" t="s">
        <v>101</v>
      </c>
    </row>
    <row r="23" spans="1:3" x14ac:dyDescent="0.25">
      <c r="A23" s="3">
        <v>2012</v>
      </c>
      <c r="B23" s="3" t="s">
        <v>144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165</v>
      </c>
      <c r="C25" s="21" t="s">
        <v>166</v>
      </c>
    </row>
    <row r="26" spans="1:3" x14ac:dyDescent="0.25">
      <c r="A26" s="3">
        <v>3002</v>
      </c>
      <c r="B26" s="3" t="s">
        <v>167</v>
      </c>
      <c r="C26" s="21" t="s">
        <v>168</v>
      </c>
    </row>
    <row r="27" spans="1:3" x14ac:dyDescent="0.25">
      <c r="A27" s="3">
        <v>3003</v>
      </c>
      <c r="B27" s="3" t="s">
        <v>169</v>
      </c>
      <c r="C27" s="21" t="s">
        <v>170</v>
      </c>
    </row>
    <row r="28" spans="1:3" x14ac:dyDescent="0.25">
      <c r="A28" s="3">
        <v>3004</v>
      </c>
      <c r="B28" s="3" t="s">
        <v>171</v>
      </c>
      <c r="C28" s="21" t="s">
        <v>172</v>
      </c>
    </row>
    <row r="29" spans="1:3" x14ac:dyDescent="0.25">
      <c r="A29" s="3">
        <v>3005</v>
      </c>
      <c r="B29" s="3" t="s">
        <v>152</v>
      </c>
      <c r="C29" s="21" t="s">
        <v>154</v>
      </c>
    </row>
    <row r="30" spans="1:3" x14ac:dyDescent="0.25">
      <c r="A30" s="3">
        <v>3006</v>
      </c>
      <c r="B30" s="3" t="s">
        <v>155</v>
      </c>
      <c r="C30" s="21" t="s">
        <v>156</v>
      </c>
    </row>
    <row r="31" spans="1:3" x14ac:dyDescent="0.25">
      <c r="A31" s="3">
        <v>3007</v>
      </c>
      <c r="B31" s="3" t="s">
        <v>153</v>
      </c>
      <c r="C31" s="21" t="s">
        <v>157</v>
      </c>
    </row>
    <row r="32" spans="1:3" x14ac:dyDescent="0.25">
      <c r="A32" s="3">
        <v>3008</v>
      </c>
      <c r="B32" s="3" t="s">
        <v>158</v>
      </c>
      <c r="C32" s="21" t="s">
        <v>159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148</v>
      </c>
      <c r="C35" s="21" t="s">
        <v>160</v>
      </c>
    </row>
    <row r="36" spans="1:3" x14ac:dyDescent="0.25">
      <c r="A36" s="3">
        <v>3012</v>
      </c>
      <c r="B36" s="3" t="s">
        <v>149</v>
      </c>
      <c r="C36" s="21" t="s">
        <v>161</v>
      </c>
    </row>
    <row r="37" spans="1:3" x14ac:dyDescent="0.25">
      <c r="A37" s="3">
        <v>3013</v>
      </c>
      <c r="B37" s="3" t="s">
        <v>150</v>
      </c>
      <c r="C37" s="21" t="s">
        <v>162</v>
      </c>
    </row>
    <row r="38" spans="1:3" x14ac:dyDescent="0.25">
      <c r="A38" s="3">
        <v>3014</v>
      </c>
      <c r="B38" s="3" t="s">
        <v>151</v>
      </c>
      <c r="C38" s="21" t="s">
        <v>163</v>
      </c>
    </row>
    <row r="39" spans="1:3" x14ac:dyDescent="0.25">
      <c r="A39" s="3">
        <v>3015</v>
      </c>
      <c r="B39" s="3" t="s">
        <v>147</v>
      </c>
      <c r="C39" s="21" t="s">
        <v>164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G1" workbookViewId="0">
      <pane ySplit="1" topLeftCell="A2" activePane="bottomLeft" state="frozen"/>
      <selection pane="bottomLeft" activeCell="N8" sqref="N8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12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25</v>
      </c>
      <c r="P3" s="16">
        <f>IF(裝備!N3&gt;0,裝備!O3/裝備!N3,0)</f>
        <v>8.3333333333333339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10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25</v>
      </c>
      <c r="P4" s="16">
        <f>IF(裝備!N4&gt;0,裝備!O4/裝備!N4,0)</f>
        <v>6.9444444444444446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8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25</v>
      </c>
      <c r="P5" s="16">
        <f>IF(裝備!N5&gt;0,裝備!O5/裝備!N5,0)</f>
        <v>5.7870370370370363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10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25</v>
      </c>
      <c r="P6" s="16">
        <f>IF(裝備!N6&gt;0,裝備!O6/裝備!N6,0)</f>
        <v>5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8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25</v>
      </c>
      <c r="P7" s="16">
        <f>IF(裝備!N7&gt;0,裝備!O7/裝備!N7,0)</f>
        <v>4.166666666666667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6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25</v>
      </c>
      <c r="P8" s="16">
        <f>IF(裝備!N8&gt;0,裝備!O8/裝備!N8,0)</f>
        <v>3.125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25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25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25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25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25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25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25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25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25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25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25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25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25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25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25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25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25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25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25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25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25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25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25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25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25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25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25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25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25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25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25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25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25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25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25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25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25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25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25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25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25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25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25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25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25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25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25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25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25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25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25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25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25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25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25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25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25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25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25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25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25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25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25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25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25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25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25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25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25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25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25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25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25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25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25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25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25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25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25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25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25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25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25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25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25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25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25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25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25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25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25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25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M100"/>
  <sheetViews>
    <sheetView topLeftCell="C1" workbookViewId="0">
      <pane ySplit="1" topLeftCell="A2" activePane="bottomLeft" state="frozen"/>
      <selection pane="bottomLeft" activeCell="I2" sqref="I2:I6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21" customWidth="1"/>
    <col min="13" max="13" width="9" style="16"/>
    <col min="14" max="16384" width="9" style="3"/>
  </cols>
  <sheetData>
    <row r="1" spans="1:13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139</v>
      </c>
      <c r="L1" s="20" t="s">
        <v>35</v>
      </c>
      <c r="M1" s="15" t="s">
        <v>98</v>
      </c>
    </row>
    <row r="2" spans="1:13" x14ac:dyDescent="0.25">
      <c r="A2" s="3">
        <v>1</v>
      </c>
      <c r="B2" s="3">
        <v>2001</v>
      </c>
      <c r="C2" s="3" t="s">
        <v>120</v>
      </c>
      <c r="D2" s="3">
        <v>1</v>
      </c>
      <c r="E2" s="3">
        <v>3</v>
      </c>
      <c r="F2" s="3">
        <v>1</v>
      </c>
      <c r="G2" s="3">
        <v>0</v>
      </c>
      <c r="H2" s="3">
        <v>0</v>
      </c>
      <c r="I2" s="3">
        <v>4</v>
      </c>
      <c r="J2" s="30">
        <v>3001</v>
      </c>
      <c r="L2" s="21" t="s">
        <v>90</v>
      </c>
      <c r="M2" s="16">
        <f>IF(特性!H2&gt;0,(特性!I2 * 特性!G2) / 特性!H2,0)</f>
        <v>0</v>
      </c>
    </row>
    <row r="3" spans="1:13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8</v>
      </c>
      <c r="J3" s="30">
        <v>3002</v>
      </c>
      <c r="L3" s="21" t="s">
        <v>91</v>
      </c>
      <c r="M3" s="16">
        <f>IF(特性!H3&gt;0,(特性!I3 * 特性!G3) / 特性!H3,0)</f>
        <v>0</v>
      </c>
    </row>
    <row r="4" spans="1:13" x14ac:dyDescent="0.25">
      <c r="A4" s="3">
        <v>3</v>
      </c>
      <c r="B4" s="3">
        <v>2003</v>
      </c>
      <c r="C4" s="3" t="s">
        <v>120</v>
      </c>
      <c r="D4" s="3">
        <v>1</v>
      </c>
      <c r="E4" s="3">
        <v>3</v>
      </c>
      <c r="F4" s="3">
        <v>2</v>
      </c>
      <c r="G4" s="3">
        <v>0</v>
      </c>
      <c r="H4" s="3">
        <v>0</v>
      </c>
      <c r="I4" s="3">
        <v>-4</v>
      </c>
      <c r="J4" s="30">
        <v>3003</v>
      </c>
      <c r="L4" s="21" t="s">
        <v>92</v>
      </c>
      <c r="M4" s="16">
        <f>IF(特性!H4&gt;0,(特性!I4 * 特性!G4) / 特性!H4,0)</f>
        <v>0</v>
      </c>
    </row>
    <row r="5" spans="1:13" x14ac:dyDescent="0.25">
      <c r="A5" s="3">
        <v>4</v>
      </c>
      <c r="B5" s="3">
        <v>2004</v>
      </c>
      <c r="C5" s="3" t="s">
        <v>120</v>
      </c>
      <c r="D5" s="3">
        <v>1</v>
      </c>
      <c r="E5" s="3">
        <v>3</v>
      </c>
      <c r="F5" s="3">
        <v>2</v>
      </c>
      <c r="G5" s="3">
        <v>0</v>
      </c>
      <c r="H5" s="3">
        <v>0</v>
      </c>
      <c r="I5" s="3">
        <v>-8</v>
      </c>
      <c r="J5" s="30">
        <v>3004</v>
      </c>
      <c r="L5" s="21" t="s">
        <v>93</v>
      </c>
      <c r="M5" s="16">
        <f>IF(特性!H5&gt;0,(特性!I5 * 特性!G5) / 特性!H5,0)</f>
        <v>0</v>
      </c>
    </row>
    <row r="6" spans="1:13" x14ac:dyDescent="0.25">
      <c r="A6" s="3">
        <v>5</v>
      </c>
      <c r="B6" s="3">
        <v>2005</v>
      </c>
      <c r="C6" s="3" t="s">
        <v>121</v>
      </c>
      <c r="D6" s="3">
        <v>1</v>
      </c>
      <c r="E6" s="3">
        <v>3</v>
      </c>
      <c r="F6" s="3">
        <v>3</v>
      </c>
      <c r="G6" s="3">
        <v>0</v>
      </c>
      <c r="H6" s="3">
        <v>0</v>
      </c>
      <c r="I6" s="3">
        <v>2</v>
      </c>
      <c r="J6" s="30">
        <v>3005</v>
      </c>
      <c r="L6" s="21" t="s">
        <v>94</v>
      </c>
      <c r="M6" s="16">
        <f>IF(特性!H6&gt;0,(特性!I6 * 特性!G6) / 特性!H6,0)</f>
        <v>0</v>
      </c>
    </row>
    <row r="7" spans="1:13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3</v>
      </c>
      <c r="J7" s="30">
        <v>3006</v>
      </c>
      <c r="L7" s="21" t="s">
        <v>95</v>
      </c>
      <c r="M7" s="16">
        <f>IF(特性!H7&gt;0,(特性!I7 * 特性!G7) / 特性!H7,0)</f>
        <v>0</v>
      </c>
    </row>
    <row r="8" spans="1:13" x14ac:dyDescent="0.25">
      <c r="A8" s="3">
        <v>7</v>
      </c>
      <c r="B8" s="3">
        <v>2007</v>
      </c>
      <c r="C8" s="3" t="s">
        <v>121</v>
      </c>
      <c r="D8" s="3">
        <v>1</v>
      </c>
      <c r="E8" s="3">
        <v>3</v>
      </c>
      <c r="F8" s="3">
        <v>3</v>
      </c>
      <c r="G8" s="3">
        <v>0</v>
      </c>
      <c r="H8" s="3">
        <v>0</v>
      </c>
      <c r="I8" s="3">
        <v>-2</v>
      </c>
      <c r="J8" s="30">
        <v>3007</v>
      </c>
      <c r="L8" s="21" t="s">
        <v>96</v>
      </c>
      <c r="M8" s="16">
        <f>IF(特性!H8&gt;0,(特性!I8 * 特性!G8) / 特性!H8,0)</f>
        <v>0</v>
      </c>
    </row>
    <row r="9" spans="1:13" x14ac:dyDescent="0.25">
      <c r="A9" s="3">
        <v>8</v>
      </c>
      <c r="B9" s="3">
        <v>2008</v>
      </c>
      <c r="C9" s="3" t="s">
        <v>121</v>
      </c>
      <c r="D9" s="3">
        <v>1</v>
      </c>
      <c r="E9" s="3">
        <v>3</v>
      </c>
      <c r="F9" s="3">
        <v>3</v>
      </c>
      <c r="G9" s="3">
        <v>0</v>
      </c>
      <c r="H9" s="3">
        <v>0</v>
      </c>
      <c r="I9" s="3">
        <v>-3</v>
      </c>
      <c r="J9" s="30">
        <v>3008</v>
      </c>
      <c r="L9" s="21" t="s">
        <v>97</v>
      </c>
      <c r="M9" s="16">
        <f>IF(特性!H9&gt;0,(特性!I9 * 特性!G9) / 特性!H9,0)</f>
        <v>0</v>
      </c>
    </row>
    <row r="10" spans="1:13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3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16">
        <f>IF(特性!H10&gt;0,(特性!I10 * 特性!G10) / 特性!H10,0)</f>
        <v>0</v>
      </c>
    </row>
    <row r="11" spans="1:13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3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16">
        <f>IF(特性!H11&gt;0,(特性!I11 * 特性!G11) / 特性!H11,0)</f>
        <v>0</v>
      </c>
    </row>
    <row r="12" spans="1:13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16">
        <f>IF(特性!H12&gt;0,(特性!I12 * 特性!G12) / 特性!H12,0)</f>
        <v>0</v>
      </c>
    </row>
    <row r="13" spans="1:13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3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16">
        <f>IF(特性!H13&gt;0,(特性!I13 * 特性!G13) / 特性!H13,0)</f>
        <v>0</v>
      </c>
    </row>
    <row r="14" spans="1:13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3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16">
        <f>IF(特性!H14&gt;0,(特性!I14 * 特性!G14) / 特性!H14,0)</f>
        <v>0</v>
      </c>
    </row>
    <row r="15" spans="1:13" x14ac:dyDescent="0.25">
      <c r="I15" s="17"/>
      <c r="J15" s="30"/>
      <c r="M15" s="16">
        <f>IF(特性!H15&gt;0,(特性!I15 * 特性!G15) / 特性!H15,0)</f>
        <v>0</v>
      </c>
    </row>
    <row r="16" spans="1:13" x14ac:dyDescent="0.25">
      <c r="I16" s="17"/>
      <c r="J16" s="30"/>
      <c r="M16" s="16">
        <f>IF(特性!H16&gt;0,(特性!I16 * 特性!G16) / 特性!H16,0)</f>
        <v>0</v>
      </c>
    </row>
    <row r="17" spans="9:13" x14ac:dyDescent="0.25">
      <c r="M17" s="16">
        <f>IF(特性!H17&gt;0,(特性!I17 * 特性!G17) / 特性!H17,0)</f>
        <v>0</v>
      </c>
    </row>
    <row r="18" spans="9:13" x14ac:dyDescent="0.25">
      <c r="M18" s="16">
        <f>IF(特性!H18&gt;0,(特性!I18 * 特性!G18) / 特性!H18,0)</f>
        <v>0</v>
      </c>
    </row>
    <row r="19" spans="9:13" x14ac:dyDescent="0.25">
      <c r="M19" s="16">
        <f>IF(特性!H19&gt;0,(特性!I19 * 特性!G19) / 特性!H19,0)</f>
        <v>0</v>
      </c>
    </row>
    <row r="20" spans="9:13" x14ac:dyDescent="0.25">
      <c r="M20" s="16">
        <f>IF(特性!H20&gt;0,(特性!I20 * 特性!G20) / 特性!H20,0)</f>
        <v>0</v>
      </c>
    </row>
    <row r="21" spans="9:13" x14ac:dyDescent="0.25">
      <c r="M21" s="16">
        <f>IF(特性!H21&gt;0,(特性!I21 * 特性!G21) / 特性!H21,0)</f>
        <v>0</v>
      </c>
    </row>
    <row r="22" spans="9:13" x14ac:dyDescent="0.25">
      <c r="M22" s="16">
        <f>IF(特性!H22&gt;0,(特性!I22 * 特性!G22) / 特性!H22,0)</f>
        <v>0</v>
      </c>
    </row>
    <row r="23" spans="9:13" x14ac:dyDescent="0.25">
      <c r="M23" s="16">
        <f>IF(特性!H23&gt;0,(特性!I23 * 特性!G23) / 特性!H23,0)</f>
        <v>0</v>
      </c>
    </row>
    <row r="24" spans="9:13" x14ac:dyDescent="0.25">
      <c r="I24" s="17"/>
      <c r="M24" s="16">
        <f>IF(特性!H24&gt;0,(特性!I24 * 特性!G24) / 特性!H24,0)</f>
        <v>0</v>
      </c>
    </row>
    <row r="25" spans="9:13" x14ac:dyDescent="0.25">
      <c r="I25" s="17"/>
      <c r="M25" s="16">
        <f>IF(特性!H25&gt;0,(特性!I25 * 特性!G25) / 特性!H25,0)</f>
        <v>0</v>
      </c>
    </row>
    <row r="26" spans="9:13" x14ac:dyDescent="0.25">
      <c r="I26" s="17"/>
      <c r="M26" s="16">
        <f>IF(特性!H26&gt;0,(特性!I26 * 特性!G26) / 特性!H26,0)</f>
        <v>0</v>
      </c>
    </row>
    <row r="27" spans="9:13" x14ac:dyDescent="0.25">
      <c r="I27" s="17"/>
      <c r="M27" s="16">
        <f>IF(特性!H27&gt;0,(特性!I27 * 特性!G27) / 特性!H27,0)</f>
        <v>0</v>
      </c>
    </row>
    <row r="28" spans="9:13" x14ac:dyDescent="0.25">
      <c r="I28" s="17"/>
      <c r="M28" s="16">
        <f>IF(特性!H28&gt;0,(特性!I28 * 特性!G28) / 特性!H28,0)</f>
        <v>0</v>
      </c>
    </row>
    <row r="29" spans="9:13" x14ac:dyDescent="0.25">
      <c r="I29" s="17"/>
      <c r="M29" s="16">
        <f>IF(特性!H29&gt;0,(特性!I29 * 特性!G29) / 特性!H29,0)</f>
        <v>0</v>
      </c>
    </row>
    <row r="30" spans="9:13" x14ac:dyDescent="0.25">
      <c r="I30" s="17"/>
      <c r="M30" s="16">
        <f>IF(特性!H30&gt;0,(特性!I30 * 特性!G30) / 特性!H30,0)</f>
        <v>0</v>
      </c>
    </row>
    <row r="31" spans="9:13" x14ac:dyDescent="0.25">
      <c r="I31" s="17"/>
      <c r="M31" s="16">
        <f>IF(特性!H31&gt;0,(特性!I31 * 特性!G31) / 特性!H31,0)</f>
        <v>0</v>
      </c>
    </row>
    <row r="32" spans="9:13" x14ac:dyDescent="0.25">
      <c r="I32" s="17"/>
      <c r="M32" s="16">
        <f>IF(特性!H32&gt;0,(特性!I32 * 特性!G32) / 特性!H32,0)</f>
        <v>0</v>
      </c>
    </row>
    <row r="33" spans="1:13" x14ac:dyDescent="0.25">
      <c r="I33" s="17"/>
      <c r="M33" s="16">
        <f>IF(特性!H33&gt;0,(特性!I33 * 特性!G33) / 特性!H33,0)</f>
        <v>0</v>
      </c>
    </row>
    <row r="34" spans="1:13" x14ac:dyDescent="0.25">
      <c r="A34" s="22"/>
      <c r="I34" s="17"/>
      <c r="M34" s="16">
        <f>IF(特性!H34&gt;0,(特性!I34 * 特性!G34) / 特性!H34,0)</f>
        <v>0</v>
      </c>
    </row>
    <row r="35" spans="1:13" x14ac:dyDescent="0.25">
      <c r="A35" s="22"/>
      <c r="I35" s="17"/>
      <c r="M35" s="16">
        <f>IF(特性!H35&gt;0,(特性!I35 * 特性!G35) / 特性!H35,0)</f>
        <v>0</v>
      </c>
    </row>
    <row r="36" spans="1:13" x14ac:dyDescent="0.25">
      <c r="A36" s="22"/>
      <c r="I36" s="17"/>
      <c r="M36" s="16">
        <f>IF(特性!H36&gt;0,(特性!I36 * 特性!G36) / 特性!H36,0)</f>
        <v>0</v>
      </c>
    </row>
    <row r="37" spans="1:13" x14ac:dyDescent="0.25">
      <c r="A37" s="22"/>
      <c r="I37" s="17"/>
      <c r="M37" s="16">
        <f>IF(特性!H37&gt;0,(特性!I37 * 特性!G37) / 特性!H37,0)</f>
        <v>0</v>
      </c>
    </row>
    <row r="38" spans="1:13" x14ac:dyDescent="0.25">
      <c r="A38" s="22"/>
      <c r="I38" s="17"/>
      <c r="M38" s="16">
        <f>IF(特性!H38&gt;0,(特性!I38 * 特性!G38) / 特性!H38,0)</f>
        <v>0</v>
      </c>
    </row>
    <row r="39" spans="1:13" x14ac:dyDescent="0.25">
      <c r="A39" s="22"/>
      <c r="I39" s="17"/>
      <c r="M39" s="16">
        <f>IF(特性!H39&gt;0,(特性!I39 * 特性!G39) / 特性!H39,0)</f>
        <v>0</v>
      </c>
    </row>
    <row r="40" spans="1:13" x14ac:dyDescent="0.25">
      <c r="A40" s="22"/>
      <c r="I40" s="17"/>
      <c r="M40" s="16">
        <f>IF(特性!H40&gt;0,(特性!I40 * 特性!G40) / 特性!H40,0)</f>
        <v>0</v>
      </c>
    </row>
    <row r="41" spans="1:13" x14ac:dyDescent="0.25">
      <c r="A41" s="22"/>
      <c r="I41" s="17"/>
      <c r="M41" s="16">
        <f>IF(特性!H41&gt;0,(特性!I41 * 特性!G41) / 特性!H41,0)</f>
        <v>0</v>
      </c>
    </row>
    <row r="42" spans="1:13" x14ac:dyDescent="0.25">
      <c r="A42" s="22"/>
      <c r="I42" s="17"/>
      <c r="M42" s="16">
        <f>IF(特性!H42&gt;0,(特性!I42 * 特性!G42) / 特性!H42,0)</f>
        <v>0</v>
      </c>
    </row>
    <row r="43" spans="1:13" x14ac:dyDescent="0.25">
      <c r="A43" s="22"/>
      <c r="I43" s="17"/>
      <c r="M43" s="16">
        <f>IF(特性!H43&gt;0,(特性!I43 * 特性!G43) / 特性!H43,0)</f>
        <v>0</v>
      </c>
    </row>
    <row r="44" spans="1:13" x14ac:dyDescent="0.25">
      <c r="A44" s="22"/>
      <c r="I44" s="17"/>
      <c r="M44" s="16">
        <f>IF(特性!H44&gt;0,(特性!I44 * 特性!G44) / 特性!H44,0)</f>
        <v>0</v>
      </c>
    </row>
    <row r="45" spans="1:13" x14ac:dyDescent="0.25">
      <c r="A45" s="22"/>
      <c r="I45" s="17"/>
      <c r="M45" s="16">
        <f>IF(特性!H45&gt;0,(特性!I45 * 特性!G45) / 特性!H45,0)</f>
        <v>0</v>
      </c>
    </row>
    <row r="46" spans="1:13" x14ac:dyDescent="0.25">
      <c r="A46" s="22"/>
      <c r="I46" s="17"/>
      <c r="M46" s="16">
        <f>IF(特性!H46&gt;0,(特性!I46 * 特性!G46) / 特性!H46,0)</f>
        <v>0</v>
      </c>
    </row>
    <row r="47" spans="1:13" x14ac:dyDescent="0.25">
      <c r="A47" s="22"/>
      <c r="I47" s="17"/>
      <c r="M47" s="16">
        <f>IF(特性!H47&gt;0,(特性!I47 * 特性!G47) / 特性!H47,0)</f>
        <v>0</v>
      </c>
    </row>
    <row r="48" spans="1:13" x14ac:dyDescent="0.25">
      <c r="A48" s="22"/>
      <c r="I48" s="17"/>
      <c r="M48" s="16">
        <f>IF(特性!H48&gt;0,(特性!I48 * 特性!G48) / 特性!H48,0)</f>
        <v>0</v>
      </c>
    </row>
    <row r="49" spans="1:13" x14ac:dyDescent="0.25">
      <c r="A49" s="22"/>
      <c r="I49" s="17"/>
      <c r="M49" s="16">
        <f>IF(特性!H49&gt;0,(特性!I49 * 特性!G49) / 特性!H49,0)</f>
        <v>0</v>
      </c>
    </row>
    <row r="50" spans="1:13" x14ac:dyDescent="0.25">
      <c r="A50" s="22"/>
      <c r="I50" s="17"/>
      <c r="M50" s="16">
        <f>IF(特性!H50&gt;0,(特性!I50 * 特性!G50) / 特性!H50,0)</f>
        <v>0</v>
      </c>
    </row>
    <row r="51" spans="1:13" x14ac:dyDescent="0.25">
      <c r="A51" s="22"/>
      <c r="I51" s="17"/>
      <c r="M51" s="16">
        <f>IF(特性!H51&gt;0,(特性!I51 * 特性!G51) / 特性!H51,0)</f>
        <v>0</v>
      </c>
    </row>
    <row r="52" spans="1:13" x14ac:dyDescent="0.25">
      <c r="A52" s="22"/>
      <c r="I52" s="17"/>
      <c r="M52" s="16">
        <f>IF(特性!H52&gt;0,(特性!I52 * 特性!G52) / 特性!H52,0)</f>
        <v>0</v>
      </c>
    </row>
    <row r="53" spans="1:13" x14ac:dyDescent="0.25">
      <c r="A53" s="22"/>
      <c r="I53" s="17"/>
      <c r="M53" s="16">
        <f>IF(特性!H53&gt;0,(特性!I53 * 特性!G53) / 特性!H53,0)</f>
        <v>0</v>
      </c>
    </row>
    <row r="54" spans="1:13" x14ac:dyDescent="0.25">
      <c r="A54" s="22"/>
      <c r="I54" s="17"/>
      <c r="M54" s="16">
        <f>IF(特性!H54&gt;0,(特性!I54 * 特性!G54) / 特性!H54,0)</f>
        <v>0</v>
      </c>
    </row>
    <row r="55" spans="1:13" x14ac:dyDescent="0.25">
      <c r="A55" s="22"/>
      <c r="I55" s="17"/>
      <c r="M55" s="16">
        <f>IF(特性!H55&gt;0,(特性!I55 * 特性!G55) / 特性!H55,0)</f>
        <v>0</v>
      </c>
    </row>
    <row r="56" spans="1:13" x14ac:dyDescent="0.25">
      <c r="A56" s="22"/>
      <c r="I56" s="17"/>
      <c r="M56" s="16">
        <f>IF(特性!H56&gt;0,(特性!I56 * 特性!G56) / 特性!H56,0)</f>
        <v>0</v>
      </c>
    </row>
    <row r="57" spans="1:13" x14ac:dyDescent="0.25">
      <c r="A57" s="22"/>
      <c r="I57" s="17"/>
      <c r="M57" s="16">
        <f>IF(特性!H57&gt;0,(特性!I57 * 特性!G57) / 特性!H57,0)</f>
        <v>0</v>
      </c>
    </row>
    <row r="58" spans="1:13" x14ac:dyDescent="0.25">
      <c r="A58" s="22"/>
      <c r="I58" s="17"/>
      <c r="M58" s="16">
        <f>IF(特性!H58&gt;0,(特性!I58 * 特性!G58) / 特性!H58,0)</f>
        <v>0</v>
      </c>
    </row>
    <row r="59" spans="1:13" x14ac:dyDescent="0.25">
      <c r="A59" s="22"/>
      <c r="I59" s="17"/>
      <c r="M59" s="16">
        <f>IF(特性!H59&gt;0,(特性!I59 * 特性!G59) / 特性!H59,0)</f>
        <v>0</v>
      </c>
    </row>
    <row r="60" spans="1:13" x14ac:dyDescent="0.25">
      <c r="A60" s="22"/>
      <c r="I60" s="17"/>
      <c r="M60" s="16">
        <f>IF(特性!H60&gt;0,(特性!I60 * 特性!G60) / 特性!H60,0)</f>
        <v>0</v>
      </c>
    </row>
    <row r="61" spans="1:13" x14ac:dyDescent="0.25">
      <c r="A61" s="22"/>
      <c r="I61" s="17"/>
      <c r="M61" s="16">
        <f>IF(特性!H61&gt;0,(特性!I61 * 特性!G61) / 特性!H61,0)</f>
        <v>0</v>
      </c>
    </row>
    <row r="62" spans="1:13" x14ac:dyDescent="0.25">
      <c r="A62" s="22"/>
      <c r="I62" s="17"/>
      <c r="M62" s="16">
        <f>IF(特性!H62&gt;0,(特性!I62 * 特性!G62) / 特性!H62,0)</f>
        <v>0</v>
      </c>
    </row>
    <row r="63" spans="1:13" x14ac:dyDescent="0.25">
      <c r="A63" s="22"/>
      <c r="I63" s="17"/>
      <c r="M63" s="16">
        <f>IF(特性!H63&gt;0,(特性!I63 * 特性!G63) / 特性!H63,0)</f>
        <v>0</v>
      </c>
    </row>
    <row r="64" spans="1:13" x14ac:dyDescent="0.25">
      <c r="A64" s="22"/>
      <c r="I64" s="17"/>
      <c r="M64" s="16">
        <f>IF(特性!H64&gt;0,(特性!I64 * 特性!G64) / 特性!H64,0)</f>
        <v>0</v>
      </c>
    </row>
    <row r="65" spans="1:13" x14ac:dyDescent="0.25">
      <c r="A65" s="22"/>
      <c r="I65" s="17"/>
      <c r="M65" s="16">
        <f>IF(特性!H65&gt;0,(特性!I65 * 特性!G65) / 特性!H65,0)</f>
        <v>0</v>
      </c>
    </row>
    <row r="66" spans="1:13" x14ac:dyDescent="0.25">
      <c r="A66" s="22"/>
      <c r="I66" s="17"/>
      <c r="M66" s="16">
        <f>IF(特性!H66&gt;0,(特性!I66 * 特性!G66) / 特性!H66,0)</f>
        <v>0</v>
      </c>
    </row>
    <row r="67" spans="1:13" x14ac:dyDescent="0.25">
      <c r="A67" s="22"/>
      <c r="I67" s="17"/>
      <c r="M67" s="16">
        <f>IF(特性!H67&gt;0,(特性!I67 * 特性!G67) / 特性!H67,0)</f>
        <v>0</v>
      </c>
    </row>
    <row r="68" spans="1:13" x14ac:dyDescent="0.25">
      <c r="A68" s="22"/>
      <c r="I68" s="17"/>
      <c r="M68" s="16">
        <f>IF(特性!H68&gt;0,(特性!I68 * 特性!G68) / 特性!H68,0)</f>
        <v>0</v>
      </c>
    </row>
    <row r="69" spans="1:13" x14ac:dyDescent="0.25">
      <c r="A69" s="22"/>
      <c r="I69" s="17"/>
      <c r="M69" s="16">
        <f>IF(特性!H69&gt;0,(特性!I69 * 特性!G69) / 特性!H69,0)</f>
        <v>0</v>
      </c>
    </row>
    <row r="70" spans="1:13" x14ac:dyDescent="0.25">
      <c r="A70" s="22"/>
      <c r="I70" s="17"/>
      <c r="M70" s="16">
        <f>IF(特性!H70&gt;0,(特性!I70 * 特性!G70) / 特性!H70,0)</f>
        <v>0</v>
      </c>
    </row>
    <row r="71" spans="1:13" x14ac:dyDescent="0.25">
      <c r="A71" s="22"/>
      <c r="I71" s="17"/>
      <c r="M71" s="16">
        <f>IF(特性!H71&gt;0,(特性!I71 * 特性!G71) / 特性!H71,0)</f>
        <v>0</v>
      </c>
    </row>
    <row r="72" spans="1:13" x14ac:dyDescent="0.25">
      <c r="A72" s="22"/>
      <c r="I72" s="17"/>
      <c r="M72" s="16">
        <f>IF(特性!H72&gt;0,(特性!I72 * 特性!G72) / 特性!H72,0)</f>
        <v>0</v>
      </c>
    </row>
    <row r="73" spans="1:13" x14ac:dyDescent="0.25">
      <c r="A73" s="22"/>
      <c r="I73" s="17"/>
      <c r="M73" s="16">
        <f>IF(特性!H73&gt;0,(特性!I73 * 特性!G73) / 特性!H73,0)</f>
        <v>0</v>
      </c>
    </row>
    <row r="74" spans="1:13" x14ac:dyDescent="0.25">
      <c r="A74" s="22"/>
      <c r="I74" s="17"/>
      <c r="M74" s="16">
        <f>IF(特性!H74&gt;0,(特性!I74 * 特性!G74) / 特性!H74,0)</f>
        <v>0</v>
      </c>
    </row>
    <row r="75" spans="1:13" x14ac:dyDescent="0.25">
      <c r="A75" s="22"/>
      <c r="I75" s="17"/>
      <c r="M75" s="16">
        <f>IF(特性!H75&gt;0,(特性!I75 * 特性!G75) / 特性!H75,0)</f>
        <v>0</v>
      </c>
    </row>
    <row r="76" spans="1:13" x14ac:dyDescent="0.25">
      <c r="A76" s="22"/>
      <c r="I76" s="17"/>
      <c r="M76" s="16">
        <f>IF(特性!H76&gt;0,(特性!I76 * 特性!G76) / 特性!H76,0)</f>
        <v>0</v>
      </c>
    </row>
    <row r="77" spans="1:13" x14ac:dyDescent="0.25">
      <c r="A77" s="22"/>
      <c r="I77" s="17"/>
      <c r="M77" s="16">
        <f>IF(特性!H77&gt;0,(特性!I77 * 特性!G77) / 特性!H77,0)</f>
        <v>0</v>
      </c>
    </row>
    <row r="78" spans="1:13" x14ac:dyDescent="0.25">
      <c r="A78" s="22"/>
      <c r="I78" s="17"/>
      <c r="M78" s="16">
        <f>IF(特性!H78&gt;0,(特性!I78 * 特性!G78) / 特性!H78,0)</f>
        <v>0</v>
      </c>
    </row>
    <row r="79" spans="1:13" x14ac:dyDescent="0.25">
      <c r="A79" s="22"/>
      <c r="I79" s="17"/>
      <c r="M79" s="16">
        <f>IF(特性!H79&gt;0,(特性!I79 * 特性!G79) / 特性!H79,0)</f>
        <v>0</v>
      </c>
    </row>
    <row r="80" spans="1:13" x14ac:dyDescent="0.25">
      <c r="A80" s="22"/>
      <c r="I80" s="17"/>
      <c r="M80" s="16">
        <f>IF(特性!H80&gt;0,(特性!I80 * 特性!G80) / 特性!H80,0)</f>
        <v>0</v>
      </c>
    </row>
    <row r="81" spans="1:13" x14ac:dyDescent="0.25">
      <c r="A81" s="22"/>
      <c r="I81" s="17"/>
      <c r="M81" s="16">
        <f>IF(特性!H81&gt;0,(特性!I81 * 特性!G81) / 特性!H81,0)</f>
        <v>0</v>
      </c>
    </row>
    <row r="82" spans="1:13" x14ac:dyDescent="0.25">
      <c r="A82" s="22"/>
      <c r="I82" s="17"/>
      <c r="M82" s="16">
        <f>IF(特性!H82&gt;0,(特性!I82 * 特性!G82) / 特性!H82,0)</f>
        <v>0</v>
      </c>
    </row>
    <row r="83" spans="1:13" x14ac:dyDescent="0.25">
      <c r="A83" s="22"/>
      <c r="I83" s="17"/>
      <c r="M83" s="16">
        <f>IF(特性!H83&gt;0,(特性!I83 * 特性!G83) / 特性!H83,0)</f>
        <v>0</v>
      </c>
    </row>
    <row r="84" spans="1:13" x14ac:dyDescent="0.25">
      <c r="A84" s="22"/>
      <c r="I84" s="17"/>
      <c r="M84" s="16">
        <f>IF(特性!H84&gt;0,(特性!I84 * 特性!G84) / 特性!H84,0)</f>
        <v>0</v>
      </c>
    </row>
    <row r="85" spans="1:13" x14ac:dyDescent="0.25">
      <c r="A85" s="22"/>
      <c r="I85" s="17"/>
      <c r="M85" s="16">
        <f>IF(特性!H85&gt;0,(特性!I85 * 特性!G85) / 特性!H85,0)</f>
        <v>0</v>
      </c>
    </row>
    <row r="86" spans="1:13" x14ac:dyDescent="0.25">
      <c r="A86" s="22"/>
      <c r="I86" s="17"/>
      <c r="M86" s="16">
        <f>IF(特性!H86&gt;0,(特性!I86 * 特性!G86) / 特性!H86,0)</f>
        <v>0</v>
      </c>
    </row>
    <row r="87" spans="1:13" x14ac:dyDescent="0.25">
      <c r="A87" s="22"/>
      <c r="I87" s="17"/>
      <c r="M87" s="16">
        <f>IF(特性!H87&gt;0,(特性!I87 * 特性!G87) / 特性!H87,0)</f>
        <v>0</v>
      </c>
    </row>
    <row r="88" spans="1:13" x14ac:dyDescent="0.25">
      <c r="A88" s="22"/>
      <c r="I88" s="17"/>
      <c r="M88" s="16">
        <f>IF(特性!H88&gt;0,(特性!I88 * 特性!G88) / 特性!H88,0)</f>
        <v>0</v>
      </c>
    </row>
    <row r="89" spans="1:13" x14ac:dyDescent="0.25">
      <c r="A89" s="22"/>
      <c r="I89" s="17"/>
      <c r="M89" s="16">
        <f>IF(特性!H89&gt;0,(特性!I89 * 特性!G89) / 特性!H89,0)</f>
        <v>0</v>
      </c>
    </row>
    <row r="90" spans="1:13" x14ac:dyDescent="0.25">
      <c r="A90" s="22"/>
      <c r="I90" s="17"/>
      <c r="M90" s="16">
        <f>IF(特性!H90&gt;0,(特性!I90 * 特性!G90) / 特性!H90,0)</f>
        <v>0</v>
      </c>
    </row>
    <row r="91" spans="1:13" x14ac:dyDescent="0.25">
      <c r="A91" s="22"/>
      <c r="I91" s="17"/>
      <c r="M91" s="16">
        <f>IF(特性!H91&gt;0,(特性!I91 * 特性!G91) / 特性!H91,0)</f>
        <v>0</v>
      </c>
    </row>
    <row r="92" spans="1:13" x14ac:dyDescent="0.25">
      <c r="A92" s="22"/>
      <c r="I92" s="17"/>
      <c r="M92" s="16">
        <f>IF(特性!H92&gt;0,(特性!I92 * 特性!G92) / 特性!H92,0)</f>
        <v>0</v>
      </c>
    </row>
    <row r="93" spans="1:13" x14ac:dyDescent="0.25">
      <c r="A93" s="22"/>
      <c r="I93" s="17"/>
      <c r="M93" s="16">
        <f>IF(特性!H93&gt;0,(特性!I93 * 特性!G93) / 特性!H93,0)</f>
        <v>0</v>
      </c>
    </row>
    <row r="94" spans="1:13" x14ac:dyDescent="0.25">
      <c r="A94" s="22"/>
      <c r="I94" s="17"/>
      <c r="M94" s="16">
        <f>IF(特性!H94&gt;0,(特性!I94 * 特性!G94) / 特性!H94,0)</f>
        <v>0</v>
      </c>
    </row>
    <row r="95" spans="1:13" x14ac:dyDescent="0.25">
      <c r="A95" s="22"/>
      <c r="I95" s="17"/>
      <c r="M95" s="16">
        <f>IF(特性!H95&gt;0,(特性!I95 * 特性!G95) / 特性!H95,0)</f>
        <v>0</v>
      </c>
    </row>
    <row r="96" spans="1:13" x14ac:dyDescent="0.25">
      <c r="A96" s="19"/>
      <c r="B96" s="23"/>
      <c r="C96" s="23"/>
      <c r="D96" s="23"/>
      <c r="E96" s="23"/>
      <c r="F96" s="23"/>
      <c r="G96" s="23"/>
      <c r="H96" s="23"/>
      <c r="I96" s="18"/>
      <c r="M96" s="16">
        <f>IF(特性!H96&gt;0,(特性!I96 * 特性!G96) / 特性!H96,0)</f>
        <v>0</v>
      </c>
    </row>
    <row r="97" spans="1:13" x14ac:dyDescent="0.25">
      <c r="A97" s="22"/>
      <c r="I97" s="17"/>
      <c r="M97" s="16">
        <f>IF(特性!H97&gt;0,(特性!I97 * 特性!G97) / 特性!H97,0)</f>
        <v>0</v>
      </c>
    </row>
    <row r="98" spans="1:13" x14ac:dyDescent="0.25">
      <c r="A98" s="22"/>
      <c r="I98" s="17"/>
      <c r="M98" s="16">
        <f>IF(特性!H98&gt;0,(特性!I98 * 特性!G98) / 特性!H98,0)</f>
        <v>0</v>
      </c>
    </row>
    <row r="99" spans="1:13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M99" s="16">
        <f>IF(特性!H99&gt;0,(特性!I99 * 特性!G99) / 特性!H99,0)</f>
        <v>0</v>
      </c>
    </row>
    <row r="100" spans="1:13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M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6" sqref="E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140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145</v>
      </c>
      <c r="K1" s="15" t="s">
        <v>146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3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6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3</v>
      </c>
      <c r="E4" s="12">
        <v>9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4</v>
      </c>
      <c r="E5" s="12">
        <v>12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5</v>
      </c>
      <c r="E6" s="12">
        <v>15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5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3</v>
      </c>
      <c r="E8" s="12">
        <v>9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4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5</v>
      </c>
      <c r="E10" s="12">
        <v>17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6</v>
      </c>
      <c r="E11" s="12">
        <v>21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2</v>
      </c>
      <c r="E12" s="12">
        <v>6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3</v>
      </c>
      <c r="E13" s="12">
        <v>8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10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12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6</v>
      </c>
      <c r="E16" s="12">
        <v>14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limit[-][546ef2]+4[-]</v>
      </c>
      <c r="C25" t="str">
        <f>ToResult(語言列表!C25)</f>
        <v>增加耐力上限4點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limit[-][546ef2]+8[-]</v>
      </c>
      <c r="C26" t="str">
        <f>ToResult(語言列表!C26)</f>
        <v>增加耐力上限8點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limit[-][e92121]-4[-]</v>
      </c>
      <c r="C27" t="str">
        <f>ToResult(語言列表!C27)</f>
        <v>減少耐力上限4點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limit[-][e92121]-8[-]</v>
      </c>
      <c r="C28" t="str">
        <f>ToResult(語言列表!C28)</f>
        <v>減少耐力上限8點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12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10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8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10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8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6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3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4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8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3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-4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3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-8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3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2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3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3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-2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3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-3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3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3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3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3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3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9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5</v>
      </c>
      <c r="E6" t="str">
        <f>ToResult(怪物!E6)</f>
        <v>15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5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9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4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17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6</v>
      </c>
      <c r="E11" t="str">
        <f>ToResult(怪物!E11)</f>
        <v>21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3</v>
      </c>
      <c r="E13" t="str">
        <f>ToResult(怪物!E13)</f>
        <v>8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10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12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6</v>
      </c>
      <c r="E16" t="str">
        <f>ToResult(怪物!E16)</f>
        <v>14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2015-04-27T08:49:48Z</dcterms:modified>
</cp:coreProperties>
</file>