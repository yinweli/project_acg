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\project_acg\Doc\"/>
    </mc:Choice>
  </mc:AlternateContent>
  <bookViews>
    <workbookView xWindow="0" yWindow="0" windowWidth="9600" windowHeight="3390" tabRatio="638"/>
  </bookViews>
  <sheets>
    <sheet name="Main" sheetId="11" r:id="rId1"/>
    <sheet name="語言列表" sheetId="4" r:id="rId2"/>
    <sheet name="裝備" sheetId="1" r:id="rId3"/>
    <sheet name="特性" sheetId="2" r:id="rId4"/>
    <sheet name="怪物" sheetId="3" r:id="rId5"/>
    <sheet name="選項清單" sheetId="5" r:id="rId6"/>
    <sheet name="Language" sheetId="7" r:id="rId7"/>
    <sheet name="Equip" sheetId="8" r:id="rId8"/>
    <sheet name="Feature" sheetId="9" r:id="rId9"/>
    <sheet name="Monster" sheetId="10" r:id="rId10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9" l="1"/>
  <c r="C1" i="9"/>
  <c r="D1" i="9"/>
  <c r="E1" i="9"/>
  <c r="F1" i="9"/>
  <c r="G1" i="9"/>
  <c r="H1" i="9"/>
  <c r="B1" i="8"/>
  <c r="C1" i="8"/>
  <c r="D1" i="8"/>
  <c r="E1" i="8"/>
  <c r="F1" i="8"/>
  <c r="G1" i="8"/>
  <c r="H1" i="8"/>
  <c r="I1" i="8"/>
  <c r="J1" i="8"/>
  <c r="B1" i="10"/>
  <c r="C1" i="10"/>
  <c r="D1" i="10"/>
  <c r="E1" i="10"/>
  <c r="F1" i="10"/>
  <c r="G1" i="10"/>
  <c r="A3" i="8"/>
  <c r="E3" i="8"/>
  <c r="I3" i="8"/>
  <c r="C4" i="8"/>
  <c r="G4" i="8"/>
  <c r="A5" i="8"/>
  <c r="E5" i="8"/>
  <c r="I5" i="8"/>
  <c r="C6" i="8"/>
  <c r="G6" i="8"/>
  <c r="A7" i="8"/>
  <c r="E7" i="8"/>
  <c r="I7" i="8"/>
  <c r="C8" i="8"/>
  <c r="G8" i="8"/>
  <c r="A9" i="8"/>
  <c r="E9" i="8"/>
  <c r="I9" i="8"/>
  <c r="C10" i="8"/>
  <c r="G10" i="8"/>
  <c r="A11" i="8"/>
  <c r="E11" i="8"/>
  <c r="I11" i="8"/>
  <c r="C12" i="8"/>
  <c r="G12" i="8"/>
  <c r="A13" i="8"/>
  <c r="E13" i="8"/>
  <c r="I13" i="8"/>
  <c r="C14" i="8"/>
  <c r="G14" i="8"/>
  <c r="A15" i="8"/>
  <c r="E15" i="8"/>
  <c r="I15" i="8"/>
  <c r="C16" i="8"/>
  <c r="G16" i="8"/>
  <c r="A17" i="8"/>
  <c r="E17" i="8"/>
  <c r="I17" i="8"/>
  <c r="C18" i="8"/>
  <c r="G18" i="8"/>
  <c r="A19" i="8"/>
  <c r="E19" i="8"/>
  <c r="I19" i="8"/>
  <c r="C20" i="8"/>
  <c r="G20" i="8"/>
  <c r="A21" i="8"/>
  <c r="E21" i="8"/>
  <c r="I21" i="8"/>
  <c r="C22" i="8"/>
  <c r="G22" i="8"/>
  <c r="A23" i="8"/>
  <c r="E23" i="8"/>
  <c r="I23" i="8"/>
  <c r="B3" i="8"/>
  <c r="F3" i="8"/>
  <c r="J3" i="8"/>
  <c r="D4" i="8"/>
  <c r="H4" i="8"/>
  <c r="B5" i="8"/>
  <c r="F5" i="8"/>
  <c r="J5" i="8"/>
  <c r="D6" i="8"/>
  <c r="H6" i="8"/>
  <c r="B7" i="8"/>
  <c r="F7" i="8"/>
  <c r="J7" i="8"/>
  <c r="D8" i="8"/>
  <c r="H8" i="8"/>
  <c r="B9" i="8"/>
  <c r="F9" i="8"/>
  <c r="J9" i="8"/>
  <c r="D10" i="8"/>
  <c r="H10" i="8"/>
  <c r="B11" i="8"/>
  <c r="F11" i="8"/>
  <c r="J11" i="8"/>
  <c r="D12" i="8"/>
  <c r="H12" i="8"/>
  <c r="B13" i="8"/>
  <c r="F13" i="8"/>
  <c r="J13" i="8"/>
  <c r="D14" i="8"/>
  <c r="H14" i="8"/>
  <c r="B15" i="8"/>
  <c r="F15" i="8"/>
  <c r="J15" i="8"/>
  <c r="D16" i="8"/>
  <c r="H16" i="8"/>
  <c r="B17" i="8"/>
  <c r="F17" i="8"/>
  <c r="J17" i="8"/>
  <c r="D18" i="8"/>
  <c r="H18" i="8"/>
  <c r="B19" i="8"/>
  <c r="F19" i="8"/>
  <c r="J19" i="8"/>
  <c r="D20" i="8"/>
  <c r="H20" i="8"/>
  <c r="B21" i="8"/>
  <c r="F21" i="8"/>
  <c r="J21" i="8"/>
  <c r="D22" i="8"/>
  <c r="H22" i="8"/>
  <c r="B23" i="8"/>
  <c r="F23" i="8"/>
  <c r="D3" i="8"/>
  <c r="H3" i="8"/>
  <c r="B4" i="8"/>
  <c r="F4" i="8"/>
  <c r="J4" i="8"/>
  <c r="D5" i="8"/>
  <c r="H5" i="8"/>
  <c r="B6" i="8"/>
  <c r="F6" i="8"/>
  <c r="J6" i="8"/>
  <c r="D7" i="8"/>
  <c r="H7" i="8"/>
  <c r="B8" i="8"/>
  <c r="F8" i="8"/>
  <c r="J8" i="8"/>
  <c r="D9" i="8"/>
  <c r="H9" i="8"/>
  <c r="B10" i="8"/>
  <c r="F10" i="8"/>
  <c r="J10" i="8"/>
  <c r="D11" i="8"/>
  <c r="H11" i="8"/>
  <c r="B12" i="8"/>
  <c r="F12" i="8"/>
  <c r="J12" i="8"/>
  <c r="D13" i="8"/>
  <c r="H13" i="8"/>
  <c r="B14" i="8"/>
  <c r="F14" i="8"/>
  <c r="J14" i="8"/>
  <c r="D15" i="8"/>
  <c r="H15" i="8"/>
  <c r="B16" i="8"/>
  <c r="F16" i="8"/>
  <c r="J16" i="8"/>
  <c r="D17" i="8"/>
  <c r="H17" i="8"/>
  <c r="B18" i="8"/>
  <c r="F18" i="8"/>
  <c r="J18" i="8"/>
  <c r="D19" i="8"/>
  <c r="H19" i="8"/>
  <c r="B20" i="8"/>
  <c r="F20" i="8"/>
  <c r="J20" i="8"/>
  <c r="D21" i="8"/>
  <c r="H21" i="8"/>
  <c r="B22" i="8"/>
  <c r="F22" i="8"/>
  <c r="J22" i="8"/>
  <c r="D23" i="8"/>
  <c r="H23" i="8"/>
  <c r="B24" i="8"/>
  <c r="F24" i="8"/>
  <c r="J24" i="8"/>
  <c r="D25" i="8"/>
  <c r="H25" i="8"/>
  <c r="B26" i="8"/>
  <c r="F26" i="8"/>
  <c r="J26" i="8"/>
  <c r="D27" i="8"/>
  <c r="H27" i="8"/>
  <c r="B28" i="8"/>
  <c r="F28" i="8"/>
  <c r="J28" i="8"/>
  <c r="D29" i="8"/>
  <c r="H29" i="8"/>
  <c r="B30" i="8"/>
  <c r="F30" i="8"/>
  <c r="J30" i="8"/>
  <c r="D31" i="8"/>
  <c r="H31" i="8"/>
  <c r="B32" i="8"/>
  <c r="F32" i="8"/>
  <c r="J32" i="8"/>
  <c r="D33" i="8"/>
  <c r="H33" i="8"/>
  <c r="B34" i="8"/>
  <c r="F34" i="8"/>
  <c r="J34" i="8"/>
  <c r="D35" i="8"/>
  <c r="H35" i="8"/>
  <c r="B36" i="8"/>
  <c r="F36" i="8"/>
  <c r="J36" i="8"/>
  <c r="D37" i="8"/>
  <c r="H37" i="8"/>
  <c r="B38" i="8"/>
  <c r="F38" i="8"/>
  <c r="J38" i="8"/>
  <c r="D39" i="8"/>
  <c r="H39" i="8"/>
  <c r="B40" i="8"/>
  <c r="F40" i="8"/>
  <c r="J40" i="8"/>
  <c r="D41" i="8"/>
  <c r="H41" i="8"/>
  <c r="B42" i="8"/>
  <c r="F42" i="8"/>
  <c r="J42" i="8"/>
  <c r="D43" i="8"/>
  <c r="H43" i="8"/>
  <c r="B44" i="8"/>
  <c r="F44" i="8"/>
  <c r="J44" i="8"/>
  <c r="D45" i="8"/>
  <c r="H45" i="8"/>
  <c r="B46" i="8"/>
  <c r="F46" i="8"/>
  <c r="J46" i="8"/>
  <c r="D47" i="8"/>
  <c r="H47" i="8"/>
  <c r="B48" i="8"/>
  <c r="F48" i="8"/>
  <c r="J48" i="8"/>
  <c r="D49" i="8"/>
  <c r="H49" i="8"/>
  <c r="B50" i="8"/>
  <c r="F50" i="8"/>
  <c r="J50" i="8"/>
  <c r="D51" i="8"/>
  <c r="H51" i="8"/>
  <c r="B52" i="8"/>
  <c r="F52" i="8"/>
  <c r="J52" i="8"/>
  <c r="D53" i="8"/>
  <c r="H53" i="8"/>
  <c r="C3" i="8"/>
  <c r="I4" i="8"/>
  <c r="E6" i="8"/>
  <c r="A8" i="8"/>
  <c r="G9" i="8"/>
  <c r="C11" i="8"/>
  <c r="I12" i="8"/>
  <c r="E14" i="8"/>
  <c r="A16" i="8"/>
  <c r="G17" i="8"/>
  <c r="C19" i="8"/>
  <c r="I20" i="8"/>
  <c r="G3" i="8"/>
  <c r="C5" i="8"/>
  <c r="I6" i="8"/>
  <c r="E8" i="8"/>
  <c r="A10" i="8"/>
  <c r="G11" i="8"/>
  <c r="C13" i="8"/>
  <c r="I14" i="8"/>
  <c r="E16" i="8"/>
  <c r="A18" i="8"/>
  <c r="G19" i="8"/>
  <c r="C21" i="8"/>
  <c r="I22" i="8"/>
  <c r="A24" i="8"/>
  <c r="G24" i="8"/>
  <c r="B25" i="8"/>
  <c r="G25" i="8"/>
  <c r="C26" i="8"/>
  <c r="H26" i="8"/>
  <c r="C27" i="8"/>
  <c r="I27" i="8"/>
  <c r="D28" i="8"/>
  <c r="I28" i="8"/>
  <c r="E29" i="8"/>
  <c r="J29" i="8"/>
  <c r="E30" i="8"/>
  <c r="A31" i="8"/>
  <c r="F31" i="8"/>
  <c r="A32" i="8"/>
  <c r="G32" i="8"/>
  <c r="B33" i="8"/>
  <c r="G33" i="8"/>
  <c r="C34" i="8"/>
  <c r="H34" i="8"/>
  <c r="C35" i="8"/>
  <c r="I35" i="8"/>
  <c r="D36" i="8"/>
  <c r="I36" i="8"/>
  <c r="E37" i="8"/>
  <c r="J37" i="8"/>
  <c r="E38" i="8"/>
  <c r="A39" i="8"/>
  <c r="F39" i="8"/>
  <c r="A40" i="8"/>
  <c r="G40" i="8"/>
  <c r="B41" i="8"/>
  <c r="G41" i="8"/>
  <c r="C42" i="8"/>
  <c r="H42" i="8"/>
  <c r="C43" i="8"/>
  <c r="I43" i="8"/>
  <c r="D44" i="8"/>
  <c r="I44" i="8"/>
  <c r="E45" i="8"/>
  <c r="J45" i="8"/>
  <c r="E46" i="8"/>
  <c r="A47" i="8"/>
  <c r="F47" i="8"/>
  <c r="A48" i="8"/>
  <c r="G48" i="8"/>
  <c r="B49" i="8"/>
  <c r="G49" i="8"/>
  <c r="C50" i="8"/>
  <c r="H50" i="8"/>
  <c r="C51" i="8"/>
  <c r="I51" i="8"/>
  <c r="D52" i="8"/>
  <c r="I52" i="8"/>
  <c r="E53" i="8"/>
  <c r="J53" i="8"/>
  <c r="D54" i="8"/>
  <c r="H54" i="8"/>
  <c r="B55" i="8"/>
  <c r="F55" i="8"/>
  <c r="J55" i="8"/>
  <c r="D56" i="8"/>
  <c r="H56" i="8"/>
  <c r="B57" i="8"/>
  <c r="F57" i="8"/>
  <c r="J57" i="8"/>
  <c r="D58" i="8"/>
  <c r="H58" i="8"/>
  <c r="B59" i="8"/>
  <c r="F59" i="8"/>
  <c r="J59" i="8"/>
  <c r="D60" i="8"/>
  <c r="H60" i="8"/>
  <c r="B61" i="8"/>
  <c r="F61" i="8"/>
  <c r="J61" i="8"/>
  <c r="D62" i="8"/>
  <c r="H62" i="8"/>
  <c r="B63" i="8"/>
  <c r="F63" i="8"/>
  <c r="J63" i="8"/>
  <c r="D64" i="8"/>
  <c r="H64" i="8"/>
  <c r="B65" i="8"/>
  <c r="F65" i="8"/>
  <c r="J65" i="8"/>
  <c r="D66" i="8"/>
  <c r="H66" i="8"/>
  <c r="B67" i="8"/>
  <c r="F67" i="8"/>
  <c r="J67" i="8"/>
  <c r="D68" i="8"/>
  <c r="H68" i="8"/>
  <c r="B69" i="8"/>
  <c r="F69" i="8"/>
  <c r="J69" i="8"/>
  <c r="D70" i="8"/>
  <c r="H70" i="8"/>
  <c r="B71" i="8"/>
  <c r="F71" i="8"/>
  <c r="J71" i="8"/>
  <c r="D72" i="8"/>
  <c r="H72" i="8"/>
  <c r="B73" i="8"/>
  <c r="F73" i="8"/>
  <c r="J73" i="8"/>
  <c r="D74" i="8"/>
  <c r="H74" i="8"/>
  <c r="B75" i="8"/>
  <c r="F75" i="8"/>
  <c r="J75" i="8"/>
  <c r="D76" i="8"/>
  <c r="H76" i="8"/>
  <c r="E4" i="8"/>
  <c r="A6" i="8"/>
  <c r="G7" i="8"/>
  <c r="C9" i="8"/>
  <c r="I10" i="8"/>
  <c r="E12" i="8"/>
  <c r="A14" i="8"/>
  <c r="G15" i="8"/>
  <c r="C17" i="8"/>
  <c r="I18" i="8"/>
  <c r="E20" i="8"/>
  <c r="A22" i="8"/>
  <c r="G23" i="8"/>
  <c r="D24" i="8"/>
  <c r="I24" i="8"/>
  <c r="E25" i="8"/>
  <c r="J25" i="8"/>
  <c r="E26" i="8"/>
  <c r="A27" i="8"/>
  <c r="F27" i="8"/>
  <c r="A28" i="8"/>
  <c r="G28" i="8"/>
  <c r="B29" i="8"/>
  <c r="G29" i="8"/>
  <c r="C30" i="8"/>
  <c r="H30" i="8"/>
  <c r="C31" i="8"/>
  <c r="I31" i="8"/>
  <c r="D32" i="8"/>
  <c r="I32" i="8"/>
  <c r="E33" i="8"/>
  <c r="J33" i="8"/>
  <c r="E34" i="8"/>
  <c r="A35" i="8"/>
  <c r="F35" i="8"/>
  <c r="A36" i="8"/>
  <c r="G36" i="8"/>
  <c r="B37" i="8"/>
  <c r="G37" i="8"/>
  <c r="C38" i="8"/>
  <c r="H38" i="8"/>
  <c r="C39" i="8"/>
  <c r="I39" i="8"/>
  <c r="D40" i="8"/>
  <c r="I40" i="8"/>
  <c r="E41" i="8"/>
  <c r="J41" i="8"/>
  <c r="E42" i="8"/>
  <c r="A43" i="8"/>
  <c r="F43" i="8"/>
  <c r="A44" i="8"/>
  <c r="G44" i="8"/>
  <c r="B45" i="8"/>
  <c r="G45" i="8"/>
  <c r="C46" i="8"/>
  <c r="H46" i="8"/>
  <c r="C47" i="8"/>
  <c r="I47" i="8"/>
  <c r="D48" i="8"/>
  <c r="I48" i="8"/>
  <c r="E49" i="8"/>
  <c r="J49" i="8"/>
  <c r="E50" i="8"/>
  <c r="A51" i="8"/>
  <c r="F51" i="8"/>
  <c r="A52" i="8"/>
  <c r="G52" i="8"/>
  <c r="B53" i="8"/>
  <c r="G53" i="8"/>
  <c r="B54" i="8"/>
  <c r="F54" i="8"/>
  <c r="J54" i="8"/>
  <c r="D55" i="8"/>
  <c r="H55" i="8"/>
  <c r="B56" i="8"/>
  <c r="F56" i="8"/>
  <c r="J56" i="8"/>
  <c r="D57" i="8"/>
  <c r="H57" i="8"/>
  <c r="B58" i="8"/>
  <c r="F58" i="8"/>
  <c r="J58" i="8"/>
  <c r="D59" i="8"/>
  <c r="H59" i="8"/>
  <c r="B60" i="8"/>
  <c r="F60" i="8"/>
  <c r="J60" i="8"/>
  <c r="D61" i="8"/>
  <c r="H61" i="8"/>
  <c r="B62" i="8"/>
  <c r="F62" i="8"/>
  <c r="J62" i="8"/>
  <c r="D63" i="8"/>
  <c r="H63" i="8"/>
  <c r="B64" i="8"/>
  <c r="F64" i="8"/>
  <c r="J64" i="8"/>
  <c r="D65" i="8"/>
  <c r="H65" i="8"/>
  <c r="B66" i="8"/>
  <c r="F66" i="8"/>
  <c r="J66" i="8"/>
  <c r="D67" i="8"/>
  <c r="H67" i="8"/>
  <c r="B68" i="8"/>
  <c r="F68" i="8"/>
  <c r="J68" i="8"/>
  <c r="D69" i="8"/>
  <c r="H69" i="8"/>
  <c r="B70" i="8"/>
  <c r="F70" i="8"/>
  <c r="J70" i="8"/>
  <c r="D71" i="8"/>
  <c r="H71" i="8"/>
  <c r="B72" i="8"/>
  <c r="F72" i="8"/>
  <c r="J72" i="8"/>
  <c r="D73" i="8"/>
  <c r="H73" i="8"/>
  <c r="B74" i="8"/>
  <c r="F74" i="8"/>
  <c r="J74" i="8"/>
  <c r="D75" i="8"/>
  <c r="H75" i="8"/>
  <c r="B76" i="8"/>
  <c r="F76" i="8"/>
  <c r="J76" i="8"/>
  <c r="D77" i="8"/>
  <c r="H77" i="8"/>
  <c r="B78" i="8"/>
  <c r="F78" i="8"/>
  <c r="J78" i="8"/>
  <c r="D79" i="8"/>
  <c r="H79" i="8"/>
  <c r="B80" i="8"/>
  <c r="F80" i="8"/>
  <c r="J80" i="8"/>
  <c r="D81" i="8"/>
  <c r="H81" i="8"/>
  <c r="B82" i="8"/>
  <c r="F82" i="8"/>
  <c r="J82" i="8"/>
  <c r="D83" i="8"/>
  <c r="H83" i="8"/>
  <c r="B84" i="8"/>
  <c r="F84" i="8"/>
  <c r="J84" i="8"/>
  <c r="D85" i="8"/>
  <c r="H85" i="8"/>
  <c r="B86" i="8"/>
  <c r="F86" i="8"/>
  <c r="J86" i="8"/>
  <c r="D87" i="8"/>
  <c r="H87" i="8"/>
  <c r="B88" i="8"/>
  <c r="F88" i="8"/>
  <c r="J88" i="8"/>
  <c r="D89" i="8"/>
  <c r="H89" i="8"/>
  <c r="B90" i="8"/>
  <c r="F90" i="8"/>
  <c r="J90" i="8"/>
  <c r="D91" i="8"/>
  <c r="H91" i="8"/>
  <c r="B92" i="8"/>
  <c r="F92" i="8"/>
  <c r="J92" i="8"/>
  <c r="D93" i="8"/>
  <c r="H93" i="8"/>
  <c r="B94" i="8"/>
  <c r="F94" i="8"/>
  <c r="J94" i="8"/>
  <c r="D95" i="8"/>
  <c r="H95" i="8"/>
  <c r="B96" i="8"/>
  <c r="F96" i="8"/>
  <c r="J96" i="8"/>
  <c r="D97" i="8"/>
  <c r="H97" i="8"/>
  <c r="B98" i="8"/>
  <c r="F98" i="8"/>
  <c r="J98" i="8"/>
  <c r="D99" i="8"/>
  <c r="H99" i="8"/>
  <c r="B100" i="8"/>
  <c r="F100" i="8"/>
  <c r="J100" i="8"/>
  <c r="A4" i="8"/>
  <c r="E10" i="8"/>
  <c r="I16" i="8"/>
  <c r="E22" i="8"/>
  <c r="E24" i="8"/>
  <c r="F25" i="8"/>
  <c r="G26" i="8"/>
  <c r="G27" i="8"/>
  <c r="H28" i="8"/>
  <c r="I29" i="8"/>
  <c r="I30" i="8"/>
  <c r="J31" i="8"/>
  <c r="A33" i="8"/>
  <c r="A34" i="8"/>
  <c r="B35" i="8"/>
  <c r="C36" i="8"/>
  <c r="C37" i="8"/>
  <c r="D38" i="8"/>
  <c r="E39" i="8"/>
  <c r="E40" i="8"/>
  <c r="F41" i="8"/>
  <c r="G42" i="8"/>
  <c r="G43" i="8"/>
  <c r="H44" i="8"/>
  <c r="I45" i="8"/>
  <c r="I46" i="8"/>
  <c r="J47" i="8"/>
  <c r="A49" i="8"/>
  <c r="A50" i="8"/>
  <c r="B51" i="8"/>
  <c r="C52" i="8"/>
  <c r="C53" i="8"/>
  <c r="C54" i="8"/>
  <c r="A55" i="8"/>
  <c r="I55" i="8"/>
  <c r="G56" i="8"/>
  <c r="E57" i="8"/>
  <c r="C58" i="8"/>
  <c r="A59" i="8"/>
  <c r="I59" i="8"/>
  <c r="G60" i="8"/>
  <c r="E61" i="8"/>
  <c r="C62" i="8"/>
  <c r="A63" i="8"/>
  <c r="I63" i="8"/>
  <c r="G64" i="8"/>
  <c r="E65" i="8"/>
  <c r="C66" i="8"/>
  <c r="A67" i="8"/>
  <c r="I67" i="8"/>
  <c r="G68" i="8"/>
  <c r="E69" i="8"/>
  <c r="C70" i="8"/>
  <c r="A71" i="8"/>
  <c r="I71" i="8"/>
  <c r="G72" i="8"/>
  <c r="E73" i="8"/>
  <c r="C74" i="8"/>
  <c r="A75" i="8"/>
  <c r="I75" i="8"/>
  <c r="G76" i="8"/>
  <c r="C77" i="8"/>
  <c r="I77" i="8"/>
  <c r="D78" i="8"/>
  <c r="I78" i="8"/>
  <c r="E79" i="8"/>
  <c r="J79" i="8"/>
  <c r="E80" i="8"/>
  <c r="A81" i="8"/>
  <c r="F81" i="8"/>
  <c r="A82" i="8"/>
  <c r="G82" i="8"/>
  <c r="B83" i="8"/>
  <c r="G83" i="8"/>
  <c r="C84" i="8"/>
  <c r="H84" i="8"/>
  <c r="C85" i="8"/>
  <c r="I85" i="8"/>
  <c r="D86" i="8"/>
  <c r="I86" i="8"/>
  <c r="E87" i="8"/>
  <c r="J87" i="8"/>
  <c r="E88" i="8"/>
  <c r="A89" i="8"/>
  <c r="F89" i="8"/>
  <c r="A90" i="8"/>
  <c r="G90" i="8"/>
  <c r="B91" i="8"/>
  <c r="G91" i="8"/>
  <c r="C92" i="8"/>
  <c r="H92" i="8"/>
  <c r="C93" i="8"/>
  <c r="I93" i="8"/>
  <c r="D94" i="8"/>
  <c r="I94" i="8"/>
  <c r="E95" i="8"/>
  <c r="J95" i="8"/>
  <c r="E96" i="8"/>
  <c r="A97" i="8"/>
  <c r="F97" i="8"/>
  <c r="A98" i="8"/>
  <c r="G98" i="8"/>
  <c r="B99" i="8"/>
  <c r="G99" i="8"/>
  <c r="C100" i="8"/>
  <c r="H100" i="8"/>
  <c r="D92" i="8"/>
  <c r="E94" i="8"/>
  <c r="F95" i="8"/>
  <c r="G96" i="8"/>
  <c r="C98" i="8"/>
  <c r="I99" i="8"/>
  <c r="I100" i="8"/>
  <c r="G13" i="8"/>
  <c r="J23" i="8"/>
  <c r="C28" i="8"/>
  <c r="E31" i="8"/>
  <c r="G35" i="8"/>
  <c r="I38" i="8"/>
  <c r="A42" i="8"/>
  <c r="C45" i="8"/>
  <c r="E48" i="8"/>
  <c r="G51" i="8"/>
  <c r="G54" i="8"/>
  <c r="A57" i="8"/>
  <c r="E59" i="8"/>
  <c r="I61" i="8"/>
  <c r="G5" i="8"/>
  <c r="A12" i="8"/>
  <c r="E18" i="8"/>
  <c r="C23" i="8"/>
  <c r="H24" i="8"/>
  <c r="I25" i="8"/>
  <c r="I26" i="8"/>
  <c r="J27" i="8"/>
  <c r="A29" i="8"/>
  <c r="A30" i="8"/>
  <c r="B31" i="8"/>
  <c r="C32" i="8"/>
  <c r="C33" i="8"/>
  <c r="D34" i="8"/>
  <c r="E35" i="8"/>
  <c r="E36" i="8"/>
  <c r="F37" i="8"/>
  <c r="G38" i="8"/>
  <c r="G39" i="8"/>
  <c r="H40" i="8"/>
  <c r="I41" i="8"/>
  <c r="I42" i="8"/>
  <c r="J43" i="8"/>
  <c r="A45" i="8"/>
  <c r="A46" i="8"/>
  <c r="B47" i="8"/>
  <c r="C48" i="8"/>
  <c r="C49" i="8"/>
  <c r="D50" i="8"/>
  <c r="E51" i="8"/>
  <c r="E52" i="8"/>
  <c r="F53" i="8"/>
  <c r="E54" i="8"/>
  <c r="C55" i="8"/>
  <c r="A56" i="8"/>
  <c r="I56" i="8"/>
  <c r="G57" i="8"/>
  <c r="E58" i="8"/>
  <c r="C59" i="8"/>
  <c r="A60" i="8"/>
  <c r="I60" i="8"/>
  <c r="G61" i="8"/>
  <c r="E62" i="8"/>
  <c r="C63" i="8"/>
  <c r="A64" i="8"/>
  <c r="I64" i="8"/>
  <c r="G65" i="8"/>
  <c r="E66" i="8"/>
  <c r="C67" i="8"/>
  <c r="A68" i="8"/>
  <c r="I68" i="8"/>
  <c r="G69" i="8"/>
  <c r="E70" i="8"/>
  <c r="C71" i="8"/>
  <c r="A72" i="8"/>
  <c r="I72" i="8"/>
  <c r="G73" i="8"/>
  <c r="E74" i="8"/>
  <c r="C75" i="8"/>
  <c r="A76" i="8"/>
  <c r="I76" i="8"/>
  <c r="E77" i="8"/>
  <c r="J77" i="8"/>
  <c r="E78" i="8"/>
  <c r="A79" i="8"/>
  <c r="F79" i="8"/>
  <c r="A80" i="8"/>
  <c r="G80" i="8"/>
  <c r="B81" i="8"/>
  <c r="G81" i="8"/>
  <c r="C82" i="8"/>
  <c r="H82" i="8"/>
  <c r="C83" i="8"/>
  <c r="I83" i="8"/>
  <c r="D84" i="8"/>
  <c r="I84" i="8"/>
  <c r="E85" i="8"/>
  <c r="J85" i="8"/>
  <c r="E86" i="8"/>
  <c r="A87" i="8"/>
  <c r="F87" i="8"/>
  <c r="A88" i="8"/>
  <c r="G88" i="8"/>
  <c r="B89" i="8"/>
  <c r="G89" i="8"/>
  <c r="C90" i="8"/>
  <c r="H90" i="8"/>
  <c r="C91" i="8"/>
  <c r="I91" i="8"/>
  <c r="I92" i="8"/>
  <c r="E93" i="8"/>
  <c r="J93" i="8"/>
  <c r="A95" i="8"/>
  <c r="A96" i="8"/>
  <c r="G97" i="8"/>
  <c r="C99" i="8"/>
  <c r="A20" i="8"/>
  <c r="A25" i="8"/>
  <c r="B27" i="8"/>
  <c r="D30" i="8"/>
  <c r="F33" i="8"/>
  <c r="I37" i="8"/>
  <c r="A41" i="8"/>
  <c r="C44" i="8"/>
  <c r="E47" i="8"/>
  <c r="G50" i="8"/>
  <c r="I53" i="8"/>
  <c r="C56" i="8"/>
  <c r="G58" i="8"/>
  <c r="C60" i="8"/>
  <c r="I8" i="8"/>
  <c r="C15" i="8"/>
  <c r="G21" i="8"/>
  <c r="C24" i="8"/>
  <c r="C25" i="8"/>
  <c r="D26" i="8"/>
  <c r="E27" i="8"/>
  <c r="E28" i="8"/>
  <c r="F29" i="8"/>
  <c r="G30" i="8"/>
  <c r="G31" i="8"/>
  <c r="H32" i="8"/>
  <c r="I33" i="8"/>
  <c r="I34" i="8"/>
  <c r="J35" i="8"/>
  <c r="A37" i="8"/>
  <c r="A38" i="8"/>
  <c r="B39" i="8"/>
  <c r="C40" i="8"/>
  <c r="C41" i="8"/>
  <c r="D42" i="8"/>
  <c r="E43" i="8"/>
  <c r="E44" i="8"/>
  <c r="F45" i="8"/>
  <c r="G46" i="8"/>
  <c r="G47" i="8"/>
  <c r="H48" i="8"/>
  <c r="I49" i="8"/>
  <c r="I50" i="8"/>
  <c r="J51" i="8"/>
  <c r="A53" i="8"/>
  <c r="A54" i="8"/>
  <c r="I54" i="8"/>
  <c r="G55" i="8"/>
  <c r="E56" i="8"/>
  <c r="C57" i="8"/>
  <c r="A58" i="8"/>
  <c r="I58" i="8"/>
  <c r="G59" i="8"/>
  <c r="E60" i="8"/>
  <c r="C61" i="8"/>
  <c r="A62" i="8"/>
  <c r="I62" i="8"/>
  <c r="G63" i="8"/>
  <c r="E64" i="8"/>
  <c r="C65" i="8"/>
  <c r="A66" i="8"/>
  <c r="I66" i="8"/>
  <c r="G67" i="8"/>
  <c r="E68" i="8"/>
  <c r="C69" i="8"/>
  <c r="A70" i="8"/>
  <c r="I70" i="8"/>
  <c r="G71" i="8"/>
  <c r="E72" i="8"/>
  <c r="C73" i="8"/>
  <c r="A74" i="8"/>
  <c r="I74" i="8"/>
  <c r="G75" i="8"/>
  <c r="E76" i="8"/>
  <c r="B77" i="8"/>
  <c r="G77" i="8"/>
  <c r="C78" i="8"/>
  <c r="H78" i="8"/>
  <c r="C79" i="8"/>
  <c r="I79" i="8"/>
  <c r="D80" i="8"/>
  <c r="I80" i="8"/>
  <c r="E81" i="8"/>
  <c r="J81" i="8"/>
  <c r="E82" i="8"/>
  <c r="A83" i="8"/>
  <c r="F83" i="8"/>
  <c r="A84" i="8"/>
  <c r="G84" i="8"/>
  <c r="B85" i="8"/>
  <c r="G85" i="8"/>
  <c r="C86" i="8"/>
  <c r="H86" i="8"/>
  <c r="C87" i="8"/>
  <c r="I87" i="8"/>
  <c r="D88" i="8"/>
  <c r="I88" i="8"/>
  <c r="E89" i="8"/>
  <c r="J89" i="8"/>
  <c r="E90" i="8"/>
  <c r="A91" i="8"/>
  <c r="F91" i="8"/>
  <c r="A92" i="8"/>
  <c r="G92" i="8"/>
  <c r="B93" i="8"/>
  <c r="G93" i="8"/>
  <c r="C94" i="8"/>
  <c r="H94" i="8"/>
  <c r="C95" i="8"/>
  <c r="I95" i="8"/>
  <c r="D96" i="8"/>
  <c r="I96" i="8"/>
  <c r="E97" i="8"/>
  <c r="J97" i="8"/>
  <c r="E98" i="8"/>
  <c r="A99" i="8"/>
  <c r="F99" i="8"/>
  <c r="A100" i="8"/>
  <c r="G100" i="8"/>
  <c r="B97" i="8"/>
  <c r="H98" i="8"/>
  <c r="D100" i="8"/>
  <c r="C7" i="8"/>
  <c r="A26" i="8"/>
  <c r="C29" i="8"/>
  <c r="E32" i="8"/>
  <c r="G34" i="8"/>
  <c r="H36" i="8"/>
  <c r="J39" i="8"/>
  <c r="B43" i="8"/>
  <c r="D46" i="8"/>
  <c r="F49" i="8"/>
  <c r="H52" i="8"/>
  <c r="E55" i="8"/>
  <c r="I57" i="8"/>
  <c r="A61" i="8"/>
  <c r="G62" i="8"/>
  <c r="I65" i="8"/>
  <c r="A69" i="8"/>
  <c r="C72" i="8"/>
  <c r="E75" i="8"/>
  <c r="A78" i="8"/>
  <c r="C80" i="8"/>
  <c r="D82" i="8"/>
  <c r="E84" i="8"/>
  <c r="G86" i="8"/>
  <c r="H88" i="8"/>
  <c r="I90" i="8"/>
  <c r="A93" i="8"/>
  <c r="B95" i="8"/>
  <c r="C97" i="8"/>
  <c r="E99" i="8"/>
  <c r="E63" i="8"/>
  <c r="I69" i="8"/>
  <c r="C76" i="8"/>
  <c r="I82" i="8"/>
  <c r="B87" i="8"/>
  <c r="E91" i="8"/>
  <c r="G95" i="8"/>
  <c r="J99" i="8"/>
  <c r="E67" i="8"/>
  <c r="G70" i="8"/>
  <c r="A77" i="8"/>
  <c r="C81" i="8"/>
  <c r="F85" i="8"/>
  <c r="I89" i="8"/>
  <c r="A94" i="8"/>
  <c r="D98" i="8"/>
  <c r="A65" i="8"/>
  <c r="C68" i="8"/>
  <c r="E71" i="8"/>
  <c r="G74" i="8"/>
  <c r="F77" i="8"/>
  <c r="G79" i="8"/>
  <c r="I81" i="8"/>
  <c r="J83" i="8"/>
  <c r="A86" i="8"/>
  <c r="C88" i="8"/>
  <c r="D90" i="8"/>
  <c r="E92" i="8"/>
  <c r="G94" i="8"/>
  <c r="H96" i="8"/>
  <c r="I98" i="8"/>
  <c r="G66" i="8"/>
  <c r="A73" i="8"/>
  <c r="G78" i="8"/>
  <c r="H80" i="8"/>
  <c r="A85" i="8"/>
  <c r="C89" i="8"/>
  <c r="F93" i="8"/>
  <c r="I97" i="8"/>
  <c r="C64" i="8"/>
  <c r="I73" i="8"/>
  <c r="B79" i="8"/>
  <c r="E83" i="8"/>
  <c r="G87" i="8"/>
  <c r="J91" i="8"/>
  <c r="C96" i="8"/>
  <c r="E100" i="8"/>
  <c r="D2" i="8"/>
  <c r="C3" i="10"/>
  <c r="G3" i="10"/>
  <c r="F4" i="10"/>
  <c r="E5" i="10"/>
  <c r="C7" i="10"/>
  <c r="G7" i="10"/>
  <c r="F8" i="10"/>
  <c r="E9" i="10"/>
  <c r="C11" i="10"/>
  <c r="G11" i="10"/>
  <c r="F12" i="10"/>
  <c r="E13" i="10"/>
  <c r="C15" i="10"/>
  <c r="G15" i="10"/>
  <c r="F16" i="10"/>
  <c r="F24" i="10"/>
  <c r="E25" i="10"/>
  <c r="D26" i="10"/>
  <c r="C27" i="10"/>
  <c r="G27" i="10"/>
  <c r="F28" i="10"/>
  <c r="E29" i="10"/>
  <c r="D30" i="10"/>
  <c r="C31" i="10"/>
  <c r="G31" i="10"/>
  <c r="F32" i="10"/>
  <c r="E33" i="10"/>
  <c r="D34" i="10"/>
  <c r="C35" i="10"/>
  <c r="G35" i="10"/>
  <c r="F36" i="10"/>
  <c r="E37" i="10"/>
  <c r="D38" i="10"/>
  <c r="C39" i="10"/>
  <c r="G39" i="10"/>
  <c r="F40" i="10"/>
  <c r="E41" i="10"/>
  <c r="D42" i="10"/>
  <c r="C43" i="10"/>
  <c r="G43" i="10"/>
  <c r="F44" i="10"/>
  <c r="E45" i="10"/>
  <c r="D46" i="10"/>
  <c r="C47" i="10"/>
  <c r="G47" i="10"/>
  <c r="F48" i="10"/>
  <c r="E49" i="10"/>
  <c r="D50" i="10"/>
  <c r="C51" i="10"/>
  <c r="G51" i="10"/>
  <c r="F52" i="10"/>
  <c r="E53" i="10"/>
  <c r="D54" i="10"/>
  <c r="C55" i="10"/>
  <c r="G55" i="10"/>
  <c r="F56" i="10"/>
  <c r="E57" i="10"/>
  <c r="D58" i="10"/>
  <c r="C59" i="10"/>
  <c r="G59" i="10"/>
  <c r="F60" i="10"/>
  <c r="E61" i="10"/>
  <c r="D62" i="10"/>
  <c r="C63" i="10"/>
  <c r="G63" i="10"/>
  <c r="F64" i="10"/>
  <c r="E65" i="10"/>
  <c r="D66" i="10"/>
  <c r="C67" i="10"/>
  <c r="G67" i="10"/>
  <c r="F68" i="10"/>
  <c r="E69" i="10"/>
  <c r="D70" i="10"/>
  <c r="C71" i="10"/>
  <c r="G71" i="10"/>
  <c r="F72" i="10"/>
  <c r="E73" i="10"/>
  <c r="D74" i="10"/>
  <c r="C75" i="10"/>
  <c r="G75" i="10"/>
  <c r="F76" i="10"/>
  <c r="E77" i="10"/>
  <c r="D78" i="10"/>
  <c r="C79" i="10"/>
  <c r="G79" i="10"/>
  <c r="F80" i="10"/>
  <c r="E81" i="10"/>
  <c r="D82" i="10"/>
  <c r="C83" i="10"/>
  <c r="G83" i="10"/>
  <c r="F84" i="10"/>
  <c r="E85" i="10"/>
  <c r="D86" i="10"/>
  <c r="C87" i="10"/>
  <c r="G87" i="10"/>
  <c r="F88" i="10"/>
  <c r="E89" i="10"/>
  <c r="D90" i="10"/>
  <c r="G91" i="10"/>
  <c r="E93" i="10"/>
  <c r="C95" i="10"/>
  <c r="F96" i="10"/>
  <c r="D98" i="10"/>
  <c r="C4" i="10"/>
  <c r="G4" i="10"/>
  <c r="F5" i="10"/>
  <c r="E6" i="10"/>
  <c r="C8" i="10"/>
  <c r="G8" i="10"/>
  <c r="F9" i="10"/>
  <c r="E10" i="10"/>
  <c r="C12" i="10"/>
  <c r="G12" i="10"/>
  <c r="F13" i="10"/>
  <c r="E14" i="10"/>
  <c r="C16" i="10"/>
  <c r="G16" i="10"/>
  <c r="C24" i="10"/>
  <c r="G24" i="10"/>
  <c r="F25" i="10"/>
  <c r="E26" i="10"/>
  <c r="D27" i="10"/>
  <c r="C28" i="10"/>
  <c r="G28" i="10"/>
  <c r="F29" i="10"/>
  <c r="E30" i="10"/>
  <c r="D31" i="10"/>
  <c r="C32" i="10"/>
  <c r="G32" i="10"/>
  <c r="F33" i="10"/>
  <c r="E34" i="10"/>
  <c r="D35" i="10"/>
  <c r="C36" i="10"/>
  <c r="G36" i="10"/>
  <c r="F37" i="10"/>
  <c r="E38" i="10"/>
  <c r="D39" i="10"/>
  <c r="C40" i="10"/>
  <c r="G40" i="10"/>
  <c r="F41" i="10"/>
  <c r="E42" i="10"/>
  <c r="D43" i="10"/>
  <c r="C44" i="10"/>
  <c r="G44" i="10"/>
  <c r="F45" i="10"/>
  <c r="E46" i="10"/>
  <c r="D47" i="10"/>
  <c r="C48" i="10"/>
  <c r="G48" i="10"/>
  <c r="F49" i="10"/>
  <c r="E50" i="10"/>
  <c r="D51" i="10"/>
  <c r="C52" i="10"/>
  <c r="G52" i="10"/>
  <c r="F53" i="10"/>
  <c r="E54" i="10"/>
  <c r="D55" i="10"/>
  <c r="C56" i="10"/>
  <c r="G56" i="10"/>
  <c r="F57" i="10"/>
  <c r="E58" i="10"/>
  <c r="D59" i="10"/>
  <c r="C60" i="10"/>
  <c r="G60" i="10"/>
  <c r="F61" i="10"/>
  <c r="E62" i="10"/>
  <c r="D63" i="10"/>
  <c r="C64" i="10"/>
  <c r="G64" i="10"/>
  <c r="F65" i="10"/>
  <c r="E66" i="10"/>
  <c r="D67" i="10"/>
  <c r="C68" i="10"/>
  <c r="G68" i="10"/>
  <c r="F69" i="10"/>
  <c r="E70" i="10"/>
  <c r="D71" i="10"/>
  <c r="C72" i="10"/>
  <c r="G72" i="10"/>
  <c r="F73" i="10"/>
  <c r="E74" i="10"/>
  <c r="D75" i="10"/>
  <c r="F3" i="10"/>
  <c r="E4" i="10"/>
  <c r="C6" i="10"/>
  <c r="G6" i="10"/>
  <c r="F7" i="10"/>
  <c r="E8" i="10"/>
  <c r="C10" i="10"/>
  <c r="G10" i="10"/>
  <c r="F11" i="10"/>
  <c r="E12" i="10"/>
  <c r="C14" i="10"/>
  <c r="G14" i="10"/>
  <c r="F15" i="10"/>
  <c r="E16" i="10"/>
  <c r="E24" i="10"/>
  <c r="D25" i="10"/>
  <c r="C26" i="10"/>
  <c r="G26" i="10"/>
  <c r="F27" i="10"/>
  <c r="E28" i="10"/>
  <c r="D29" i="10"/>
  <c r="C30" i="10"/>
  <c r="G30" i="10"/>
  <c r="F31" i="10"/>
  <c r="E32" i="10"/>
  <c r="D33" i="10"/>
  <c r="C34" i="10"/>
  <c r="G34" i="10"/>
  <c r="F35" i="10"/>
  <c r="E36" i="10"/>
  <c r="D37" i="10"/>
  <c r="C38" i="10"/>
  <c r="G38" i="10"/>
  <c r="F39" i="10"/>
  <c r="E40" i="10"/>
  <c r="D41" i="10"/>
  <c r="C42" i="10"/>
  <c r="G42" i="10"/>
  <c r="F43" i="10"/>
  <c r="E44" i="10"/>
  <c r="D45" i="10"/>
  <c r="C46" i="10"/>
  <c r="G46" i="10"/>
  <c r="F47" i="10"/>
  <c r="E48" i="10"/>
  <c r="D49" i="10"/>
  <c r="C50" i="10"/>
  <c r="G50" i="10"/>
  <c r="F51" i="10"/>
  <c r="E52" i="10"/>
  <c r="D53" i="10"/>
  <c r="C54" i="10"/>
  <c r="G54" i="10"/>
  <c r="F55" i="10"/>
  <c r="E56" i="10"/>
  <c r="D57" i="10"/>
  <c r="C58" i="10"/>
  <c r="G58" i="10"/>
  <c r="F59" i="10"/>
  <c r="E60" i="10"/>
  <c r="D61" i="10"/>
  <c r="C62" i="10"/>
  <c r="G62" i="10"/>
  <c r="F63" i="10"/>
  <c r="E64" i="10"/>
  <c r="D65" i="10"/>
  <c r="C66" i="10"/>
  <c r="G66" i="10"/>
  <c r="F67" i="10"/>
  <c r="E68" i="10"/>
  <c r="D69" i="10"/>
  <c r="C70" i="10"/>
  <c r="G70" i="10"/>
  <c r="F71" i="10"/>
  <c r="E72" i="10"/>
  <c r="D73" i="10"/>
  <c r="C74" i="10"/>
  <c r="G74" i="10"/>
  <c r="F75" i="10"/>
  <c r="E76" i="10"/>
  <c r="D77" i="10"/>
  <c r="C78" i="10"/>
  <c r="G78" i="10"/>
  <c r="F79" i="10"/>
  <c r="E80" i="10"/>
  <c r="D81" i="10"/>
  <c r="C82" i="10"/>
  <c r="G82" i="10"/>
  <c r="F83" i="10"/>
  <c r="E84" i="10"/>
  <c r="D85" i="10"/>
  <c r="C86" i="10"/>
  <c r="G86" i="10"/>
  <c r="F87" i="10"/>
  <c r="E88" i="10"/>
  <c r="D89" i="10"/>
  <c r="C90" i="10"/>
  <c r="G90" i="10"/>
  <c r="F91" i="10"/>
  <c r="E92" i="10"/>
  <c r="D93" i="10"/>
  <c r="C94" i="10"/>
  <c r="G94" i="10"/>
  <c r="F95" i="10"/>
  <c r="E96" i="10"/>
  <c r="D97" i="10"/>
  <c r="C98" i="10"/>
  <c r="G98" i="10"/>
  <c r="F99" i="10"/>
  <c r="E100" i="10"/>
  <c r="C91" i="10"/>
  <c r="F92" i="10"/>
  <c r="D94" i="10"/>
  <c r="G95" i="10"/>
  <c r="E97" i="10"/>
  <c r="E3" i="10"/>
  <c r="F6" i="10"/>
  <c r="G9" i="10"/>
  <c r="C13" i="10"/>
  <c r="G25" i="10"/>
  <c r="C29" i="10"/>
  <c r="D32" i="10"/>
  <c r="E35" i="10"/>
  <c r="F38" i="10"/>
  <c r="G41" i="10"/>
  <c r="C45" i="10"/>
  <c r="D48" i="10"/>
  <c r="E51" i="10"/>
  <c r="F54" i="10"/>
  <c r="G57" i="10"/>
  <c r="C61" i="10"/>
  <c r="D64" i="10"/>
  <c r="E67" i="10"/>
  <c r="F70" i="10"/>
  <c r="G73" i="10"/>
  <c r="D76" i="10"/>
  <c r="G77" i="10"/>
  <c r="E79" i="10"/>
  <c r="C81" i="10"/>
  <c r="F82" i="10"/>
  <c r="D84" i="10"/>
  <c r="G85" i="10"/>
  <c r="E87" i="10"/>
  <c r="C89" i="10"/>
  <c r="F90" i="10"/>
  <c r="D92" i="10"/>
  <c r="G93" i="10"/>
  <c r="E95" i="10"/>
  <c r="C97" i="10"/>
  <c r="F98" i="10"/>
  <c r="G100" i="10"/>
  <c r="E71" i="10"/>
  <c r="F81" i="10"/>
  <c r="C88" i="10"/>
  <c r="E94" i="10"/>
  <c r="C99" i="10"/>
  <c r="C5" i="10"/>
  <c r="D24" i="10"/>
  <c r="G33" i="10"/>
  <c r="G49" i="10"/>
  <c r="E59" i="10"/>
  <c r="D72" i="10"/>
  <c r="C77" i="10"/>
  <c r="G81" i="10"/>
  <c r="F86" i="10"/>
  <c r="C93" i="10"/>
  <c r="G97" i="10"/>
  <c r="E7" i="10"/>
  <c r="F10" i="10"/>
  <c r="G13" i="10"/>
  <c r="F26" i="10"/>
  <c r="G29" i="10"/>
  <c r="C33" i="10"/>
  <c r="D36" i="10"/>
  <c r="E39" i="10"/>
  <c r="F42" i="10"/>
  <c r="G45" i="10"/>
  <c r="C49" i="10"/>
  <c r="D52" i="10"/>
  <c r="E55" i="10"/>
  <c r="F58" i="10"/>
  <c r="G61" i="10"/>
  <c r="D68" i="10"/>
  <c r="F74" i="10"/>
  <c r="E78" i="10"/>
  <c r="G84" i="10"/>
  <c r="D91" i="10"/>
  <c r="C96" i="10"/>
  <c r="E11" i="10"/>
  <c r="F14" i="10"/>
  <c r="F30" i="10"/>
  <c r="D40" i="10"/>
  <c r="F46" i="10"/>
  <c r="D56" i="10"/>
  <c r="G65" i="10"/>
  <c r="E75" i="10"/>
  <c r="D80" i="10"/>
  <c r="C85" i="10"/>
  <c r="G89" i="10"/>
  <c r="F94" i="10"/>
  <c r="D99" i="10"/>
  <c r="G5" i="10"/>
  <c r="C9" i="10"/>
  <c r="E15" i="10"/>
  <c r="C25" i="10"/>
  <c r="D28" i="10"/>
  <c r="E31" i="10"/>
  <c r="F34" i="10"/>
  <c r="G37" i="10"/>
  <c r="C41" i="10"/>
  <c r="D44" i="10"/>
  <c r="E47" i="10"/>
  <c r="F50" i="10"/>
  <c r="G53" i="10"/>
  <c r="C57" i="10"/>
  <c r="D60" i="10"/>
  <c r="E63" i="10"/>
  <c r="F66" i="10"/>
  <c r="G69" i="10"/>
  <c r="C73" i="10"/>
  <c r="C76" i="10"/>
  <c r="F77" i="10"/>
  <c r="D79" i="10"/>
  <c r="G80" i="10"/>
  <c r="E82" i="10"/>
  <c r="C84" i="10"/>
  <c r="F85" i="10"/>
  <c r="D87" i="10"/>
  <c r="G88" i="10"/>
  <c r="E90" i="10"/>
  <c r="C92" i="10"/>
  <c r="F93" i="10"/>
  <c r="D95" i="10"/>
  <c r="G96" i="10"/>
  <c r="E98" i="10"/>
  <c r="E99" i="10"/>
  <c r="F100" i="10"/>
  <c r="G99" i="10"/>
  <c r="C65" i="10"/>
  <c r="G76" i="10"/>
  <c r="C80" i="10"/>
  <c r="D83" i="10"/>
  <c r="E86" i="10"/>
  <c r="F89" i="10"/>
  <c r="G92" i="10"/>
  <c r="F97" i="10"/>
  <c r="C100" i="10"/>
  <c r="E27" i="10"/>
  <c r="C37" i="10"/>
  <c r="E43" i="10"/>
  <c r="C53" i="10"/>
  <c r="F62" i="10"/>
  <c r="C69" i="10"/>
  <c r="F78" i="10"/>
  <c r="E83" i="10"/>
  <c r="D88" i="10"/>
  <c r="E91" i="10"/>
  <c r="D96" i="10"/>
  <c r="D100" i="10"/>
  <c r="G2" i="10"/>
  <c r="F2" i="10"/>
  <c r="E2" i="10"/>
  <c r="C2" i="10"/>
  <c r="D14" i="10"/>
  <c r="D3" i="10"/>
  <c r="D5" i="10"/>
  <c r="D4" i="10"/>
  <c r="D13" i="10"/>
  <c r="D15" i="10"/>
  <c r="D8" i="10"/>
  <c r="D2" i="10"/>
  <c r="D16" i="10"/>
  <c r="D10" i="10"/>
  <c r="D11" i="10"/>
  <c r="D12" i="10"/>
  <c r="D7" i="10"/>
  <c r="D9" i="10"/>
  <c r="D6" i="10"/>
  <c r="B4" i="9"/>
  <c r="B6" i="9"/>
  <c r="B8" i="9"/>
  <c r="B10" i="9"/>
  <c r="B12" i="9"/>
  <c r="B14" i="9"/>
  <c r="B16" i="9"/>
  <c r="B18" i="9"/>
  <c r="B26" i="9"/>
  <c r="B28" i="9"/>
  <c r="B30" i="9"/>
  <c r="B32" i="9"/>
  <c r="B34" i="9"/>
  <c r="B36" i="9"/>
  <c r="B38" i="9"/>
  <c r="B40" i="9"/>
  <c r="B42" i="9"/>
  <c r="B44" i="9"/>
  <c r="B46" i="9"/>
  <c r="B48" i="9"/>
  <c r="B50" i="9"/>
  <c r="B52" i="9"/>
  <c r="B54" i="9"/>
  <c r="B56" i="9"/>
  <c r="B58" i="9"/>
  <c r="B60" i="9"/>
  <c r="B62" i="9"/>
  <c r="B64" i="9"/>
  <c r="B66" i="9"/>
  <c r="G4" i="9"/>
  <c r="G6" i="9"/>
  <c r="G8" i="9"/>
  <c r="G10" i="9"/>
  <c r="G12" i="9"/>
  <c r="G14" i="9"/>
  <c r="G16" i="9"/>
  <c r="G18" i="9"/>
  <c r="G20" i="9"/>
  <c r="G22" i="9"/>
  <c r="G24" i="9"/>
  <c r="G26" i="9"/>
  <c r="G28" i="9"/>
  <c r="G30" i="9"/>
  <c r="G32" i="9"/>
  <c r="G34" i="9"/>
  <c r="G36" i="9"/>
  <c r="G38" i="9"/>
  <c r="G40" i="9"/>
  <c r="G42" i="9"/>
  <c r="G44" i="9"/>
  <c r="G46" i="9"/>
  <c r="G48" i="9"/>
  <c r="G50" i="9"/>
  <c r="G52" i="9"/>
  <c r="G54" i="9"/>
  <c r="G56" i="9"/>
  <c r="G58" i="9"/>
  <c r="G60" i="9"/>
  <c r="H3" i="9"/>
  <c r="H5" i="9"/>
  <c r="H7" i="9"/>
  <c r="H9" i="9"/>
  <c r="H11" i="9"/>
  <c r="H13" i="9"/>
  <c r="H15" i="9"/>
  <c r="H17" i="9"/>
  <c r="H19" i="9"/>
  <c r="H21" i="9"/>
  <c r="H23" i="9"/>
  <c r="H25" i="9"/>
  <c r="H27" i="9"/>
  <c r="H29" i="9"/>
  <c r="H31" i="9"/>
  <c r="H33" i="9"/>
  <c r="H35" i="9"/>
  <c r="H37" i="9"/>
  <c r="H39" i="9"/>
  <c r="H41" i="9"/>
  <c r="H43" i="9"/>
  <c r="H45" i="9"/>
  <c r="H47" i="9"/>
  <c r="H49" i="9"/>
  <c r="H51" i="9"/>
  <c r="H53" i="9"/>
  <c r="H55" i="9"/>
  <c r="H57" i="9"/>
  <c r="H59" i="9"/>
  <c r="H61" i="9"/>
  <c r="A7" i="9"/>
  <c r="A15" i="9"/>
  <c r="A23" i="9"/>
  <c r="A31" i="9"/>
  <c r="A39" i="9"/>
  <c r="A47" i="9"/>
  <c r="A55" i="9"/>
  <c r="E62" i="9"/>
  <c r="H65" i="9"/>
  <c r="E68" i="9"/>
  <c r="A73" i="9"/>
  <c r="A78" i="9"/>
  <c r="E82" i="9"/>
  <c r="E5" i="9"/>
  <c r="E13" i="9"/>
  <c r="E21" i="9"/>
  <c r="E29" i="9"/>
  <c r="E37" i="9"/>
  <c r="E45" i="9"/>
  <c r="E53" i="9"/>
  <c r="E61" i="9"/>
  <c r="G64" i="9"/>
  <c r="B67" i="9"/>
  <c r="B69" i="9"/>
  <c r="B71" i="9"/>
  <c r="B73" i="9"/>
  <c r="B75" i="9"/>
  <c r="B77" i="9"/>
  <c r="B79" i="9"/>
  <c r="B81" i="9"/>
  <c r="B83" i="9"/>
  <c r="B85" i="9"/>
  <c r="B87" i="9"/>
  <c r="B89" i="9"/>
  <c r="B91" i="9"/>
  <c r="B93" i="9"/>
  <c r="B3" i="9"/>
  <c r="B5" i="9"/>
  <c r="B7" i="9"/>
  <c r="B9" i="9"/>
  <c r="B11" i="9"/>
  <c r="B13" i="9"/>
  <c r="B15" i="9"/>
  <c r="B17" i="9"/>
  <c r="B19" i="9"/>
  <c r="B25" i="9"/>
  <c r="B27" i="9"/>
  <c r="B29" i="9"/>
  <c r="B31" i="9"/>
  <c r="B33" i="9"/>
  <c r="B35" i="9"/>
  <c r="B37" i="9"/>
  <c r="B39" i="9"/>
  <c r="B41" i="9"/>
  <c r="B43" i="9"/>
  <c r="B45" i="9"/>
  <c r="B47" i="9"/>
  <c r="B49" i="9"/>
  <c r="B51" i="9"/>
  <c r="B53" i="9"/>
  <c r="B55" i="9"/>
  <c r="B57" i="9"/>
  <c r="B59" i="9"/>
  <c r="B61" i="9"/>
  <c r="B63" i="9"/>
  <c r="B65" i="9"/>
  <c r="G3" i="9"/>
  <c r="G5" i="9"/>
  <c r="G7" i="9"/>
  <c r="G9" i="9"/>
  <c r="G11" i="9"/>
  <c r="G13" i="9"/>
  <c r="G15" i="9"/>
  <c r="G17" i="9"/>
  <c r="G19" i="9"/>
  <c r="G21" i="9"/>
  <c r="G23" i="9"/>
  <c r="G25" i="9"/>
  <c r="G27" i="9"/>
  <c r="G29" i="9"/>
  <c r="G31" i="9"/>
  <c r="G33" i="9"/>
  <c r="G35" i="9"/>
  <c r="G37" i="9"/>
  <c r="G39" i="9"/>
  <c r="G41" i="9"/>
  <c r="G43" i="9"/>
  <c r="G45" i="9"/>
  <c r="G47" i="9"/>
  <c r="G49" i="9"/>
  <c r="G51" i="9"/>
  <c r="G53" i="9"/>
  <c r="G55" i="9"/>
  <c r="G57" i="9"/>
  <c r="G59" i="9"/>
  <c r="G61" i="9"/>
  <c r="H4" i="9"/>
  <c r="H6" i="9"/>
  <c r="H8" i="9"/>
  <c r="H10" i="9"/>
  <c r="H12" i="9"/>
  <c r="H14" i="9"/>
  <c r="H16" i="9"/>
  <c r="H18" i="9"/>
  <c r="H20" i="9"/>
  <c r="H22" i="9"/>
  <c r="H24" i="9"/>
  <c r="H26" i="9"/>
  <c r="H28" i="9"/>
  <c r="H30" i="9"/>
  <c r="H32" i="9"/>
  <c r="H34" i="9"/>
  <c r="H36" i="9"/>
  <c r="H38" i="9"/>
  <c r="H40" i="9"/>
  <c r="H42" i="9"/>
  <c r="H44" i="9"/>
  <c r="H46" i="9"/>
  <c r="H48" i="9"/>
  <c r="H50" i="9"/>
  <c r="H52" i="9"/>
  <c r="H54" i="9"/>
  <c r="H56" i="9"/>
  <c r="H58" i="9"/>
  <c r="H60" i="9"/>
  <c r="A3" i="9"/>
  <c r="A11" i="9"/>
  <c r="A19" i="9"/>
  <c r="A27" i="9"/>
  <c r="A35" i="9"/>
  <c r="A43" i="9"/>
  <c r="A51" i="9"/>
  <c r="A59" i="9"/>
  <c r="E64" i="9"/>
  <c r="A67" i="9"/>
  <c r="E70" i="9"/>
  <c r="E75" i="9"/>
  <c r="E80" i="9"/>
  <c r="A85" i="9"/>
  <c r="E9" i="9"/>
  <c r="E17" i="9"/>
  <c r="E25" i="9"/>
  <c r="E33" i="9"/>
  <c r="E41" i="9"/>
  <c r="E49" i="9"/>
  <c r="E57" i="9"/>
  <c r="D63" i="9"/>
  <c r="A66" i="9"/>
  <c r="B68" i="9"/>
  <c r="B70" i="9"/>
  <c r="B72" i="9"/>
  <c r="B74" i="9"/>
  <c r="B76" i="9"/>
  <c r="B78" i="9"/>
  <c r="B80" i="9"/>
  <c r="B82" i="9"/>
  <c r="B84" i="9"/>
  <c r="B86" i="9"/>
  <c r="B88" i="9"/>
  <c r="B90" i="9"/>
  <c r="B92" i="9"/>
  <c r="F6" i="9"/>
  <c r="F10" i="9"/>
  <c r="F14" i="9"/>
  <c r="F18" i="9"/>
  <c r="F22" i="9"/>
  <c r="F26" i="9"/>
  <c r="F30" i="9"/>
  <c r="F34" i="9"/>
  <c r="F38" i="9"/>
  <c r="F42" i="9"/>
  <c r="F46" i="9"/>
  <c r="F50" i="9"/>
  <c r="F54" i="9"/>
  <c r="F58" i="9"/>
  <c r="F62" i="9"/>
  <c r="C3" i="9"/>
  <c r="C7" i="9"/>
  <c r="C11" i="9"/>
  <c r="C15" i="9"/>
  <c r="C19" i="9"/>
  <c r="C23" i="9"/>
  <c r="C27" i="9"/>
  <c r="C31" i="9"/>
  <c r="C35" i="9"/>
  <c r="C39" i="9"/>
  <c r="C43" i="9"/>
  <c r="C47" i="9"/>
  <c r="C51" i="9"/>
  <c r="C55" i="9"/>
  <c r="C59" i="9"/>
  <c r="D4" i="9"/>
  <c r="D8" i="9"/>
  <c r="D12" i="9"/>
  <c r="D16" i="9"/>
  <c r="D20" i="9"/>
  <c r="D24" i="9"/>
  <c r="D28" i="9"/>
  <c r="D32" i="9"/>
  <c r="D36" i="9"/>
  <c r="D40" i="9"/>
  <c r="D44" i="9"/>
  <c r="D48" i="9"/>
  <c r="D52" i="9"/>
  <c r="D56" i="9"/>
  <c r="D60" i="9"/>
  <c r="A9" i="9"/>
  <c r="A25" i="9"/>
  <c r="A41" i="9"/>
  <c r="A57" i="9"/>
  <c r="E66" i="9"/>
  <c r="E74" i="9"/>
  <c r="A84" i="9"/>
  <c r="E15" i="9"/>
  <c r="E31" i="9"/>
  <c r="E47" i="9"/>
  <c r="G62" i="9"/>
  <c r="F67" i="9"/>
  <c r="F71" i="9"/>
  <c r="F75" i="9"/>
  <c r="F79" i="9"/>
  <c r="F83" i="9"/>
  <c r="F87" i="9"/>
  <c r="F91" i="9"/>
  <c r="F94" i="9"/>
  <c r="F96" i="9"/>
  <c r="F98" i="9"/>
  <c r="F100" i="9"/>
  <c r="F4" i="9"/>
  <c r="F8" i="9"/>
  <c r="F12" i="9"/>
  <c r="F16" i="9"/>
  <c r="F20" i="9"/>
  <c r="F24" i="9"/>
  <c r="F28" i="9"/>
  <c r="F32" i="9"/>
  <c r="F36" i="9"/>
  <c r="F40" i="9"/>
  <c r="F44" i="9"/>
  <c r="F48" i="9"/>
  <c r="F52" i="9"/>
  <c r="F56" i="9"/>
  <c r="F60" i="9"/>
  <c r="F64" i="9"/>
  <c r="C5" i="9"/>
  <c r="C9" i="9"/>
  <c r="C13" i="9"/>
  <c r="C17" i="9"/>
  <c r="C21" i="9"/>
  <c r="C25" i="9"/>
  <c r="C29" i="9"/>
  <c r="C33" i="9"/>
  <c r="C37" i="9"/>
  <c r="C41" i="9"/>
  <c r="C45" i="9"/>
  <c r="C49" i="9"/>
  <c r="C53" i="9"/>
  <c r="C57" i="9"/>
  <c r="C61" i="9"/>
  <c r="D6" i="9"/>
  <c r="D10" i="9"/>
  <c r="D14" i="9"/>
  <c r="D18" i="9"/>
  <c r="D22" i="9"/>
  <c r="D26" i="9"/>
  <c r="D30" i="9"/>
  <c r="D34" i="9"/>
  <c r="D38" i="9"/>
  <c r="D42" i="9"/>
  <c r="D46" i="9"/>
  <c r="D50" i="9"/>
  <c r="D54" i="9"/>
  <c r="D58" i="9"/>
  <c r="D62" i="9"/>
  <c r="A17" i="9"/>
  <c r="A33" i="9"/>
  <c r="A49" i="9"/>
  <c r="H63" i="9"/>
  <c r="E69" i="9"/>
  <c r="A79" i="9"/>
  <c r="E7" i="9"/>
  <c r="E23" i="9"/>
  <c r="E39" i="9"/>
  <c r="E55" i="9"/>
  <c r="D65" i="9"/>
  <c r="F69" i="9"/>
  <c r="F73" i="9"/>
  <c r="F77" i="9"/>
  <c r="F81" i="9"/>
  <c r="F85" i="9"/>
  <c r="F89" i="9"/>
  <c r="F93" i="9"/>
  <c r="F95" i="9"/>
  <c r="F97" i="9"/>
  <c r="F99" i="9"/>
  <c r="A6" i="9"/>
  <c r="A14" i="9"/>
  <c r="A22" i="9"/>
  <c r="A30" i="9"/>
  <c r="E6" i="9"/>
  <c r="E14" i="9"/>
  <c r="E22" i="9"/>
  <c r="E30" i="9"/>
  <c r="E38" i="9"/>
  <c r="E46" i="9"/>
  <c r="E54" i="9"/>
  <c r="C62" i="9"/>
  <c r="A65" i="9"/>
  <c r="D67" i="9"/>
  <c r="D69" i="9"/>
  <c r="D71" i="9"/>
  <c r="D73" i="9"/>
  <c r="D75" i="9"/>
  <c r="D77" i="9"/>
  <c r="D79" i="9"/>
  <c r="D81" i="9"/>
  <c r="D83" i="9"/>
  <c r="D85" i="9"/>
  <c r="D87" i="9"/>
  <c r="D89" i="9"/>
  <c r="D91" i="9"/>
  <c r="D93" i="9"/>
  <c r="D95" i="9"/>
  <c r="D97" i="9"/>
  <c r="D99" i="9"/>
  <c r="C63" i="9"/>
  <c r="A71" i="9"/>
  <c r="A74" i="9"/>
  <c r="E77" i="9"/>
  <c r="A81" i="9"/>
  <c r="E84" i="9"/>
  <c r="A52" i="9"/>
  <c r="G68" i="9"/>
  <c r="G76" i="9"/>
  <c r="G84" i="9"/>
  <c r="C89" i="9"/>
  <c r="C93" i="9"/>
  <c r="C97" i="9"/>
  <c r="A38" i="9"/>
  <c r="H64" i="9"/>
  <c r="C73" i="9"/>
  <c r="C81" i="9"/>
  <c r="E87" i="9"/>
  <c r="E91" i="9"/>
  <c r="E95" i="9"/>
  <c r="E99" i="9"/>
  <c r="A98" i="9"/>
  <c r="H62" i="9"/>
  <c r="G71" i="9"/>
  <c r="G79" i="9"/>
  <c r="G86" i="9"/>
  <c r="G90" i="9"/>
  <c r="G94" i="9"/>
  <c r="G100" i="9"/>
  <c r="A58" i="9"/>
  <c r="C70" i="9"/>
  <c r="C78" i="9"/>
  <c r="A86" i="9"/>
  <c r="A90" i="9"/>
  <c r="A94" i="9"/>
  <c r="A99" i="9"/>
  <c r="F5" i="9"/>
  <c r="F9" i="9"/>
  <c r="F13" i="9"/>
  <c r="F17" i="9"/>
  <c r="F21" i="9"/>
  <c r="F25" i="9"/>
  <c r="F29" i="9"/>
  <c r="F33" i="9"/>
  <c r="F37" i="9"/>
  <c r="F41" i="9"/>
  <c r="F45" i="9"/>
  <c r="F49" i="9"/>
  <c r="F53" i="9"/>
  <c r="F57" i="9"/>
  <c r="F61" i="9"/>
  <c r="F65" i="9"/>
  <c r="C6" i="9"/>
  <c r="C10" i="9"/>
  <c r="C14" i="9"/>
  <c r="C18" i="9"/>
  <c r="C22" i="9"/>
  <c r="C26" i="9"/>
  <c r="C30" i="9"/>
  <c r="C34" i="9"/>
  <c r="C38" i="9"/>
  <c r="C42" i="9"/>
  <c r="C46" i="9"/>
  <c r="C50" i="9"/>
  <c r="C54" i="9"/>
  <c r="C58" i="9"/>
  <c r="D3" i="9"/>
  <c r="D7" i="9"/>
  <c r="D11" i="9"/>
  <c r="D15" i="9"/>
  <c r="D19" i="9"/>
  <c r="D23" i="9"/>
  <c r="D27" i="9"/>
  <c r="D31" i="9"/>
  <c r="D35" i="9"/>
  <c r="D39" i="9"/>
  <c r="D43" i="9"/>
  <c r="D47" i="9"/>
  <c r="D51" i="9"/>
  <c r="D55" i="9"/>
  <c r="D59" i="9"/>
  <c r="A5" i="9"/>
  <c r="A21" i="9"/>
  <c r="A37" i="9"/>
  <c r="A53" i="9"/>
  <c r="C65" i="9"/>
  <c r="A72" i="9"/>
  <c r="E81" i="9"/>
  <c r="E11" i="9"/>
  <c r="E27" i="9"/>
  <c r="E43" i="9"/>
  <c r="E59" i="9"/>
  <c r="F66" i="9"/>
  <c r="F70" i="9"/>
  <c r="F74" i="9"/>
  <c r="F78" i="9"/>
  <c r="F82" i="9"/>
  <c r="F86" i="9"/>
  <c r="F90" i="9"/>
  <c r="B94" i="9"/>
  <c r="B96" i="9"/>
  <c r="B98" i="9"/>
  <c r="B100" i="9"/>
  <c r="A8" i="9"/>
  <c r="A16" i="9"/>
  <c r="A24" i="9"/>
  <c r="A32" i="9"/>
  <c r="E8" i="9"/>
  <c r="E16" i="9"/>
  <c r="E24" i="9"/>
  <c r="E32" i="9"/>
  <c r="E40" i="9"/>
  <c r="E48" i="9"/>
  <c r="E56" i="9"/>
  <c r="A63" i="9"/>
  <c r="G65" i="9"/>
  <c r="H67" i="9"/>
  <c r="H69" i="9"/>
  <c r="H71" i="9"/>
  <c r="H73" i="9"/>
  <c r="H75" i="9"/>
  <c r="H77" i="9"/>
  <c r="H79" i="9"/>
  <c r="H81" i="9"/>
  <c r="H83" i="9"/>
  <c r="H85" i="9"/>
  <c r="H87" i="9"/>
  <c r="H89" i="9"/>
  <c r="H91" i="9"/>
  <c r="H93" i="9"/>
  <c r="H95" i="9"/>
  <c r="H97" i="9"/>
  <c r="H99" i="9"/>
  <c r="A68" i="9"/>
  <c r="E71" i="9"/>
  <c r="A75" i="9"/>
  <c r="E78" i="9"/>
  <c r="A82" i="9"/>
  <c r="E85" i="9"/>
  <c r="A60" i="9"/>
  <c r="G70" i="9"/>
  <c r="G78" i="9"/>
  <c r="C86" i="9"/>
  <c r="C90" i="9"/>
  <c r="C94" i="9"/>
  <c r="C98" i="9"/>
  <c r="A46" i="9"/>
  <c r="C67" i="9"/>
  <c r="C75" i="9"/>
  <c r="C83" i="9"/>
  <c r="E88" i="9"/>
  <c r="E92" i="9"/>
  <c r="E96" i="9"/>
  <c r="E100" i="9"/>
  <c r="A40" i="9"/>
  <c r="E65" i="9"/>
  <c r="G73" i="9"/>
  <c r="G81" i="9"/>
  <c r="F3" i="9"/>
  <c r="F19" i="9"/>
  <c r="F35" i="9"/>
  <c r="F51" i="9"/>
  <c r="C4" i="9"/>
  <c r="C20" i="9"/>
  <c r="C36" i="9"/>
  <c r="C52" i="9"/>
  <c r="D9" i="9"/>
  <c r="D25" i="9"/>
  <c r="D41" i="9"/>
  <c r="D57" i="9"/>
  <c r="A45" i="9"/>
  <c r="E3" i="9"/>
  <c r="A64" i="9"/>
  <c r="F80" i="9"/>
  <c r="B95" i="9"/>
  <c r="A10" i="9"/>
  <c r="A26" i="9"/>
  <c r="E10" i="9"/>
  <c r="E26" i="9"/>
  <c r="E42" i="9"/>
  <c r="E58" i="9"/>
  <c r="D66" i="9"/>
  <c r="D70" i="9"/>
  <c r="D74" i="9"/>
  <c r="D78" i="9"/>
  <c r="D82" i="9"/>
  <c r="D86" i="9"/>
  <c r="D90" i="9"/>
  <c r="D94" i="9"/>
  <c r="D98" i="9"/>
  <c r="A69" i="9"/>
  <c r="A76" i="9"/>
  <c r="A83" i="9"/>
  <c r="C64" i="9"/>
  <c r="G80" i="9"/>
  <c r="C91" i="9"/>
  <c r="C99" i="9"/>
  <c r="C69" i="9"/>
  <c r="C85" i="9"/>
  <c r="E93" i="9"/>
  <c r="G97" i="9"/>
  <c r="G67" i="9"/>
  <c r="G83" i="9"/>
  <c r="G89" i="9"/>
  <c r="G95" i="9"/>
  <c r="A42" i="9"/>
  <c r="C68" i="9"/>
  <c r="C80" i="9"/>
  <c r="A88" i="9"/>
  <c r="A93" i="9"/>
  <c r="D2" i="9"/>
  <c r="F7" i="9"/>
  <c r="F23" i="9"/>
  <c r="F39" i="9"/>
  <c r="F55" i="9"/>
  <c r="C8" i="9"/>
  <c r="C24" i="9"/>
  <c r="C40" i="9"/>
  <c r="C56" i="9"/>
  <c r="D13" i="9"/>
  <c r="D29" i="9"/>
  <c r="D45" i="9"/>
  <c r="D61" i="9"/>
  <c r="A61" i="9"/>
  <c r="E19" i="9"/>
  <c r="F68" i="9"/>
  <c r="F84" i="9"/>
  <c r="B97" i="9"/>
  <c r="A12" i="9"/>
  <c r="E44" i="9"/>
  <c r="H66" i="9"/>
  <c r="H78" i="9"/>
  <c r="H86" i="9"/>
  <c r="H94" i="9"/>
  <c r="E76" i="9"/>
  <c r="G82" i="9"/>
  <c r="C100" i="9"/>
  <c r="E94" i="9"/>
  <c r="G69" i="9"/>
  <c r="G96" i="9"/>
  <c r="C72" i="9"/>
  <c r="A89" i="9"/>
  <c r="F11" i="9"/>
  <c r="F27" i="9"/>
  <c r="F43" i="9"/>
  <c r="F59" i="9"/>
  <c r="C12" i="9"/>
  <c r="C28" i="9"/>
  <c r="C44" i="9"/>
  <c r="C60" i="9"/>
  <c r="D17" i="9"/>
  <c r="D33" i="9"/>
  <c r="D49" i="9"/>
  <c r="A13" i="9"/>
  <c r="E67" i="9"/>
  <c r="E35" i="9"/>
  <c r="F72" i="9"/>
  <c r="F88" i="9"/>
  <c r="B99" i="9"/>
  <c r="A18" i="9"/>
  <c r="A34" i="9"/>
  <c r="E18" i="9"/>
  <c r="E34" i="9"/>
  <c r="E50" i="9"/>
  <c r="G63" i="9"/>
  <c r="D68" i="9"/>
  <c r="D72" i="9"/>
  <c r="D76" i="9"/>
  <c r="D80" i="9"/>
  <c r="D84" i="9"/>
  <c r="D88" i="9"/>
  <c r="D92" i="9"/>
  <c r="D96" i="9"/>
  <c r="D100" i="9"/>
  <c r="E72" i="9"/>
  <c r="E79" i="9"/>
  <c r="A36" i="9"/>
  <c r="G72" i="9"/>
  <c r="C87" i="9"/>
  <c r="C95" i="9"/>
  <c r="A54" i="9"/>
  <c r="C77" i="9"/>
  <c r="E89" i="9"/>
  <c r="E97" i="9"/>
  <c r="A48" i="9"/>
  <c r="G75" i="9"/>
  <c r="G87" i="9"/>
  <c r="G92" i="9"/>
  <c r="G98" i="9"/>
  <c r="E63" i="9"/>
  <c r="C74" i="9"/>
  <c r="C84" i="9"/>
  <c r="A91" i="9"/>
  <c r="A96" i="9"/>
  <c r="F15" i="9"/>
  <c r="F31" i="9"/>
  <c r="F47" i="9"/>
  <c r="F63" i="9"/>
  <c r="C16" i="9"/>
  <c r="C32" i="9"/>
  <c r="C48" i="9"/>
  <c r="D5" i="9"/>
  <c r="D21" i="9"/>
  <c r="D37" i="9"/>
  <c r="D53" i="9"/>
  <c r="A29" i="9"/>
  <c r="A77" i="9"/>
  <c r="E51" i="9"/>
  <c r="F76" i="9"/>
  <c r="F92" i="9"/>
  <c r="A4" i="9"/>
  <c r="A20" i="9"/>
  <c r="E4" i="9"/>
  <c r="E20" i="9"/>
  <c r="E36" i="9"/>
  <c r="E52" i="9"/>
  <c r="D64" i="9"/>
  <c r="H68" i="9"/>
  <c r="H72" i="9"/>
  <c r="H76" i="9"/>
  <c r="H80" i="9"/>
  <c r="H84" i="9"/>
  <c r="H88" i="9"/>
  <c r="H92" i="9"/>
  <c r="H96" i="9"/>
  <c r="H100" i="9"/>
  <c r="E73" i="9"/>
  <c r="A80" i="9"/>
  <c r="A44" i="9"/>
  <c r="G74" i="9"/>
  <c r="C88" i="9"/>
  <c r="C96" i="9"/>
  <c r="A62" i="9"/>
  <c r="C79" i="9"/>
  <c r="E90" i="9"/>
  <c r="E98" i="9"/>
  <c r="A56" i="9"/>
  <c r="G77" i="9"/>
  <c r="G88" i="9"/>
  <c r="G93" i="9"/>
  <c r="A100" i="9"/>
  <c r="C66" i="9"/>
  <c r="C76" i="9"/>
  <c r="A87" i="9"/>
  <c r="A92" i="9"/>
  <c r="A97" i="9"/>
  <c r="A28" i="9"/>
  <c r="E12" i="9"/>
  <c r="E28" i="9"/>
  <c r="E60" i="9"/>
  <c r="H70" i="9"/>
  <c r="H74" i="9"/>
  <c r="H82" i="9"/>
  <c r="H90" i="9"/>
  <c r="H98" i="9"/>
  <c r="A70" i="9"/>
  <c r="E83" i="9"/>
  <c r="G66" i="9"/>
  <c r="C92" i="9"/>
  <c r="C71" i="9"/>
  <c r="E86" i="9"/>
  <c r="G99" i="9"/>
  <c r="G85" i="9"/>
  <c r="G91" i="9"/>
  <c r="A50" i="9"/>
  <c r="C82" i="9"/>
  <c r="A95" i="9"/>
  <c r="B3" i="7"/>
  <c r="B5" i="7"/>
  <c r="B7" i="7"/>
  <c r="B9" i="7"/>
  <c r="B11" i="7"/>
  <c r="B13" i="7"/>
  <c r="B15" i="7"/>
  <c r="B17" i="7"/>
  <c r="B19" i="7"/>
  <c r="B21" i="7"/>
  <c r="B23" i="7"/>
  <c r="B25" i="7"/>
  <c r="B27" i="7"/>
  <c r="B29" i="7"/>
  <c r="B31" i="7"/>
  <c r="B33" i="7"/>
  <c r="B35" i="7"/>
  <c r="B37" i="7"/>
  <c r="B39" i="7"/>
  <c r="B41" i="7"/>
  <c r="B45" i="7"/>
  <c r="B47" i="7"/>
  <c r="B51" i="7"/>
  <c r="B55" i="7"/>
  <c r="B61" i="7"/>
  <c r="B65" i="7"/>
  <c r="B71" i="7"/>
  <c r="B75" i="7"/>
  <c r="B79" i="7"/>
  <c r="B83" i="7"/>
  <c r="B89" i="7"/>
  <c r="B93" i="7"/>
  <c r="B97" i="7"/>
  <c r="C77" i="7"/>
  <c r="C85" i="7"/>
  <c r="C89" i="7"/>
  <c r="C93" i="7"/>
  <c r="C97" i="7"/>
  <c r="B8" i="7"/>
  <c r="B18" i="7"/>
  <c r="B24" i="7"/>
  <c r="B30" i="7"/>
  <c r="B36" i="7"/>
  <c r="B44" i="7"/>
  <c r="B48" i="7"/>
  <c r="B62" i="7"/>
  <c r="B68" i="7"/>
  <c r="B74" i="7"/>
  <c r="B82" i="7"/>
  <c r="B88" i="7"/>
  <c r="B94" i="7"/>
  <c r="B100" i="7"/>
  <c r="C3" i="7"/>
  <c r="C5" i="7"/>
  <c r="C7" i="7"/>
  <c r="C9" i="7"/>
  <c r="C11" i="7"/>
  <c r="C13" i="7"/>
  <c r="C15" i="7"/>
  <c r="C17" i="7"/>
  <c r="C19" i="7"/>
  <c r="C21" i="7"/>
  <c r="C23" i="7"/>
  <c r="C25" i="7"/>
  <c r="C27" i="7"/>
  <c r="C29" i="7"/>
  <c r="C31" i="7"/>
  <c r="C33" i="7"/>
  <c r="C35" i="7"/>
  <c r="C37" i="7"/>
  <c r="C39" i="7"/>
  <c r="C41" i="7"/>
  <c r="C43" i="7"/>
  <c r="C45" i="7"/>
  <c r="C47" i="7"/>
  <c r="C49" i="7"/>
  <c r="C51" i="7"/>
  <c r="C53" i="7"/>
  <c r="C55" i="7"/>
  <c r="C57" i="7"/>
  <c r="C59" i="7"/>
  <c r="C61" i="7"/>
  <c r="C63" i="7"/>
  <c r="C65" i="7"/>
  <c r="C67" i="7"/>
  <c r="C69" i="7"/>
  <c r="C71" i="7"/>
  <c r="C73" i="7"/>
  <c r="C79" i="7"/>
  <c r="C83" i="7"/>
  <c r="B4" i="7"/>
  <c r="B10" i="7"/>
  <c r="B16" i="7"/>
  <c r="B22" i="7"/>
  <c r="B28" i="7"/>
  <c r="B34" i="7"/>
  <c r="B40" i="7"/>
  <c r="B46" i="7"/>
  <c r="B52" i="7"/>
  <c r="B60" i="7"/>
  <c r="B66" i="7"/>
  <c r="B72" i="7"/>
  <c r="B78" i="7"/>
  <c r="B86" i="7"/>
  <c r="B92" i="7"/>
  <c r="B98" i="7"/>
  <c r="C4" i="7"/>
  <c r="C6" i="7"/>
  <c r="C8" i="7"/>
  <c r="C10" i="7"/>
  <c r="C12" i="7"/>
  <c r="C14" i="7"/>
  <c r="C16" i="7"/>
  <c r="C18" i="7"/>
  <c r="C20" i="7"/>
  <c r="C22" i="7"/>
  <c r="C24" i="7"/>
  <c r="C26" i="7"/>
  <c r="C28" i="7"/>
  <c r="C30" i="7"/>
  <c r="C32" i="7"/>
  <c r="C34" i="7"/>
  <c r="C36" i="7"/>
  <c r="C38" i="7"/>
  <c r="C40" i="7"/>
  <c r="C42" i="7"/>
  <c r="C44" i="7"/>
  <c r="C46" i="7"/>
  <c r="C48" i="7"/>
  <c r="C50" i="7"/>
  <c r="C52" i="7"/>
  <c r="C54" i="7"/>
  <c r="C56" i="7"/>
  <c r="C58" i="7"/>
  <c r="C60" i="7"/>
  <c r="C62" i="7"/>
  <c r="C64" i="7"/>
  <c r="C66" i="7"/>
  <c r="C68" i="7"/>
  <c r="C70" i="7"/>
  <c r="C72" i="7"/>
  <c r="C74" i="7"/>
  <c r="C76" i="7"/>
  <c r="C78" i="7"/>
  <c r="C80" i="7"/>
  <c r="C82" i="7"/>
  <c r="C84" i="7"/>
  <c r="C86" i="7"/>
  <c r="C88" i="7"/>
  <c r="C90" i="7"/>
  <c r="C92" i="7"/>
  <c r="C94" i="7"/>
  <c r="C96" i="7"/>
  <c r="C98" i="7"/>
  <c r="C100" i="7"/>
  <c r="B43" i="7"/>
  <c r="B49" i="7"/>
  <c r="B53" i="7"/>
  <c r="B57" i="7"/>
  <c r="B59" i="7"/>
  <c r="B63" i="7"/>
  <c r="B67" i="7"/>
  <c r="B69" i="7"/>
  <c r="B73" i="7"/>
  <c r="B77" i="7"/>
  <c r="B81" i="7"/>
  <c r="B85" i="7"/>
  <c r="B87" i="7"/>
  <c r="B91" i="7"/>
  <c r="B95" i="7"/>
  <c r="B99" i="7"/>
  <c r="C75" i="7"/>
  <c r="C81" i="7"/>
  <c r="C87" i="7"/>
  <c r="C91" i="7"/>
  <c r="C95" i="7"/>
  <c r="C99" i="7"/>
  <c r="B6" i="7"/>
  <c r="B12" i="7"/>
  <c r="B14" i="7"/>
  <c r="B20" i="7"/>
  <c r="B26" i="7"/>
  <c r="B32" i="7"/>
  <c r="B38" i="7"/>
  <c r="B42" i="7"/>
  <c r="B50" i="7"/>
  <c r="B54" i="7"/>
  <c r="B58" i="7"/>
  <c r="B64" i="7"/>
  <c r="B70" i="7"/>
  <c r="B76" i="7"/>
  <c r="B80" i="7"/>
  <c r="B84" i="7"/>
  <c r="B90" i="7"/>
  <c r="B96" i="7"/>
  <c r="A3" i="7"/>
  <c r="A63" i="7"/>
  <c r="A91" i="7"/>
  <c r="A99" i="7"/>
  <c r="A44" i="7"/>
  <c r="A60" i="7"/>
  <c r="A72" i="7"/>
  <c r="A84" i="7"/>
  <c r="A96" i="7"/>
  <c r="A9" i="7"/>
  <c r="A25" i="7"/>
  <c r="A37" i="7"/>
  <c r="A49" i="7"/>
  <c r="A61" i="7"/>
  <c r="A73" i="7"/>
  <c r="A85" i="7"/>
  <c r="A97" i="7"/>
  <c r="A4" i="7"/>
  <c r="A8" i="7"/>
  <c r="A12" i="7"/>
  <c r="A16" i="7"/>
  <c r="A20" i="7"/>
  <c r="A24" i="7"/>
  <c r="A28" i="7"/>
  <c r="A32" i="7"/>
  <c r="A40" i="7"/>
  <c r="A52" i="7"/>
  <c r="A64" i="7"/>
  <c r="A76" i="7"/>
  <c r="A88" i="7"/>
  <c r="A100" i="7"/>
  <c r="A13" i="7"/>
  <c r="A29" i="7"/>
  <c r="A41" i="7"/>
  <c r="A53" i="7"/>
  <c r="A69" i="7"/>
  <c r="A81" i="7"/>
  <c r="A93" i="7"/>
  <c r="A6" i="7"/>
  <c r="A10" i="7"/>
  <c r="A14" i="7"/>
  <c r="A18" i="7"/>
  <c r="A22" i="7"/>
  <c r="A26" i="7"/>
  <c r="A30" i="7"/>
  <c r="A34" i="7"/>
  <c r="A38" i="7"/>
  <c r="A42" i="7"/>
  <c r="A46" i="7"/>
  <c r="A50" i="7"/>
  <c r="A54" i="7"/>
  <c r="A58" i="7"/>
  <c r="A62" i="7"/>
  <c r="A66" i="7"/>
  <c r="A70" i="7"/>
  <c r="A74" i="7"/>
  <c r="A78" i="7"/>
  <c r="A82" i="7"/>
  <c r="A86" i="7"/>
  <c r="A90" i="7"/>
  <c r="A94" i="7"/>
  <c r="A98" i="7"/>
  <c r="A7" i="7"/>
  <c r="A11" i="7"/>
  <c r="A15" i="7"/>
  <c r="A19" i="7"/>
  <c r="A23" i="7"/>
  <c r="A27" i="7"/>
  <c r="A31" i="7"/>
  <c r="A35" i="7"/>
  <c r="A39" i="7"/>
  <c r="A43" i="7"/>
  <c r="A47" i="7"/>
  <c r="A51" i="7"/>
  <c r="A55" i="7"/>
  <c r="A59" i="7"/>
  <c r="A67" i="7"/>
  <c r="A71" i="7"/>
  <c r="A75" i="7"/>
  <c r="A79" i="7"/>
  <c r="A83" i="7"/>
  <c r="A87" i="7"/>
  <c r="A95" i="7"/>
  <c r="A36" i="7"/>
  <c r="A48" i="7"/>
  <c r="A56" i="7"/>
  <c r="A68" i="7"/>
  <c r="A80" i="7"/>
  <c r="A92" i="7"/>
  <c r="A5" i="7"/>
  <c r="A17" i="7"/>
  <c r="A21" i="7"/>
  <c r="A33" i="7"/>
  <c r="A45" i="7"/>
  <c r="A57" i="7"/>
  <c r="A65" i="7"/>
  <c r="A77" i="7"/>
  <c r="A89" i="7"/>
  <c r="G23" i="10"/>
  <c r="G22" i="10"/>
  <c r="G21" i="10"/>
  <c r="G20" i="10"/>
  <c r="G19" i="10"/>
  <c r="F23" i="10"/>
  <c r="F22" i="10"/>
  <c r="F21" i="10"/>
  <c r="F20" i="10"/>
  <c r="F19" i="10"/>
  <c r="E23" i="10"/>
  <c r="E22" i="10"/>
  <c r="E21" i="10"/>
  <c r="E20" i="10"/>
  <c r="E19" i="10"/>
  <c r="D23" i="10"/>
  <c r="D22" i="10"/>
  <c r="D21" i="10"/>
  <c r="D20" i="10"/>
  <c r="D19" i="10"/>
  <c r="C23" i="10"/>
  <c r="C22" i="10"/>
  <c r="C21" i="10"/>
  <c r="C20" i="10"/>
  <c r="C19" i="10"/>
  <c r="F17" i="10"/>
  <c r="F18" i="10"/>
  <c r="E18" i="10"/>
  <c r="E17" i="10"/>
  <c r="G18" i="10"/>
  <c r="G17" i="10"/>
  <c r="C18" i="10"/>
  <c r="C17" i="10"/>
  <c r="D18" i="10"/>
  <c r="D17" i="10"/>
  <c r="B24" i="9"/>
  <c r="B21" i="9"/>
  <c r="B22" i="9"/>
  <c r="B23" i="9"/>
  <c r="B20" i="9"/>
  <c r="B56" i="7"/>
  <c r="K3" i="3" l="1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2" i="3"/>
  <c r="H2" i="9"/>
  <c r="M3" i="1" l="1"/>
  <c r="N3" i="1"/>
  <c r="P3" i="1" s="1"/>
  <c r="M4" i="1"/>
  <c r="N4" i="1"/>
  <c r="P4" i="1" s="1"/>
  <c r="M5" i="1"/>
  <c r="N5" i="1"/>
  <c r="P5" i="1" s="1"/>
  <c r="M6" i="1"/>
  <c r="N6" i="1"/>
  <c r="P6" i="1" s="1"/>
  <c r="M7" i="1"/>
  <c r="N7" i="1"/>
  <c r="P7" i="1" s="1"/>
  <c r="M8" i="1"/>
  <c r="N8" i="1"/>
  <c r="P8" i="1" s="1"/>
  <c r="M9" i="1"/>
  <c r="N9" i="1"/>
  <c r="P9" i="1" s="1"/>
  <c r="M10" i="1"/>
  <c r="N10" i="1"/>
  <c r="P10" i="1" s="1"/>
  <c r="M11" i="1"/>
  <c r="N11" i="1"/>
  <c r="P11" i="1" s="1"/>
  <c r="M12" i="1"/>
  <c r="N12" i="1"/>
  <c r="P12" i="1" s="1"/>
  <c r="M13" i="1"/>
  <c r="N13" i="1"/>
  <c r="P13" i="1" s="1"/>
  <c r="M14" i="1"/>
  <c r="N14" i="1"/>
  <c r="P14" i="1" s="1"/>
  <c r="M15" i="1"/>
  <c r="N15" i="1"/>
  <c r="P15" i="1" s="1"/>
  <c r="M16" i="1"/>
  <c r="N16" i="1"/>
  <c r="P16" i="1" s="1"/>
  <c r="M17" i="1"/>
  <c r="N17" i="1"/>
  <c r="P17" i="1" s="1"/>
  <c r="M18" i="1"/>
  <c r="N18" i="1"/>
  <c r="P18" i="1" s="1"/>
  <c r="M19" i="1"/>
  <c r="N19" i="1"/>
  <c r="P19" i="1" s="1"/>
  <c r="M20" i="1"/>
  <c r="N20" i="1"/>
  <c r="P20" i="1" s="1"/>
  <c r="M21" i="1"/>
  <c r="N21" i="1"/>
  <c r="P21" i="1" s="1"/>
  <c r="M22" i="1"/>
  <c r="N22" i="1"/>
  <c r="P22" i="1" s="1"/>
  <c r="M23" i="1"/>
  <c r="N23" i="1"/>
  <c r="P23" i="1" s="1"/>
  <c r="M24" i="1"/>
  <c r="N24" i="1"/>
  <c r="P24" i="1" s="1"/>
  <c r="M25" i="1"/>
  <c r="N25" i="1"/>
  <c r="P25" i="1" s="1"/>
  <c r="M26" i="1"/>
  <c r="N26" i="1"/>
  <c r="P26" i="1" s="1"/>
  <c r="M27" i="1"/>
  <c r="N27" i="1"/>
  <c r="P27" i="1" s="1"/>
  <c r="M28" i="1"/>
  <c r="N28" i="1"/>
  <c r="P28" i="1" s="1"/>
  <c r="M29" i="1"/>
  <c r="N29" i="1"/>
  <c r="P29" i="1" s="1"/>
  <c r="M30" i="1"/>
  <c r="N30" i="1"/>
  <c r="P30" i="1" s="1"/>
  <c r="M31" i="1"/>
  <c r="N31" i="1"/>
  <c r="P31" i="1" s="1"/>
  <c r="M32" i="1"/>
  <c r="N32" i="1"/>
  <c r="P32" i="1" s="1"/>
  <c r="M33" i="1"/>
  <c r="N33" i="1"/>
  <c r="P33" i="1" s="1"/>
  <c r="M34" i="1"/>
  <c r="N34" i="1"/>
  <c r="P34" i="1" s="1"/>
  <c r="M35" i="1"/>
  <c r="N35" i="1"/>
  <c r="P35" i="1" s="1"/>
  <c r="M36" i="1"/>
  <c r="N36" i="1"/>
  <c r="P36" i="1" s="1"/>
  <c r="M37" i="1"/>
  <c r="N37" i="1"/>
  <c r="P37" i="1" s="1"/>
  <c r="M38" i="1"/>
  <c r="N38" i="1"/>
  <c r="P38" i="1" s="1"/>
  <c r="M39" i="1"/>
  <c r="N39" i="1"/>
  <c r="P39" i="1" s="1"/>
  <c r="M40" i="1"/>
  <c r="N40" i="1"/>
  <c r="P40" i="1" s="1"/>
  <c r="M41" i="1"/>
  <c r="N41" i="1"/>
  <c r="P41" i="1" s="1"/>
  <c r="M42" i="1"/>
  <c r="N42" i="1"/>
  <c r="P42" i="1" s="1"/>
  <c r="M43" i="1"/>
  <c r="N43" i="1"/>
  <c r="P43" i="1" s="1"/>
  <c r="M44" i="1"/>
  <c r="N44" i="1"/>
  <c r="P44" i="1" s="1"/>
  <c r="M45" i="1"/>
  <c r="N45" i="1"/>
  <c r="P45" i="1" s="1"/>
  <c r="M46" i="1"/>
  <c r="N46" i="1"/>
  <c r="P46" i="1" s="1"/>
  <c r="M47" i="1"/>
  <c r="N47" i="1"/>
  <c r="P47" i="1" s="1"/>
  <c r="M48" i="1"/>
  <c r="N48" i="1"/>
  <c r="P48" i="1" s="1"/>
  <c r="M49" i="1"/>
  <c r="N49" i="1"/>
  <c r="P49" i="1" s="1"/>
  <c r="M50" i="1"/>
  <c r="N50" i="1"/>
  <c r="P50" i="1" s="1"/>
  <c r="M51" i="1"/>
  <c r="N51" i="1"/>
  <c r="P51" i="1" s="1"/>
  <c r="M52" i="1"/>
  <c r="N52" i="1"/>
  <c r="P52" i="1" s="1"/>
  <c r="M53" i="1"/>
  <c r="N53" i="1"/>
  <c r="P53" i="1" s="1"/>
  <c r="M54" i="1"/>
  <c r="N54" i="1"/>
  <c r="P54" i="1" s="1"/>
  <c r="M55" i="1"/>
  <c r="N55" i="1"/>
  <c r="P55" i="1" s="1"/>
  <c r="M56" i="1"/>
  <c r="N56" i="1"/>
  <c r="P56" i="1" s="1"/>
  <c r="M57" i="1"/>
  <c r="N57" i="1"/>
  <c r="P57" i="1" s="1"/>
  <c r="M58" i="1"/>
  <c r="N58" i="1"/>
  <c r="P58" i="1" s="1"/>
  <c r="M59" i="1"/>
  <c r="N59" i="1"/>
  <c r="P59" i="1" s="1"/>
  <c r="M60" i="1"/>
  <c r="N60" i="1"/>
  <c r="P60" i="1" s="1"/>
  <c r="M61" i="1"/>
  <c r="N61" i="1"/>
  <c r="P61" i="1" s="1"/>
  <c r="M62" i="1"/>
  <c r="N62" i="1"/>
  <c r="P62" i="1" s="1"/>
  <c r="M63" i="1"/>
  <c r="N63" i="1"/>
  <c r="P63" i="1" s="1"/>
  <c r="M64" i="1"/>
  <c r="N64" i="1"/>
  <c r="P64" i="1" s="1"/>
  <c r="M65" i="1"/>
  <c r="N65" i="1"/>
  <c r="P65" i="1" s="1"/>
  <c r="M66" i="1"/>
  <c r="N66" i="1"/>
  <c r="P66" i="1" s="1"/>
  <c r="M67" i="1"/>
  <c r="N67" i="1"/>
  <c r="P67" i="1" s="1"/>
  <c r="M68" i="1"/>
  <c r="N68" i="1"/>
  <c r="P68" i="1" s="1"/>
  <c r="M69" i="1"/>
  <c r="N69" i="1"/>
  <c r="P69" i="1" s="1"/>
  <c r="M70" i="1"/>
  <c r="N70" i="1"/>
  <c r="P70" i="1" s="1"/>
  <c r="M71" i="1"/>
  <c r="N71" i="1"/>
  <c r="P71" i="1" s="1"/>
  <c r="M72" i="1"/>
  <c r="N72" i="1"/>
  <c r="P72" i="1" s="1"/>
  <c r="M73" i="1"/>
  <c r="N73" i="1"/>
  <c r="P73" i="1" s="1"/>
  <c r="M74" i="1"/>
  <c r="N74" i="1"/>
  <c r="P74" i="1" s="1"/>
  <c r="M75" i="1"/>
  <c r="N75" i="1"/>
  <c r="P75" i="1" s="1"/>
  <c r="M76" i="1"/>
  <c r="N76" i="1"/>
  <c r="P76" i="1" s="1"/>
  <c r="M77" i="1"/>
  <c r="N77" i="1"/>
  <c r="P77" i="1" s="1"/>
  <c r="M78" i="1"/>
  <c r="N78" i="1"/>
  <c r="P78" i="1" s="1"/>
  <c r="M79" i="1"/>
  <c r="N79" i="1"/>
  <c r="P79" i="1" s="1"/>
  <c r="M80" i="1"/>
  <c r="N80" i="1"/>
  <c r="P80" i="1" s="1"/>
  <c r="M81" i="1"/>
  <c r="N81" i="1"/>
  <c r="P81" i="1" s="1"/>
  <c r="M82" i="1"/>
  <c r="N82" i="1"/>
  <c r="P82" i="1" s="1"/>
  <c r="M83" i="1"/>
  <c r="N83" i="1"/>
  <c r="P83" i="1" s="1"/>
  <c r="M84" i="1"/>
  <c r="N84" i="1"/>
  <c r="P84" i="1" s="1"/>
  <c r="M85" i="1"/>
  <c r="N85" i="1"/>
  <c r="P85" i="1" s="1"/>
  <c r="M86" i="1"/>
  <c r="N86" i="1"/>
  <c r="P86" i="1" s="1"/>
  <c r="M87" i="1"/>
  <c r="N87" i="1"/>
  <c r="P87" i="1" s="1"/>
  <c r="M88" i="1"/>
  <c r="N88" i="1"/>
  <c r="P88" i="1" s="1"/>
  <c r="M89" i="1"/>
  <c r="N89" i="1"/>
  <c r="P89" i="1" s="1"/>
  <c r="M90" i="1"/>
  <c r="N90" i="1"/>
  <c r="P90" i="1" s="1"/>
  <c r="M91" i="1"/>
  <c r="N91" i="1"/>
  <c r="P91" i="1" s="1"/>
  <c r="M92" i="1"/>
  <c r="N92" i="1"/>
  <c r="P92" i="1" s="1"/>
  <c r="M93" i="1"/>
  <c r="N93" i="1"/>
  <c r="P93" i="1" s="1"/>
  <c r="M94" i="1"/>
  <c r="N94" i="1"/>
  <c r="P94" i="1" s="1"/>
  <c r="M95" i="1"/>
  <c r="N95" i="1"/>
  <c r="P95" i="1" s="1"/>
  <c r="M96" i="1"/>
  <c r="N96" i="1"/>
  <c r="P96" i="1" s="1"/>
  <c r="M97" i="1"/>
  <c r="N97" i="1"/>
  <c r="P97" i="1" s="1"/>
  <c r="M98" i="1"/>
  <c r="N98" i="1"/>
  <c r="P98" i="1" s="1"/>
  <c r="M99" i="1"/>
  <c r="N99" i="1"/>
  <c r="P99" i="1" s="1"/>
  <c r="M100" i="1"/>
  <c r="N100" i="1"/>
  <c r="P100" i="1" s="1"/>
  <c r="B30" i="10"/>
  <c r="B80" i="10"/>
  <c r="B72" i="10"/>
  <c r="B84" i="10"/>
  <c r="B5" i="10"/>
  <c r="B92" i="10"/>
  <c r="B75" i="10"/>
  <c r="B66" i="10"/>
  <c r="B94" i="10"/>
  <c r="B47" i="10"/>
  <c r="B12" i="10"/>
  <c r="B8" i="10"/>
  <c r="B15" i="10"/>
  <c r="B65" i="10"/>
  <c r="B73" i="10"/>
  <c r="B48" i="10"/>
  <c r="B88" i="10"/>
  <c r="B53" i="10"/>
  <c r="B60" i="10"/>
  <c r="B16" i="10"/>
  <c r="B33" i="10"/>
  <c r="B85" i="10"/>
  <c r="B54" i="10"/>
  <c r="B49" i="10"/>
  <c r="B7" i="10"/>
  <c r="B57" i="10"/>
  <c r="B32" i="10"/>
  <c r="B56" i="10"/>
  <c r="B96" i="10"/>
  <c r="B45" i="10"/>
  <c r="B68" i="10"/>
  <c r="B41" i="10"/>
  <c r="B100" i="10"/>
  <c r="B79" i="10"/>
  <c r="B34" i="10"/>
  <c r="B87" i="10"/>
  <c r="B42" i="10"/>
  <c r="B29" i="10"/>
  <c r="B70" i="10"/>
  <c r="B31" i="10"/>
  <c r="B81" i="10"/>
  <c r="B89" i="10"/>
  <c r="B37" i="10"/>
  <c r="B40" i="10"/>
  <c r="B62" i="10"/>
  <c r="B55" i="10"/>
  <c r="B11" i="10"/>
  <c r="B63" i="10"/>
  <c r="B71" i="10"/>
  <c r="B26" i="10"/>
  <c r="B13" i="10"/>
  <c r="B38" i="10"/>
  <c r="B25" i="10"/>
  <c r="B51" i="10"/>
  <c r="B82" i="10"/>
  <c r="B59" i="10"/>
  <c r="B36" i="10"/>
  <c r="B67" i="10"/>
  <c r="B44" i="10"/>
  <c r="B27" i="10"/>
  <c r="B14" i="10"/>
  <c r="B77" i="10"/>
  <c r="B95" i="10"/>
  <c r="B99" i="10"/>
  <c r="B43" i="10"/>
  <c r="B6" i="10"/>
  <c r="B76" i="10"/>
  <c r="B24" i="10"/>
  <c r="B61" i="10"/>
  <c r="B98" i="10"/>
  <c r="B9" i="10"/>
  <c r="B91" i="10"/>
  <c r="B83" i="10"/>
  <c r="B52" i="10"/>
  <c r="B64" i="10"/>
  <c r="B10" i="10"/>
  <c r="B97" i="10"/>
  <c r="B74" i="10"/>
  <c r="B78" i="10"/>
  <c r="B35" i="10"/>
  <c r="B28" i="10"/>
  <c r="B90" i="10"/>
  <c r="B93" i="10"/>
  <c r="B50" i="10"/>
  <c r="B58" i="10"/>
  <c r="B86" i="10"/>
  <c r="B69" i="10"/>
  <c r="B3" i="10"/>
  <c r="B39" i="10"/>
  <c r="B4" i="10"/>
  <c r="B46" i="10"/>
  <c r="A57" i="10"/>
  <c r="A100" i="10"/>
  <c r="A32" i="10"/>
  <c r="A46" i="10"/>
  <c r="A27" i="10"/>
  <c r="A75" i="10"/>
  <c r="A65" i="10"/>
  <c r="A6" i="10"/>
  <c r="A40" i="10"/>
  <c r="A62" i="10"/>
  <c r="A59" i="10"/>
  <c r="A28" i="10"/>
  <c r="A77" i="10"/>
  <c r="A66" i="10"/>
  <c r="A55" i="10"/>
  <c r="A13" i="10"/>
  <c r="A53" i="10"/>
  <c r="A42" i="10"/>
  <c r="A31" i="10"/>
  <c r="A90" i="10"/>
  <c r="A78" i="10"/>
  <c r="A86" i="10"/>
  <c r="A84" i="10"/>
  <c r="A88" i="10"/>
  <c r="G2" i="8"/>
  <c r="J2" i="8"/>
  <c r="E2" i="8"/>
  <c r="I2" i="8"/>
  <c r="A29" i="10"/>
  <c r="A85" i="10"/>
  <c r="A64" i="10"/>
  <c r="A96" i="10"/>
  <c r="A52" i="10"/>
  <c r="A82" i="10"/>
  <c r="A37" i="10"/>
  <c r="A26" i="10"/>
  <c r="A91" i="10"/>
  <c r="A5" i="10"/>
  <c r="A68" i="10"/>
  <c r="A94" i="10"/>
  <c r="A41" i="10"/>
  <c r="A74" i="10"/>
  <c r="A87" i="10"/>
  <c r="A4" i="10"/>
  <c r="A3" i="10"/>
  <c r="A72" i="10"/>
  <c r="A63" i="10"/>
  <c r="A9" i="10"/>
  <c r="A38" i="10"/>
  <c r="A15" i="10"/>
  <c r="H2" i="8"/>
  <c r="A25" i="10"/>
  <c r="A80" i="10"/>
  <c r="A71" i="10"/>
  <c r="A35" i="10"/>
  <c r="A43" i="10"/>
  <c r="A70" i="10"/>
  <c r="A33" i="10"/>
  <c r="A93" i="10"/>
  <c r="A79" i="10"/>
  <c r="A67" i="10"/>
  <c r="A83" i="10"/>
  <c r="A89" i="10"/>
  <c r="A45" i="10"/>
  <c r="A34" i="10"/>
  <c r="A99" i="10"/>
  <c r="A81" i="10"/>
  <c r="A10" i="10"/>
  <c r="A56" i="10"/>
  <c r="A97" i="10"/>
  <c r="A36" i="10"/>
  <c r="A95" i="10"/>
  <c r="A11" i="10"/>
  <c r="A44" i="10"/>
  <c r="B2" i="8"/>
  <c r="F2" i="8"/>
  <c r="C2" i="8"/>
  <c r="A50" i="10"/>
  <c r="A16" i="10"/>
  <c r="A69" i="10"/>
  <c r="A76" i="10"/>
  <c r="A73" i="10"/>
  <c r="A24" i="10"/>
  <c r="A60" i="10"/>
  <c r="A54" i="10"/>
  <c r="A92" i="10"/>
  <c r="A39" i="10"/>
  <c r="A58" i="10"/>
  <c r="A8" i="10"/>
  <c r="A14" i="10"/>
  <c r="A30" i="10"/>
  <c r="A51" i="10"/>
  <c r="A2" i="8"/>
  <c r="A61" i="10"/>
  <c r="A98" i="10"/>
  <c r="A47" i="10"/>
  <c r="A48" i="10"/>
  <c r="A49" i="10"/>
  <c r="A12" i="10"/>
  <c r="A7" i="10"/>
  <c r="B2" i="9"/>
  <c r="A2" i="9"/>
  <c r="G2" i="9"/>
  <c r="C2" i="9"/>
  <c r="E2" i="9"/>
  <c r="F2" i="9"/>
  <c r="B23" i="10"/>
  <c r="B22" i="10"/>
  <c r="B21" i="10"/>
  <c r="B20" i="10"/>
  <c r="B19" i="10"/>
  <c r="A23" i="10"/>
  <c r="A22" i="10"/>
  <c r="A21" i="10"/>
  <c r="A20" i="10"/>
  <c r="A19" i="10"/>
  <c r="B18" i="10"/>
  <c r="B17" i="10"/>
  <c r="A18" i="10"/>
  <c r="A17" i="10"/>
  <c r="N2" i="1" l="1"/>
  <c r="M2" i="1" l="1"/>
  <c r="P2" i="1"/>
  <c r="A1" i="10" l="1"/>
  <c r="A2" i="10"/>
  <c r="B2" i="10"/>
  <c r="C2" i="7"/>
  <c r="B2" i="7"/>
  <c r="A2" i="7"/>
  <c r="A1" i="9" l="1"/>
  <c r="A1" i="8"/>
  <c r="C1" i="7"/>
  <c r="B1" i="7"/>
  <c r="A1" i="7"/>
</calcChain>
</file>

<file path=xl/sharedStrings.xml><?xml version="1.0" encoding="utf-8"?>
<sst xmlns="http://schemas.openxmlformats.org/spreadsheetml/2006/main" count="272" uniqueCount="187">
  <si>
    <t>GUID</t>
    <phoneticPr fontId="1" type="noConversion"/>
  </si>
  <si>
    <t>enUS</t>
    <phoneticPr fontId="1" type="noConversion"/>
  </si>
  <si>
    <t>zhTW</t>
    <phoneticPr fontId="1" type="noConversion"/>
  </si>
  <si>
    <t>StrID</t>
    <phoneticPr fontId="1" type="noConversion"/>
  </si>
  <si>
    <t>Mode</t>
    <phoneticPr fontId="1" type="noConversion"/>
  </si>
  <si>
    <t>Damage</t>
    <phoneticPr fontId="1" type="noConversion"/>
  </si>
  <si>
    <t>FireRate</t>
    <phoneticPr fontId="1" type="noConversion"/>
  </si>
  <si>
    <t>Range</t>
    <phoneticPr fontId="1" type="noConversion"/>
  </si>
  <si>
    <t>Resource</t>
    <phoneticPr fontId="1" type="noConversion"/>
  </si>
  <si>
    <t>備註</t>
    <phoneticPr fontId="1" type="noConversion"/>
  </si>
  <si>
    <t>裝備(Mode)</t>
    <phoneticPr fontId="1" type="noConversion"/>
  </si>
  <si>
    <t>光源</t>
    <phoneticPr fontId="1" type="noConversion"/>
  </si>
  <si>
    <t>傷害</t>
    <phoneticPr fontId="1" type="noConversion"/>
  </si>
  <si>
    <t>近</t>
    <phoneticPr fontId="1" type="noConversion"/>
  </si>
  <si>
    <t>遠</t>
  </si>
  <si>
    <t>遠</t>
    <phoneticPr fontId="1" type="noConversion"/>
  </si>
  <si>
    <t>裝備(Range)</t>
    <phoneticPr fontId="1" type="noConversion"/>
  </si>
  <si>
    <t>無</t>
    <phoneticPr fontId="1" type="noConversion"/>
  </si>
  <si>
    <t>輕型彈藥</t>
  </si>
  <si>
    <t>輕型彈藥</t>
    <phoneticPr fontId="1" type="noConversion"/>
  </si>
  <si>
    <t>重型彈藥</t>
  </si>
  <si>
    <t>重型彈藥</t>
    <phoneticPr fontId="1" type="noConversion"/>
  </si>
  <si>
    <t>電池</t>
  </si>
  <si>
    <t>電池</t>
    <phoneticPr fontId="1" type="noConversion"/>
  </si>
  <si>
    <t>Flashlight</t>
    <phoneticPr fontId="1" type="noConversion"/>
  </si>
  <si>
    <t>手電筒</t>
  </si>
  <si>
    <t>小刀</t>
  </si>
  <si>
    <t>手槍</t>
  </si>
  <si>
    <t>光源</t>
  </si>
  <si>
    <t>傷害</t>
  </si>
  <si>
    <t>GUID</t>
    <phoneticPr fontId="1" type="noConversion"/>
  </si>
  <si>
    <t>StrID</t>
    <phoneticPr fontId="1" type="noConversion"/>
  </si>
  <si>
    <t>Mode</t>
    <phoneticPr fontId="1" type="noConversion"/>
  </si>
  <si>
    <t>Value</t>
    <phoneticPr fontId="1" type="noConversion"/>
  </si>
  <si>
    <t>備註</t>
    <phoneticPr fontId="1" type="noConversion"/>
  </si>
  <si>
    <t>特性(Mode)</t>
    <phoneticPr fontId="1" type="noConversion"/>
  </si>
  <si>
    <t>裝備(Resource)</t>
    <phoneticPr fontId="1" type="noConversion"/>
  </si>
  <si>
    <t>Group</t>
    <phoneticPr fontId="1" type="noConversion"/>
  </si>
  <si>
    <t>GUID</t>
    <phoneticPr fontId="1" type="noConversion"/>
  </si>
  <si>
    <t>Mode</t>
    <phoneticPr fontId="1" type="noConversion"/>
  </si>
  <si>
    <t>HP</t>
    <phoneticPr fontId="1" type="noConversion"/>
  </si>
  <si>
    <t>Threat</t>
    <phoneticPr fontId="1" type="noConversion"/>
  </si>
  <si>
    <t>StageID</t>
    <phoneticPr fontId="1" type="noConversion"/>
  </si>
  <si>
    <t>備註</t>
    <phoneticPr fontId="1" type="noConversion"/>
  </si>
  <si>
    <t>怪物(Mode)</t>
    <phoneticPr fontId="1" type="noConversion"/>
  </si>
  <si>
    <t>無</t>
    <phoneticPr fontId="1" type="noConversion"/>
  </si>
  <si>
    <t>正常</t>
  </si>
  <si>
    <t>正常</t>
    <phoneticPr fontId="1" type="noConversion"/>
  </si>
  <si>
    <t>輸出路徑：</t>
    <phoneticPr fontId="1" type="noConversion"/>
  </si>
  <si>
    <t>CriticalStrike</t>
    <phoneticPr fontId="1" type="noConversion"/>
  </si>
  <si>
    <t>每秒傷害</t>
    <phoneticPr fontId="1" type="noConversion"/>
  </si>
  <si>
    <t>殺敵時間</t>
    <phoneticPr fontId="1" type="noConversion"/>
  </si>
  <si>
    <t>怪物血量</t>
    <phoneticPr fontId="1" type="noConversion"/>
  </si>
  <si>
    <t>Knife</t>
  </si>
  <si>
    <t>Katana</t>
  </si>
  <si>
    <t>武士刀</t>
  </si>
  <si>
    <t>Chainsaw</t>
  </si>
  <si>
    <t>電鋸</t>
  </si>
  <si>
    <t>Pistol</t>
  </si>
  <si>
    <t>Revolver</t>
  </si>
  <si>
    <t>左輪手槍</t>
  </si>
  <si>
    <t>Desert Eagle</t>
  </si>
  <si>
    <t>沙漠之鷹</t>
  </si>
  <si>
    <t>Submachine</t>
  </si>
  <si>
    <t>衝鋒槍</t>
  </si>
  <si>
    <t>突擊步槍</t>
  </si>
  <si>
    <t>Light machine gun</t>
  </si>
  <si>
    <t>輕機槍</t>
  </si>
  <si>
    <t>Assault Rifle</t>
  </si>
  <si>
    <t>每秒次數</t>
    <phoneticPr fontId="1" type="noConversion"/>
  </si>
  <si>
    <t>MoveSpeed</t>
  </si>
  <si>
    <t>廚師</t>
  </si>
  <si>
    <t>醫生</t>
  </si>
  <si>
    <t>肥胖</t>
  </si>
  <si>
    <t>殘疾</t>
  </si>
  <si>
    <t>健康</t>
  </si>
  <si>
    <t>強壯</t>
  </si>
  <si>
    <t>感冒</t>
  </si>
  <si>
    <t>受傷</t>
  </si>
  <si>
    <t>Chef</t>
  </si>
  <si>
    <t>Obesity</t>
  </si>
  <si>
    <t>Disability</t>
  </si>
  <si>
    <t>Strong</t>
  </si>
  <si>
    <t>Flu</t>
  </si>
  <si>
    <t>Injured</t>
  </si>
  <si>
    <t>F:\Project\project_acg\Client\Assets\Resources\DBF\</t>
    <phoneticPr fontId="1" type="noConversion"/>
  </si>
  <si>
    <t>Gain</t>
    <phoneticPr fontId="1" type="noConversion"/>
  </si>
  <si>
    <t>Health</t>
  </si>
  <si>
    <t>殭屍1</t>
    <phoneticPr fontId="1" type="noConversion"/>
  </si>
  <si>
    <t>殭屍2</t>
  </si>
  <si>
    <t>殭屍3</t>
  </si>
  <si>
    <t>殭屍4</t>
  </si>
  <si>
    <t>殭屍5</t>
  </si>
  <si>
    <t>史萊姆1</t>
    <phoneticPr fontId="1" type="noConversion"/>
  </si>
  <si>
    <t>史萊姆2</t>
  </si>
  <si>
    <t>史萊姆3</t>
  </si>
  <si>
    <t>史萊姆4</t>
  </si>
  <si>
    <t>史萊姆5</t>
  </si>
  <si>
    <t>狼人1</t>
    <phoneticPr fontId="1" type="noConversion"/>
  </si>
  <si>
    <t>狼人2</t>
  </si>
  <si>
    <t>狼人3</t>
  </si>
  <si>
    <t>狼人4</t>
  </si>
  <si>
    <t>狼人5</t>
  </si>
  <si>
    <t>Description</t>
    <phoneticPr fontId="1" type="noConversion"/>
  </si>
  <si>
    <t>Enegry</t>
    <phoneticPr fontId="1" type="noConversion"/>
  </si>
  <si>
    <t>關卡編號</t>
    <phoneticPr fontId="1" type="noConversion"/>
  </si>
  <si>
    <t>關卡能量</t>
    <phoneticPr fontId="1" type="noConversion"/>
  </si>
  <si>
    <t>[ffed00]critical[-][e92121]-20%[-]</t>
  </si>
  <si>
    <t>[ffed00]critical[-][e92121]-10%[-]</t>
  </si>
  <si>
    <t>[ffed00]critical[-][546ef2]+10%[-]</t>
  </si>
  <si>
    <t>[ffed00]critical[-][546ef2]+20%[-]</t>
  </si>
  <si>
    <t>[ffed00]sta regain[-][546ef2]+2[-]</t>
  </si>
  <si>
    <t>[ffed00]sta regain[-][e92121]-2[-]</t>
  </si>
  <si>
    <t>[ffed00]sta regain[-][546ef2]+3[-]</t>
  </si>
  <si>
    <t>[ffed00]sta regain[-][e92121]-3[-]</t>
  </si>
  <si>
    <t>[ffed00]sta limit[-][546ef2]+4[-]</t>
  </si>
  <si>
    <t>[ffed00]sta limit[-][546ef2]+8[-]</t>
  </si>
  <si>
    <t>[ffed00]sta limit[-][e92121]-4[-]</t>
  </si>
  <si>
    <t>[ffed00]sta limit[-][e92121]-8[-]</t>
  </si>
  <si>
    <t>增加耐力上限</t>
  </si>
  <si>
    <t>增加耐力上限</t>
    <phoneticPr fontId="1" type="noConversion"/>
  </si>
  <si>
    <t>增加耐力回復</t>
  </si>
  <si>
    <t>增加耐力回復</t>
    <phoneticPr fontId="1" type="noConversion"/>
  </si>
  <si>
    <t>增加致命</t>
  </si>
  <si>
    <t>增加致命</t>
    <phoneticPr fontId="1" type="noConversion"/>
  </si>
  <si>
    <t>增加增傷</t>
  </si>
  <si>
    <t>增加增傷</t>
    <phoneticPr fontId="1" type="noConversion"/>
  </si>
  <si>
    <t>增加最少絕招次數</t>
  </si>
  <si>
    <t>增加護盾次數</t>
  </si>
  <si>
    <t>增加怪物能量</t>
  </si>
  <si>
    <t>冰凍</t>
  </si>
  <si>
    <t>Threat</t>
    <phoneticPr fontId="1" type="noConversion"/>
  </si>
  <si>
    <t>增加最少絕招次數</t>
    <phoneticPr fontId="1" type="noConversion"/>
  </si>
  <si>
    <t>笨拙</t>
  </si>
  <si>
    <t>粗心</t>
  </si>
  <si>
    <t>精英</t>
  </si>
  <si>
    <t>天才</t>
  </si>
  <si>
    <t>損壞</t>
  </si>
  <si>
    <t>改裝</t>
  </si>
  <si>
    <t>通訊兵</t>
  </si>
  <si>
    <t>將軍</t>
  </si>
  <si>
    <t>護盾</t>
  </si>
  <si>
    <t>噩夢</t>
  </si>
  <si>
    <t>詛咒</t>
  </si>
  <si>
    <t>低調</t>
    <phoneticPr fontId="1" type="noConversion"/>
  </si>
  <si>
    <t>醒目</t>
    <phoneticPr fontId="1" type="noConversion"/>
  </si>
  <si>
    <t>無</t>
  </si>
  <si>
    <t>雙重護盾</t>
    <phoneticPr fontId="1" type="noConversion"/>
  </si>
  <si>
    <t>Doctors</t>
  </si>
  <si>
    <t>Clumsy</t>
  </si>
  <si>
    <t>Careless</t>
  </si>
  <si>
    <t>Elite</t>
  </si>
  <si>
    <t>Genius</t>
  </si>
  <si>
    <t>Modified</t>
  </si>
  <si>
    <t>Corrupted</t>
  </si>
  <si>
    <t>General</t>
  </si>
  <si>
    <t>Nightmare</t>
  </si>
  <si>
    <t>Curse</t>
  </si>
  <si>
    <t>Prominently</t>
  </si>
  <si>
    <t>Signaller</t>
    <phoneticPr fontId="1" type="noConversion"/>
  </si>
  <si>
    <t>Low profile</t>
    <phoneticPr fontId="1" type="noConversion"/>
  </si>
  <si>
    <t>Dual shield</t>
    <phoneticPr fontId="1" type="noConversion"/>
  </si>
  <si>
    <t>雙重護盾</t>
  </si>
  <si>
    <t>低調</t>
  </si>
  <si>
    <t>醒目</t>
  </si>
  <si>
    <t>Shield</t>
    <phoneticPr fontId="1" type="noConversion"/>
  </si>
  <si>
    <t>[ffed00]damage[-][546ef2]+10[-]</t>
  </si>
  <si>
    <t>[ffed00]damage[-][e92121]-10[-]</t>
  </si>
  <si>
    <t>[ffed00]bomb[-][546ef2]+1[-]</t>
  </si>
  <si>
    <t>[ffed00]bomb[-][546ef2]+2[-]</t>
  </si>
  <si>
    <t>Frozen</t>
    <phoneticPr fontId="1" type="noConversion"/>
  </si>
  <si>
    <t>[ffed00]frozen bullet[-]</t>
  </si>
  <si>
    <t>[e92121]more monster[-]</t>
  </si>
  <si>
    <t>[e92121]much more monster[-]</t>
  </si>
  <si>
    <t>[ffed00]catch chance[-][e92121]+20[-]</t>
  </si>
  <si>
    <t>黑暗啟動</t>
    <phoneticPr fontId="1" type="noConversion"/>
  </si>
  <si>
    <t>黑暗啟動</t>
  </si>
  <si>
    <t>幽靈1</t>
    <phoneticPr fontId="1" type="noConversion"/>
  </si>
  <si>
    <t>幽靈2</t>
    <phoneticPr fontId="1" type="noConversion"/>
  </si>
  <si>
    <t>蜘蛛1</t>
    <phoneticPr fontId="1" type="noConversion"/>
  </si>
  <si>
    <t>蜘蛛2</t>
  </si>
  <si>
    <t>蜘蛛3</t>
  </si>
  <si>
    <t>蜘蛛4</t>
  </si>
  <si>
    <t>蜘蛛5</t>
  </si>
  <si>
    <t>[ffed00]shield[-][546ef2]+3[-]</t>
    <phoneticPr fontId="1" type="noConversion"/>
  </si>
  <si>
    <t>[ffed00]shield[-][546ef2]+5[-]</t>
    <phoneticPr fontId="1" type="noConversion"/>
  </si>
  <si>
    <t>[ffed00]catch chance[-][546ef2]-10[-]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</si>
</sst>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6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sz val="12"/>
      <color rgb="FF000000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36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NumberFormat="1" applyBorder="1" applyAlignment="1">
      <alignment horizontal="right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76" fontId="0" fillId="4" borderId="1" xfId="0" applyNumberFormat="1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1" xfId="0" applyFill="1" applyBorder="1" applyAlignment="1">
      <alignment horizontal="left" vertical="center"/>
    </xf>
    <xf numFmtId="0" fontId="0" fillId="0" borderId="2" xfId="0" applyFill="1" applyBorder="1">
      <alignment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left" vertical="center"/>
    </xf>
    <xf numFmtId="0" fontId="0" fillId="0" borderId="7" xfId="0" applyBorder="1">
      <alignment vertical="center"/>
    </xf>
    <xf numFmtId="0" fontId="0" fillId="0" borderId="8" xfId="0" applyBorder="1" applyAlignment="1">
      <alignment horizontal="center" vertical="center"/>
    </xf>
    <xf numFmtId="176" fontId="0" fillId="5" borderId="1" xfId="0" applyNumberFormat="1" applyFill="1" applyBorder="1" applyAlignment="1">
      <alignment horizontal="left" vertical="center"/>
    </xf>
    <xf numFmtId="176" fontId="0" fillId="0" borderId="1" xfId="0" applyNumberForma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NumberFormat="1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</cellXfs>
  <cellStyles count="1">
    <cellStyle name="一般" xfId="0" builtinId="0"/>
  </cellStyles>
  <dxfs count="36"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4714875</xdr:colOff>
          <xdr:row>2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輸出！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格1" displayName="表格1" ref="A1:C100" totalsRowShown="0" headerRowDxfId="35">
  <autoFilter ref="A1:C100"/>
  <tableColumns count="3">
    <tableColumn id="1" name="GUID" dataDxfId="34"/>
    <tableColumn id="2" name="enUS" dataDxfId="33"/>
    <tableColumn id="3" name="zhTW" dataDxfId="3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格2" displayName="表格2" ref="A1:J100" totalsRowShown="0" headerRowDxfId="31" headerRowBorderDxfId="30" tableBorderDxfId="29" totalsRowBorderDxfId="28">
  <autoFilter ref="A1:J100"/>
  <tableColumns count="10">
    <tableColumn id="1" name="GUID" dataDxfId="27"/>
    <tableColumn id="2" name="StrID" dataDxfId="26"/>
    <tableColumn id="3" name="Mode" dataDxfId="25"/>
    <tableColumn id="9" name="Threat" dataDxfId="24"/>
    <tableColumn id="10" name="Gain" dataDxfId="23"/>
    <tableColumn id="4" name="Damage" dataDxfId="22"/>
    <tableColumn id="8" name="CriticalStrike" dataDxfId="21"/>
    <tableColumn id="5" name="FireRate" dataDxfId="20"/>
    <tableColumn id="6" name="Range" dataDxfId="19"/>
    <tableColumn id="7" name="Resource" dataDxfId="1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表格4" displayName="表格4" ref="A1:H100" totalsRowShown="0" headerRowDxfId="17">
  <autoFilter ref="A1:H100"/>
  <tableColumns count="8">
    <tableColumn id="1" name="GUID" dataDxfId="16"/>
    <tableColumn id="2" name="StrID" dataDxfId="15"/>
    <tableColumn id="3" name="Mode" dataDxfId="14"/>
    <tableColumn id="5" name="Threat" dataDxfId="13"/>
    <tableColumn id="9" name="Gain" dataDxfId="12"/>
    <tableColumn id="4" name="Group" dataDxfId="11"/>
    <tableColumn id="8" name="Value" dataDxfId="10"/>
    <tableColumn id="11" name="Description" dataDxfId="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表格3" displayName="表格3" ref="A1:G100" totalsRowShown="0" headerRowDxfId="8" dataDxfId="7">
  <autoFilter ref="A1:G100"/>
  <tableColumns count="7">
    <tableColumn id="1" name="GUID" dataDxfId="6"/>
    <tableColumn id="3" name="Mode" dataDxfId="5"/>
    <tableColumn id="6" name="Threat" dataDxfId="4"/>
    <tableColumn id="7" name="StageID" dataDxfId="3"/>
    <tableColumn id="2" name="Enegry" dataDxfId="2"/>
    <tableColumn id="4" name="HP" dataDxfId="1"/>
    <tableColumn id="5" name="MoveSpee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0"/>
  <dimension ref="A1:B1"/>
  <sheetViews>
    <sheetView tabSelected="1" workbookViewId="0">
      <selection activeCell="B12" sqref="B12"/>
    </sheetView>
  </sheetViews>
  <sheetFormatPr defaultRowHeight="16.5"/>
  <cols>
    <col min="1" max="1" width="15.625" customWidth="1"/>
    <col min="2" max="2" width="80.625" customWidth="1"/>
  </cols>
  <sheetData>
    <row r="1" spans="1:2">
      <c r="A1" s="10" t="s">
        <v>48</v>
      </c>
      <c r="B1" s="3" t="s">
        <v>85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BuildOut">
                <anchor moveWithCells="1" sizeWithCells="1">
                  <from>
                    <xdr:col>1</xdr:col>
                    <xdr:colOff>4714875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C100"/>
  <sheetViews>
    <sheetView workbookViewId="0">
      <pane ySplit="1" topLeftCell="A5" activePane="bottomLeft" state="frozen"/>
      <selection pane="bottomLeft" activeCell="A33" sqref="A33"/>
    </sheetView>
  </sheetViews>
  <sheetFormatPr defaultRowHeight="16.5"/>
  <cols>
    <col min="1" max="1" width="15.625" style="3" customWidth="1"/>
    <col min="2" max="3" width="40.625" style="3" customWidth="1"/>
    <col min="4" max="16384" width="9" style="3"/>
  </cols>
  <sheetData>
    <row r="1" spans="1:3" s="2" customFormat="1">
      <c r="A1" s="1" t="s">
        <v>0</v>
      </c>
      <c r="B1" s="1" t="s">
        <v>1</v>
      </c>
      <c r="C1" s="1" t="s">
        <v>2</v>
      </c>
    </row>
    <row r="2" spans="1:3">
      <c r="A2" s="3">
        <v>1001</v>
      </c>
      <c r="B2" s="3" t="s">
        <v>24</v>
      </c>
      <c r="C2" s="3" t="s">
        <v>25</v>
      </c>
    </row>
    <row r="3" spans="1:3">
      <c r="A3" s="3">
        <v>1002</v>
      </c>
      <c r="B3" s="3" t="s">
        <v>53</v>
      </c>
      <c r="C3" s="3" t="s">
        <v>26</v>
      </c>
    </row>
    <row r="4" spans="1:3">
      <c r="A4" s="3">
        <v>1003</v>
      </c>
      <c r="B4" s="3" t="s">
        <v>54</v>
      </c>
      <c r="C4" s="3" t="s">
        <v>55</v>
      </c>
    </row>
    <row r="5" spans="1:3">
      <c r="A5" s="3">
        <v>1004</v>
      </c>
      <c r="B5" s="3" t="s">
        <v>56</v>
      </c>
      <c r="C5" s="3" t="s">
        <v>57</v>
      </c>
    </row>
    <row r="6" spans="1:3">
      <c r="A6" s="3">
        <v>1005</v>
      </c>
      <c r="B6" s="3" t="s">
        <v>58</v>
      </c>
      <c r="C6" s="14" t="s">
        <v>27</v>
      </c>
    </row>
    <row r="7" spans="1:3">
      <c r="A7" s="3">
        <v>1006</v>
      </c>
      <c r="B7" s="3" t="s">
        <v>59</v>
      </c>
      <c r="C7" s="14" t="s">
        <v>60</v>
      </c>
    </row>
    <row r="8" spans="1:3">
      <c r="A8" s="3">
        <v>1007</v>
      </c>
      <c r="B8" s="3" t="s">
        <v>61</v>
      </c>
      <c r="C8" s="14" t="s">
        <v>62</v>
      </c>
    </row>
    <row r="9" spans="1:3">
      <c r="A9" s="3">
        <v>1008</v>
      </c>
      <c r="B9" s="3" t="s">
        <v>63</v>
      </c>
      <c r="C9" s="14" t="s">
        <v>64</v>
      </c>
    </row>
    <row r="10" spans="1:3">
      <c r="A10" s="3">
        <v>1009</v>
      </c>
      <c r="B10" s="3" t="s">
        <v>68</v>
      </c>
      <c r="C10" s="14" t="s">
        <v>65</v>
      </c>
    </row>
    <row r="11" spans="1:3">
      <c r="A11" s="3">
        <v>1010</v>
      </c>
      <c r="B11" s="3" t="s">
        <v>66</v>
      </c>
      <c r="C11" s="14" t="s">
        <v>67</v>
      </c>
    </row>
    <row r="12" spans="1:3">
      <c r="A12" s="3">
        <v>2001</v>
      </c>
      <c r="B12" s="3" t="s">
        <v>79</v>
      </c>
      <c r="C12" s="18" t="s">
        <v>71</v>
      </c>
    </row>
    <row r="13" spans="1:3">
      <c r="A13" s="3">
        <v>2002</v>
      </c>
      <c r="B13" s="3" t="s">
        <v>148</v>
      </c>
      <c r="C13" s="18" t="s">
        <v>72</v>
      </c>
    </row>
    <row r="14" spans="1:3">
      <c r="A14" s="3">
        <v>2003</v>
      </c>
      <c r="B14" s="3" t="s">
        <v>80</v>
      </c>
      <c r="C14" s="18" t="s">
        <v>73</v>
      </c>
    </row>
    <row r="15" spans="1:3">
      <c r="A15" s="3">
        <v>2004</v>
      </c>
      <c r="B15" s="3" t="s">
        <v>81</v>
      </c>
      <c r="C15" s="18" t="s">
        <v>74</v>
      </c>
    </row>
    <row r="16" spans="1:3">
      <c r="A16" s="3">
        <v>2005</v>
      </c>
      <c r="B16" s="3" t="s">
        <v>87</v>
      </c>
      <c r="C16" s="18" t="s">
        <v>75</v>
      </c>
    </row>
    <row r="17" spans="1:3">
      <c r="A17" s="3">
        <v>2006</v>
      </c>
      <c r="B17" s="3" t="s">
        <v>82</v>
      </c>
      <c r="C17" s="18" t="s">
        <v>76</v>
      </c>
    </row>
    <row r="18" spans="1:3">
      <c r="A18" s="3">
        <v>2007</v>
      </c>
      <c r="B18" s="3" t="s">
        <v>83</v>
      </c>
      <c r="C18" s="18" t="s">
        <v>77</v>
      </c>
    </row>
    <row r="19" spans="1:3">
      <c r="A19" s="3">
        <v>2008</v>
      </c>
      <c r="B19" s="3" t="s">
        <v>84</v>
      </c>
      <c r="C19" s="18" t="s">
        <v>78</v>
      </c>
    </row>
    <row r="20" spans="1:3">
      <c r="A20" s="3">
        <v>2009</v>
      </c>
      <c r="B20" s="3" t="s">
        <v>149</v>
      </c>
      <c r="C20" s="18" t="s">
        <v>133</v>
      </c>
    </row>
    <row r="21" spans="1:3">
      <c r="A21" s="3">
        <v>2010</v>
      </c>
      <c r="B21" s="3" t="s">
        <v>150</v>
      </c>
      <c r="C21" s="18" t="s">
        <v>134</v>
      </c>
    </row>
    <row r="22" spans="1:3">
      <c r="A22" s="3">
        <v>2011</v>
      </c>
      <c r="B22" s="3" t="s">
        <v>151</v>
      </c>
      <c r="C22" s="18" t="s">
        <v>135</v>
      </c>
    </row>
    <row r="23" spans="1:3">
      <c r="A23" s="3">
        <v>2012</v>
      </c>
      <c r="B23" s="3" t="s">
        <v>152</v>
      </c>
      <c r="C23" s="18" t="s">
        <v>136</v>
      </c>
    </row>
    <row r="24" spans="1:3">
      <c r="A24" s="3">
        <v>2013</v>
      </c>
      <c r="B24" s="3" t="s">
        <v>153</v>
      </c>
      <c r="C24" s="18" t="s">
        <v>138</v>
      </c>
    </row>
    <row r="25" spans="1:3">
      <c r="A25" s="3">
        <v>2014</v>
      </c>
      <c r="B25" s="3" t="s">
        <v>154</v>
      </c>
      <c r="C25" s="14" t="s">
        <v>137</v>
      </c>
    </row>
    <row r="26" spans="1:3">
      <c r="A26" s="3">
        <v>2015</v>
      </c>
      <c r="B26" s="3" t="s">
        <v>159</v>
      </c>
      <c r="C26" s="14" t="s">
        <v>139</v>
      </c>
    </row>
    <row r="27" spans="1:3">
      <c r="A27" s="3">
        <v>2016</v>
      </c>
      <c r="B27" s="3" t="s">
        <v>155</v>
      </c>
      <c r="C27" s="14" t="s">
        <v>140</v>
      </c>
    </row>
    <row r="28" spans="1:3">
      <c r="A28" s="3">
        <v>2017</v>
      </c>
      <c r="B28" s="3" t="s">
        <v>165</v>
      </c>
      <c r="C28" s="14" t="s">
        <v>141</v>
      </c>
    </row>
    <row r="29" spans="1:3">
      <c r="A29" s="3">
        <v>2018</v>
      </c>
      <c r="B29" s="3" t="s">
        <v>161</v>
      </c>
      <c r="C29" s="14" t="s">
        <v>162</v>
      </c>
    </row>
    <row r="30" spans="1:3">
      <c r="A30" s="3">
        <v>2019</v>
      </c>
      <c r="B30" s="3" t="s">
        <v>156</v>
      </c>
      <c r="C30" s="14" t="s">
        <v>142</v>
      </c>
    </row>
    <row r="31" spans="1:3">
      <c r="A31" s="3">
        <v>2020</v>
      </c>
      <c r="B31" s="3" t="s">
        <v>157</v>
      </c>
      <c r="C31" s="14" t="s">
        <v>143</v>
      </c>
    </row>
    <row r="32" spans="1:3">
      <c r="A32" s="3">
        <v>2021</v>
      </c>
      <c r="B32" s="3" t="s">
        <v>170</v>
      </c>
      <c r="C32" s="14" t="s">
        <v>130</v>
      </c>
    </row>
    <row r="33" spans="1:3">
      <c r="A33" s="3">
        <v>2022</v>
      </c>
      <c r="B33" s="3" t="s">
        <v>160</v>
      </c>
      <c r="C33" s="14" t="s">
        <v>163</v>
      </c>
    </row>
    <row r="34" spans="1:3">
      <c r="A34" s="3">
        <v>2023</v>
      </c>
      <c r="B34" s="3" t="s">
        <v>158</v>
      </c>
      <c r="C34" s="14" t="s">
        <v>164</v>
      </c>
    </row>
    <row r="35" spans="1:3">
      <c r="A35" s="19">
        <v>3001</v>
      </c>
      <c r="B35" s="3" t="s">
        <v>115</v>
      </c>
      <c r="C35" s="22"/>
    </row>
    <row r="36" spans="1:3">
      <c r="A36" s="19">
        <v>3002</v>
      </c>
      <c r="B36" s="3" t="s">
        <v>116</v>
      </c>
      <c r="C36" s="22"/>
    </row>
    <row r="37" spans="1:3">
      <c r="A37" s="19">
        <v>3003</v>
      </c>
      <c r="B37" s="3" t="s">
        <v>117</v>
      </c>
      <c r="C37" s="22"/>
    </row>
    <row r="38" spans="1:3">
      <c r="A38" s="19">
        <v>3004</v>
      </c>
      <c r="B38" s="3" t="s">
        <v>118</v>
      </c>
      <c r="C38" s="22"/>
    </row>
    <row r="39" spans="1:3">
      <c r="A39" s="19">
        <v>3005</v>
      </c>
      <c r="B39" s="3" t="s">
        <v>111</v>
      </c>
      <c r="C39" s="22"/>
    </row>
    <row r="40" spans="1:3">
      <c r="A40" s="19">
        <v>3006</v>
      </c>
      <c r="B40" s="3" t="s">
        <v>113</v>
      </c>
      <c r="C40" s="18"/>
    </row>
    <row r="41" spans="1:3">
      <c r="A41" s="19">
        <v>3007</v>
      </c>
      <c r="B41" s="3" t="s">
        <v>112</v>
      </c>
      <c r="C41" s="18"/>
    </row>
    <row r="42" spans="1:3">
      <c r="A42" s="19">
        <v>3008</v>
      </c>
      <c r="B42" s="3" t="s">
        <v>114</v>
      </c>
      <c r="C42" s="18"/>
    </row>
    <row r="43" spans="1:3">
      <c r="A43" s="19">
        <v>3009</v>
      </c>
      <c r="B43" s="3" t="s">
        <v>107</v>
      </c>
      <c r="C43" s="18"/>
    </row>
    <row r="44" spans="1:3">
      <c r="A44" s="19">
        <v>3010</v>
      </c>
      <c r="B44" s="3" t="s">
        <v>108</v>
      </c>
      <c r="C44" s="18"/>
    </row>
    <row r="45" spans="1:3">
      <c r="A45" s="19">
        <v>3011</v>
      </c>
      <c r="B45" s="3" t="s">
        <v>109</v>
      </c>
      <c r="C45" s="18"/>
    </row>
    <row r="46" spans="1:3">
      <c r="A46" s="19">
        <v>3012</v>
      </c>
      <c r="B46" s="3" t="s">
        <v>110</v>
      </c>
      <c r="C46" s="18"/>
    </row>
    <row r="47" spans="1:3">
      <c r="A47" s="19">
        <v>3013</v>
      </c>
      <c r="B47" s="3" t="s">
        <v>166</v>
      </c>
      <c r="C47" s="18"/>
    </row>
    <row r="48" spans="1:3">
      <c r="A48" s="19">
        <v>3014</v>
      </c>
      <c r="B48" s="3" t="s">
        <v>167</v>
      </c>
      <c r="C48" s="18"/>
    </row>
    <row r="49" spans="1:3">
      <c r="A49" s="19">
        <v>3015</v>
      </c>
      <c r="B49" s="3" t="s">
        <v>168</v>
      </c>
      <c r="C49" s="18"/>
    </row>
    <row r="50" spans="1:3">
      <c r="A50" s="19">
        <v>3016</v>
      </c>
      <c r="B50" s="3" t="s">
        <v>169</v>
      </c>
      <c r="C50" s="14"/>
    </row>
    <row r="51" spans="1:3">
      <c r="A51" s="19">
        <v>3017</v>
      </c>
      <c r="B51" s="3" t="s">
        <v>184</v>
      </c>
      <c r="C51" s="14"/>
    </row>
    <row r="52" spans="1:3">
      <c r="A52" s="19">
        <v>3018</v>
      </c>
      <c r="B52" s="3" t="s">
        <v>185</v>
      </c>
      <c r="C52" s="14"/>
    </row>
    <row r="53" spans="1:3">
      <c r="A53" s="19">
        <v>3019</v>
      </c>
      <c r="B53" s="3" t="s">
        <v>172</v>
      </c>
      <c r="C53" s="14"/>
    </row>
    <row r="54" spans="1:3">
      <c r="A54" s="19">
        <v>3020</v>
      </c>
      <c r="B54" s="3" t="s">
        <v>173</v>
      </c>
      <c r="C54" s="14"/>
    </row>
    <row r="55" spans="1:3">
      <c r="A55" s="19">
        <v>3021</v>
      </c>
      <c r="B55" s="3" t="s">
        <v>171</v>
      </c>
      <c r="C55" s="14"/>
    </row>
    <row r="56" spans="1:3">
      <c r="A56" s="19">
        <v>3022</v>
      </c>
      <c r="B56" s="3" t="s">
        <v>186</v>
      </c>
      <c r="C56" s="14"/>
    </row>
    <row r="57" spans="1:3">
      <c r="A57" s="19">
        <v>3023</v>
      </c>
      <c r="B57" s="3" t="s">
        <v>174</v>
      </c>
      <c r="C57" s="14"/>
    </row>
    <row r="58" spans="1:3">
      <c r="A58" s="19"/>
      <c r="C58" s="14"/>
    </row>
    <row r="59" spans="1:3">
      <c r="A59" s="19"/>
      <c r="C59" s="14"/>
    </row>
    <row r="60" spans="1:3">
      <c r="A60" s="19"/>
      <c r="C60" s="14"/>
    </row>
    <row r="61" spans="1:3">
      <c r="A61" s="19"/>
      <c r="C61" s="14"/>
    </row>
    <row r="62" spans="1:3">
      <c r="A62" s="19"/>
      <c r="C62" s="14"/>
    </row>
    <row r="63" spans="1:3">
      <c r="A63" s="19"/>
      <c r="C63" s="14"/>
    </row>
    <row r="64" spans="1:3">
      <c r="A64" s="19"/>
      <c r="C64" s="14"/>
    </row>
    <row r="65" spans="1:3">
      <c r="A65" s="19"/>
      <c r="C65" s="14"/>
    </row>
    <row r="66" spans="1:3">
      <c r="A66" s="19"/>
      <c r="C66" s="14"/>
    </row>
    <row r="67" spans="1:3">
      <c r="A67" s="19"/>
      <c r="C67" s="14"/>
    </row>
    <row r="68" spans="1:3">
      <c r="A68" s="19"/>
      <c r="C68" s="14"/>
    </row>
    <row r="69" spans="1:3">
      <c r="A69" s="19"/>
      <c r="C69" s="14"/>
    </row>
    <row r="70" spans="1:3">
      <c r="A70" s="19"/>
      <c r="C70" s="14"/>
    </row>
    <row r="71" spans="1:3">
      <c r="A71" s="19"/>
      <c r="C71" s="14"/>
    </row>
    <row r="72" spans="1:3">
      <c r="A72" s="19"/>
      <c r="C72" s="14"/>
    </row>
    <row r="73" spans="1:3">
      <c r="A73" s="19"/>
      <c r="C73" s="14"/>
    </row>
    <row r="74" spans="1:3">
      <c r="A74" s="19"/>
      <c r="C74" s="14"/>
    </row>
    <row r="75" spans="1:3">
      <c r="A75" s="19"/>
      <c r="C75" s="14"/>
    </row>
    <row r="76" spans="1:3">
      <c r="A76" s="19"/>
      <c r="C76" s="14"/>
    </row>
    <row r="77" spans="1:3">
      <c r="A77" s="19"/>
      <c r="C77" s="14"/>
    </row>
    <row r="78" spans="1:3">
      <c r="A78" s="19"/>
      <c r="C78" s="14"/>
    </row>
    <row r="79" spans="1:3">
      <c r="A79" s="19"/>
      <c r="C79" s="14"/>
    </row>
    <row r="80" spans="1:3">
      <c r="A80" s="19"/>
      <c r="C80" s="14"/>
    </row>
    <row r="81" spans="1:3">
      <c r="A81" s="19"/>
      <c r="C81" s="14"/>
    </row>
    <row r="82" spans="1:3">
      <c r="A82" s="19"/>
      <c r="C82" s="14"/>
    </row>
    <row r="83" spans="1:3">
      <c r="A83" s="19"/>
      <c r="C83" s="14"/>
    </row>
    <row r="84" spans="1:3">
      <c r="A84" s="19"/>
      <c r="C84" s="14"/>
    </row>
    <row r="85" spans="1:3">
      <c r="A85" s="19"/>
      <c r="C85" s="14"/>
    </row>
    <row r="86" spans="1:3">
      <c r="A86" s="19"/>
      <c r="C86" s="14"/>
    </row>
    <row r="87" spans="1:3">
      <c r="A87" s="19"/>
      <c r="C87" s="14"/>
    </row>
    <row r="88" spans="1:3">
      <c r="A88" s="19"/>
      <c r="C88" s="14"/>
    </row>
    <row r="89" spans="1:3">
      <c r="A89" s="19"/>
      <c r="C89" s="14"/>
    </row>
    <row r="90" spans="1:3">
      <c r="A90" s="19"/>
      <c r="C90" s="14"/>
    </row>
    <row r="91" spans="1:3">
      <c r="A91" s="19"/>
      <c r="C91" s="14"/>
    </row>
    <row r="92" spans="1:3">
      <c r="A92" s="19"/>
      <c r="C92" s="14"/>
    </row>
    <row r="93" spans="1:3">
      <c r="A93" s="19"/>
      <c r="C93" s="14"/>
    </row>
    <row r="94" spans="1:3">
      <c r="A94" s="19"/>
      <c r="C94" s="14"/>
    </row>
    <row r="95" spans="1:3">
      <c r="A95" s="19"/>
      <c r="C95" s="14"/>
    </row>
    <row r="96" spans="1:3">
      <c r="A96" s="19"/>
      <c r="C96" s="14"/>
    </row>
    <row r="97" spans="1:3">
      <c r="A97" s="19"/>
      <c r="C97" s="14"/>
    </row>
    <row r="98" spans="1:3">
      <c r="A98" s="19"/>
      <c r="C98" s="14"/>
    </row>
    <row r="99" spans="1:3">
      <c r="A99" s="19"/>
      <c r="C99" s="14"/>
    </row>
    <row r="100" spans="1:3">
      <c r="A100" s="16"/>
      <c r="B100" s="20"/>
      <c r="C100" s="15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P100"/>
  <sheetViews>
    <sheetView workbookViewId="0">
      <pane ySplit="1" topLeftCell="A2" activePane="bottomLeft" state="frozen"/>
      <selection pane="bottomLeft" activeCell="E16" sqref="E16"/>
    </sheetView>
  </sheetViews>
  <sheetFormatPr defaultRowHeight="16.5"/>
  <cols>
    <col min="1" max="10" width="15.625" style="3" customWidth="1"/>
    <col min="11" max="11" width="3.125" style="3" customWidth="1"/>
    <col min="12" max="12" width="40.625" style="3" customWidth="1"/>
    <col min="13" max="13" width="9" style="13" customWidth="1"/>
    <col min="14" max="14" width="9" style="13"/>
    <col min="15" max="15" width="9" style="3"/>
    <col min="16" max="16" width="9" style="13"/>
    <col min="17" max="16384" width="9" style="3"/>
  </cols>
  <sheetData>
    <row r="1" spans="1:16" s="2" customFormat="1">
      <c r="A1" s="2" t="s">
        <v>0</v>
      </c>
      <c r="B1" s="2" t="s">
        <v>3</v>
      </c>
      <c r="C1" s="2" t="s">
        <v>4</v>
      </c>
      <c r="D1" s="2" t="s">
        <v>131</v>
      </c>
      <c r="E1" s="2" t="s">
        <v>86</v>
      </c>
      <c r="F1" s="2" t="s">
        <v>5</v>
      </c>
      <c r="G1" s="2" t="s">
        <v>49</v>
      </c>
      <c r="H1" s="2" t="s">
        <v>6</v>
      </c>
      <c r="I1" s="2" t="s">
        <v>7</v>
      </c>
      <c r="J1" s="2" t="s">
        <v>8</v>
      </c>
      <c r="L1" s="2" t="s">
        <v>9</v>
      </c>
      <c r="M1" s="12" t="s">
        <v>69</v>
      </c>
      <c r="N1" s="12" t="s">
        <v>50</v>
      </c>
      <c r="O1" s="11" t="s">
        <v>52</v>
      </c>
      <c r="P1" s="12" t="s">
        <v>51</v>
      </c>
    </row>
    <row r="2" spans="1:16">
      <c r="A2" s="3">
        <v>1</v>
      </c>
      <c r="B2" s="3">
        <v>1001</v>
      </c>
      <c r="C2" s="3" t="s">
        <v>28</v>
      </c>
      <c r="D2" s="3">
        <v>3</v>
      </c>
      <c r="E2" s="3">
        <v>1</v>
      </c>
      <c r="F2" s="3">
        <v>0</v>
      </c>
      <c r="G2" s="3">
        <v>0</v>
      </c>
      <c r="H2" s="3">
        <v>0</v>
      </c>
      <c r="I2" s="3" t="s">
        <v>14</v>
      </c>
      <c r="J2" s="3" t="s">
        <v>22</v>
      </c>
      <c r="M2" s="13">
        <f>IF(裝備!H2&gt;0,1/裝備!H2,0)</f>
        <v>0</v>
      </c>
      <c r="N2" s="13">
        <f>IF(裝備!H2&gt;0,(裝備!F2 + 裝備!F2 * 裝備!G2) / 裝備!H2,0)</f>
        <v>0</v>
      </c>
      <c r="O2" s="3">
        <v>0</v>
      </c>
      <c r="P2" s="13">
        <f>IF(裝備!N2&gt;0,裝備!O2/裝備!N2,0)</f>
        <v>0</v>
      </c>
    </row>
    <row r="3" spans="1:16">
      <c r="A3" s="3">
        <v>5</v>
      </c>
      <c r="B3" s="3">
        <v>1005</v>
      </c>
      <c r="C3" s="3" t="s">
        <v>29</v>
      </c>
      <c r="D3" s="3">
        <v>6</v>
      </c>
      <c r="E3" s="3">
        <v>12</v>
      </c>
      <c r="F3" s="3">
        <v>30</v>
      </c>
      <c r="G3" s="3">
        <v>0</v>
      </c>
      <c r="H3" s="3">
        <v>1</v>
      </c>
      <c r="I3" s="3" t="s">
        <v>14</v>
      </c>
      <c r="J3" s="3" t="s">
        <v>18</v>
      </c>
      <c r="L3" s="3" t="s">
        <v>27</v>
      </c>
      <c r="M3" s="13">
        <f>IF(裝備!H3&gt;0,1/裝備!H3,0)</f>
        <v>1</v>
      </c>
      <c r="N3" s="13">
        <f>IF(裝備!H3&gt;0,(裝備!F3 + 裝備!F3 * 裝備!G3) / 裝備!H3,0)</f>
        <v>30</v>
      </c>
      <c r="O3" s="3">
        <v>25</v>
      </c>
      <c r="P3" s="13">
        <f>IF(裝備!N3&gt;0,裝備!O3/裝備!N3,0)</f>
        <v>0.83333333333333337</v>
      </c>
    </row>
    <row r="4" spans="1:16">
      <c r="A4" s="3">
        <v>6</v>
      </c>
      <c r="B4" s="3">
        <v>1006</v>
      </c>
      <c r="C4" s="3" t="s">
        <v>29</v>
      </c>
      <c r="D4" s="3">
        <v>8</v>
      </c>
      <c r="E4" s="3">
        <v>10</v>
      </c>
      <c r="F4" s="3">
        <v>30</v>
      </c>
      <c r="G4" s="3">
        <v>0.2</v>
      </c>
      <c r="H4" s="3">
        <v>1</v>
      </c>
      <c r="I4" s="3" t="s">
        <v>14</v>
      </c>
      <c r="J4" s="3" t="s">
        <v>18</v>
      </c>
      <c r="L4" s="3" t="s">
        <v>60</v>
      </c>
      <c r="M4" s="13">
        <f>IF(裝備!H4&gt;0,1/裝備!H4,0)</f>
        <v>1</v>
      </c>
      <c r="N4" s="13">
        <f>IF(裝備!H4&gt;0,(裝備!F4 + 裝備!F4 * 裝備!G4) / 裝備!H4,0)</f>
        <v>36</v>
      </c>
      <c r="O4" s="3">
        <v>25</v>
      </c>
      <c r="P4" s="13">
        <f>IF(裝備!N4&gt;0,裝備!O4/裝備!N4,0)</f>
        <v>0.69444444444444442</v>
      </c>
    </row>
    <row r="5" spans="1:16">
      <c r="A5" s="3">
        <v>7</v>
      </c>
      <c r="B5" s="3">
        <v>1007</v>
      </c>
      <c r="C5" s="3" t="s">
        <v>29</v>
      </c>
      <c r="D5" s="3">
        <v>10</v>
      </c>
      <c r="E5" s="3">
        <v>8</v>
      </c>
      <c r="F5" s="3">
        <v>60</v>
      </c>
      <c r="G5" s="3">
        <v>0.8</v>
      </c>
      <c r="H5" s="3">
        <v>2.5</v>
      </c>
      <c r="I5" s="3" t="s">
        <v>14</v>
      </c>
      <c r="J5" s="3" t="s">
        <v>18</v>
      </c>
      <c r="L5" s="3" t="s">
        <v>62</v>
      </c>
      <c r="M5" s="13">
        <f>IF(裝備!H5&gt;0,1/裝備!H5,0)</f>
        <v>0.4</v>
      </c>
      <c r="N5" s="13">
        <f>IF(裝備!H5&gt;0,(裝備!F5 + 裝備!F5 * 裝備!G5) / 裝備!H5,0)</f>
        <v>43.2</v>
      </c>
      <c r="O5" s="3">
        <v>25</v>
      </c>
      <c r="P5" s="13">
        <f>IF(裝備!N5&gt;0,裝備!O5/裝備!N5,0)</f>
        <v>0.57870370370370372</v>
      </c>
    </row>
    <row r="6" spans="1:16">
      <c r="A6" s="3">
        <v>8</v>
      </c>
      <c r="B6" s="3">
        <v>1008</v>
      </c>
      <c r="C6" s="3" t="s">
        <v>29</v>
      </c>
      <c r="D6" s="3">
        <v>12</v>
      </c>
      <c r="E6" s="3">
        <v>10</v>
      </c>
      <c r="F6" s="3">
        <v>20</v>
      </c>
      <c r="G6" s="3">
        <v>0.25</v>
      </c>
      <c r="H6" s="3">
        <v>0.5</v>
      </c>
      <c r="I6" s="3" t="s">
        <v>14</v>
      </c>
      <c r="J6" s="3" t="s">
        <v>20</v>
      </c>
      <c r="L6" s="3" t="s">
        <v>64</v>
      </c>
      <c r="M6" s="13">
        <f>IF(裝備!H6&gt;0,1/裝備!H6,0)</f>
        <v>2</v>
      </c>
      <c r="N6" s="13">
        <f>IF(裝備!H6&gt;0,(裝備!F6 + 裝備!F6 * 裝備!G6) / 裝備!H6,0)</f>
        <v>50</v>
      </c>
      <c r="O6" s="3">
        <v>25</v>
      </c>
      <c r="P6" s="13">
        <f>IF(裝備!N6&gt;0,裝備!O6/裝備!N6,0)</f>
        <v>0.5</v>
      </c>
    </row>
    <row r="7" spans="1:16">
      <c r="A7" s="3">
        <v>9</v>
      </c>
      <c r="B7" s="3">
        <v>1009</v>
      </c>
      <c r="C7" s="3" t="s">
        <v>29</v>
      </c>
      <c r="D7" s="3">
        <v>14</v>
      </c>
      <c r="E7" s="3">
        <v>8</v>
      </c>
      <c r="F7" s="3">
        <v>40</v>
      </c>
      <c r="G7" s="3">
        <v>0.5</v>
      </c>
      <c r="H7" s="3">
        <v>1</v>
      </c>
      <c r="I7" s="3" t="s">
        <v>14</v>
      </c>
      <c r="J7" s="3" t="s">
        <v>20</v>
      </c>
      <c r="L7" s="3" t="s">
        <v>65</v>
      </c>
      <c r="M7" s="13">
        <f>IF(裝備!H7&gt;0,1/裝備!H7,0)</f>
        <v>1</v>
      </c>
      <c r="N7" s="13">
        <f>IF(裝備!H7&gt;0,(裝備!F7 + 裝備!F7 * 裝備!G7) / 裝備!H7,0)</f>
        <v>60</v>
      </c>
      <c r="O7" s="3">
        <v>25</v>
      </c>
      <c r="P7" s="13">
        <f>IF(裝備!N7&gt;0,裝備!O7/裝備!N7,0)</f>
        <v>0.41666666666666669</v>
      </c>
    </row>
    <row r="8" spans="1:16">
      <c r="A8" s="3">
        <v>10</v>
      </c>
      <c r="B8" s="3">
        <v>1010</v>
      </c>
      <c r="C8" s="3" t="s">
        <v>29</v>
      </c>
      <c r="D8" s="3">
        <v>16</v>
      </c>
      <c r="E8" s="3">
        <v>6</v>
      </c>
      <c r="F8" s="3">
        <v>20</v>
      </c>
      <c r="G8" s="3">
        <v>0</v>
      </c>
      <c r="H8" s="3">
        <v>0.25</v>
      </c>
      <c r="I8" s="3" t="s">
        <v>14</v>
      </c>
      <c r="J8" s="3" t="s">
        <v>20</v>
      </c>
      <c r="L8" s="3" t="s">
        <v>67</v>
      </c>
      <c r="M8" s="13">
        <f>IF(裝備!H8&gt;0,1/裝備!H8,0)</f>
        <v>4</v>
      </c>
      <c r="N8" s="13">
        <f>IF(裝備!H8&gt;0,(裝備!F8 + 裝備!F8 * 裝備!G8) / 裝備!H8,0)</f>
        <v>80</v>
      </c>
      <c r="O8" s="3">
        <v>25</v>
      </c>
      <c r="P8" s="13">
        <f>IF(裝備!N8&gt;0,裝備!O8/裝備!N8,0)</f>
        <v>0.3125</v>
      </c>
    </row>
    <row r="9" spans="1:16">
      <c r="M9" s="13">
        <f>IF(裝備!H9&gt;0,1/裝備!H9,0)</f>
        <v>0</v>
      </c>
      <c r="N9" s="13">
        <f>IF(裝備!H9&gt;0,(裝備!F9 + 裝備!F9 * 裝備!G9) / 裝備!H9,0)</f>
        <v>0</v>
      </c>
      <c r="O9" s="3">
        <v>25</v>
      </c>
      <c r="P9" s="13">
        <f>IF(裝備!N9&gt;0,裝備!O9/裝備!N9,0)</f>
        <v>0</v>
      </c>
    </row>
    <row r="10" spans="1:16">
      <c r="M10" s="13">
        <f>IF(裝備!H10&gt;0,1/裝備!H10,0)</f>
        <v>0</v>
      </c>
      <c r="N10" s="13">
        <f>IF(裝備!H10&gt;0,(裝備!F10 + 裝備!F10 * 裝備!G10) / 裝備!H10,0)</f>
        <v>0</v>
      </c>
      <c r="O10" s="3">
        <v>25</v>
      </c>
      <c r="P10" s="13">
        <f>IF(裝備!N10&gt;0,裝備!O10/裝備!N10,0)</f>
        <v>0</v>
      </c>
    </row>
    <row r="11" spans="1:16">
      <c r="M11" s="13">
        <f>IF(裝備!H11&gt;0,1/裝備!H11,0)</f>
        <v>0</v>
      </c>
      <c r="N11" s="13">
        <f>IF(裝備!H11&gt;0,(裝備!F11 + 裝備!F11 * 裝備!G11) / 裝備!H11,0)</f>
        <v>0</v>
      </c>
      <c r="O11" s="3">
        <v>25</v>
      </c>
      <c r="P11" s="13">
        <f>IF(裝備!N11&gt;0,裝備!O11/裝備!N11,0)</f>
        <v>0</v>
      </c>
    </row>
    <row r="12" spans="1:16">
      <c r="M12" s="13">
        <f>IF(裝備!H12&gt;0,1/裝備!H12,0)</f>
        <v>0</v>
      </c>
      <c r="N12" s="13">
        <f>IF(裝備!H12&gt;0,(裝備!F12 + 裝備!F12 * 裝備!G12) / 裝備!H12,0)</f>
        <v>0</v>
      </c>
      <c r="O12" s="3">
        <v>25</v>
      </c>
      <c r="P12" s="13">
        <f>IF(裝備!N12&gt;0,裝備!O12/裝備!N12,0)</f>
        <v>0</v>
      </c>
    </row>
    <row r="13" spans="1:16">
      <c r="M13" s="13">
        <f>IF(裝備!H13&gt;0,1/裝備!H13,0)</f>
        <v>0</v>
      </c>
      <c r="N13" s="13">
        <f>IF(裝備!H13&gt;0,(裝備!F13 + 裝備!F13 * 裝備!G13) / 裝備!H13,0)</f>
        <v>0</v>
      </c>
      <c r="O13" s="3">
        <v>25</v>
      </c>
      <c r="P13" s="13">
        <f>IF(裝備!N13&gt;0,裝備!O13/裝備!N13,0)</f>
        <v>0</v>
      </c>
    </row>
    <row r="14" spans="1:16">
      <c r="M14" s="13">
        <f>IF(裝備!H14&gt;0,1/裝備!H14,0)</f>
        <v>0</v>
      </c>
      <c r="N14" s="13">
        <f>IF(裝備!H14&gt;0,(裝備!F14 + 裝備!F14 * 裝備!G14) / 裝備!H14,0)</f>
        <v>0</v>
      </c>
      <c r="O14" s="3">
        <v>25</v>
      </c>
      <c r="P14" s="13">
        <f>IF(裝備!N14&gt;0,裝備!O14/裝備!N14,0)</f>
        <v>0</v>
      </c>
    </row>
    <row r="15" spans="1:16">
      <c r="M15" s="13">
        <f>IF(裝備!H15&gt;0,1/裝備!H15,0)</f>
        <v>0</v>
      </c>
      <c r="N15" s="13">
        <f>IF(裝備!H15&gt;0,(裝備!F15 + 裝備!F15 * 裝備!G15) / 裝備!H15,0)</f>
        <v>0</v>
      </c>
      <c r="O15" s="3">
        <v>25</v>
      </c>
      <c r="P15" s="13">
        <f>IF(裝備!N15&gt;0,裝備!O15/裝備!N15,0)</f>
        <v>0</v>
      </c>
    </row>
    <row r="16" spans="1:16">
      <c r="M16" s="13">
        <f>IF(裝備!H16&gt;0,1/裝備!H16,0)</f>
        <v>0</v>
      </c>
      <c r="N16" s="13">
        <f>IF(裝備!H16&gt;0,(裝備!F16 + 裝備!F16 * 裝備!G16) / 裝備!H16,0)</f>
        <v>0</v>
      </c>
      <c r="O16" s="3">
        <v>25</v>
      </c>
      <c r="P16" s="13">
        <f>IF(裝備!N16&gt;0,裝備!O16/裝備!N16,0)</f>
        <v>0</v>
      </c>
    </row>
    <row r="17" spans="1:16">
      <c r="M17" s="13">
        <f>IF(裝備!H17&gt;0,1/裝備!H17,0)</f>
        <v>0</v>
      </c>
      <c r="N17" s="13">
        <f>IF(裝備!H17&gt;0,(裝備!F17 + 裝備!F17 * 裝備!G17) / 裝備!H17,0)</f>
        <v>0</v>
      </c>
      <c r="O17" s="3">
        <v>25</v>
      </c>
      <c r="P17" s="13">
        <f>IF(裝備!N17&gt;0,裝備!O17/裝備!N17,0)</f>
        <v>0</v>
      </c>
    </row>
    <row r="18" spans="1:16">
      <c r="M18" s="13">
        <f>IF(裝備!H18&gt;0,1/裝備!H18,0)</f>
        <v>0</v>
      </c>
      <c r="N18" s="13">
        <f>IF(裝備!H18&gt;0,(裝備!F18 + 裝備!F18 * 裝備!G18) / 裝備!H18,0)</f>
        <v>0</v>
      </c>
      <c r="O18" s="3">
        <v>25</v>
      </c>
      <c r="P18" s="13">
        <f>IF(裝備!N18&gt;0,裝備!O18/裝備!N18,0)</f>
        <v>0</v>
      </c>
    </row>
    <row r="19" spans="1:16">
      <c r="M19" s="13">
        <f>IF(裝備!H19&gt;0,1/裝備!H19,0)</f>
        <v>0</v>
      </c>
      <c r="N19" s="13">
        <f>IF(裝備!H19&gt;0,(裝備!F19 + 裝備!F19 * 裝備!G19) / 裝備!H19,0)</f>
        <v>0</v>
      </c>
      <c r="O19" s="3">
        <v>25</v>
      </c>
      <c r="P19" s="13">
        <f>IF(裝備!N19&gt;0,裝備!O19/裝備!N19,0)</f>
        <v>0</v>
      </c>
    </row>
    <row r="20" spans="1:16">
      <c r="M20" s="13">
        <f>IF(裝備!H20&gt;0,1/裝備!H20,0)</f>
        <v>0</v>
      </c>
      <c r="N20" s="13">
        <f>IF(裝備!H20&gt;0,(裝備!F20 + 裝備!F20 * 裝備!G20) / 裝備!H20,0)</f>
        <v>0</v>
      </c>
      <c r="O20" s="3">
        <v>25</v>
      </c>
      <c r="P20" s="13">
        <f>IF(裝備!N20&gt;0,裝備!O20/裝備!N20,0)</f>
        <v>0</v>
      </c>
    </row>
    <row r="21" spans="1:16">
      <c r="M21" s="13">
        <f>IF(裝備!H21&gt;0,1/裝備!H21,0)</f>
        <v>0</v>
      </c>
      <c r="N21" s="13">
        <f>IF(裝備!H21&gt;0,(裝備!F21 + 裝備!F21 * 裝備!G21) / 裝備!H21,0)</f>
        <v>0</v>
      </c>
      <c r="O21" s="3">
        <v>25</v>
      </c>
      <c r="P21" s="13">
        <f>IF(裝備!N21&gt;0,裝備!O21/裝備!N21,0)</f>
        <v>0</v>
      </c>
    </row>
    <row r="22" spans="1:16">
      <c r="M22" s="13">
        <f>IF(裝備!H22&gt;0,1/裝備!H22,0)</f>
        <v>0</v>
      </c>
      <c r="N22" s="13">
        <f>IF(裝備!H22&gt;0,(裝備!F22 + 裝備!F22 * 裝備!G22) / 裝備!H22,0)</f>
        <v>0</v>
      </c>
      <c r="O22" s="3">
        <v>25</v>
      </c>
      <c r="P22" s="13">
        <f>IF(裝備!N22&gt;0,裝備!O22/裝備!N22,0)</f>
        <v>0</v>
      </c>
    </row>
    <row r="23" spans="1:16">
      <c r="M23" s="13">
        <f>IF(裝備!H23&gt;0,1/裝備!H23,0)</f>
        <v>0</v>
      </c>
      <c r="N23" s="13">
        <f>IF(裝備!H23&gt;0,(裝備!F23 + 裝備!F23 * 裝備!G23) / 裝備!H23,0)</f>
        <v>0</v>
      </c>
      <c r="O23" s="3">
        <v>25</v>
      </c>
      <c r="P23" s="13">
        <f>IF(裝備!N23&gt;0,裝備!O23/裝備!N23,0)</f>
        <v>0</v>
      </c>
    </row>
    <row r="24" spans="1:16">
      <c r="M24" s="13">
        <f>IF(裝備!H24&gt;0,1/裝備!H24,0)</f>
        <v>0</v>
      </c>
      <c r="N24" s="13">
        <f>IF(裝備!H24&gt;0,(裝備!F24 + 裝備!F24 * 裝備!G24) / 裝備!H24,0)</f>
        <v>0</v>
      </c>
      <c r="O24" s="3">
        <v>25</v>
      </c>
      <c r="P24" s="13">
        <f>IF(裝備!N24&gt;0,裝備!O24/裝備!N24,0)</f>
        <v>0</v>
      </c>
    </row>
    <row r="25" spans="1:16">
      <c r="M25" s="13">
        <f>IF(裝備!H25&gt;0,1/裝備!H25,0)</f>
        <v>0</v>
      </c>
      <c r="N25" s="13">
        <f>IF(裝備!H25&gt;0,(裝備!F25 + 裝備!F25 * 裝備!G25) / 裝備!H25,0)</f>
        <v>0</v>
      </c>
      <c r="O25" s="3">
        <v>25</v>
      </c>
      <c r="P25" s="13">
        <f>IF(裝備!N25&gt;0,裝備!O25/裝備!N25,0)</f>
        <v>0</v>
      </c>
    </row>
    <row r="26" spans="1:16">
      <c r="M26" s="13">
        <f>IF(裝備!H26&gt;0,1/裝備!H26,0)</f>
        <v>0</v>
      </c>
      <c r="N26" s="13">
        <f>IF(裝備!H26&gt;0,(裝備!F26 + 裝備!F26 * 裝備!G26) / 裝備!H26,0)</f>
        <v>0</v>
      </c>
      <c r="O26" s="3">
        <v>25</v>
      </c>
      <c r="P26" s="13">
        <f>IF(裝備!N26&gt;0,裝備!O26/裝備!N26,0)</f>
        <v>0</v>
      </c>
    </row>
    <row r="27" spans="1:16">
      <c r="M27" s="13">
        <f>IF(裝備!H27&gt;0,1/裝備!H27,0)</f>
        <v>0</v>
      </c>
      <c r="N27" s="13">
        <f>IF(裝備!H27&gt;0,(裝備!F27 + 裝備!F27 * 裝備!G27) / 裝備!H27,0)</f>
        <v>0</v>
      </c>
      <c r="O27" s="3">
        <v>25</v>
      </c>
      <c r="P27" s="13">
        <f>IF(裝備!N27&gt;0,裝備!O27/裝備!N27,0)</f>
        <v>0</v>
      </c>
    </row>
    <row r="28" spans="1:16">
      <c r="M28" s="13">
        <f>IF(裝備!H28&gt;0,1/裝備!H28,0)</f>
        <v>0</v>
      </c>
      <c r="N28" s="13">
        <f>IF(裝備!H28&gt;0,(裝備!F28 + 裝備!F28 * 裝備!G28) / 裝備!H28,0)</f>
        <v>0</v>
      </c>
      <c r="O28" s="3">
        <v>25</v>
      </c>
      <c r="P28" s="13">
        <f>IF(裝備!N28&gt;0,裝備!O28/裝備!N28,0)</f>
        <v>0</v>
      </c>
    </row>
    <row r="29" spans="1:16">
      <c r="M29" s="13">
        <f>IF(裝備!H29&gt;0,1/裝備!H29,0)</f>
        <v>0</v>
      </c>
      <c r="N29" s="13">
        <f>IF(裝備!H29&gt;0,(裝備!F29 + 裝備!F29 * 裝備!G29) / 裝備!H29,0)</f>
        <v>0</v>
      </c>
      <c r="O29" s="3">
        <v>25</v>
      </c>
      <c r="P29" s="13">
        <f>IF(裝備!N29&gt;0,裝備!O29/裝備!N29,0)</f>
        <v>0</v>
      </c>
    </row>
    <row r="30" spans="1:16">
      <c r="M30" s="13">
        <f>IF(裝備!H30&gt;0,1/裝備!H30,0)</f>
        <v>0</v>
      </c>
      <c r="N30" s="13">
        <f>IF(裝備!H30&gt;0,(裝備!F30 + 裝備!F30 * 裝備!G30) / 裝備!H30,0)</f>
        <v>0</v>
      </c>
      <c r="O30" s="3">
        <v>25</v>
      </c>
      <c r="P30" s="13">
        <f>IF(裝備!N30&gt;0,裝備!O30/裝備!N30,0)</f>
        <v>0</v>
      </c>
    </row>
    <row r="31" spans="1:16">
      <c r="A31" s="19"/>
      <c r="J31" s="14"/>
      <c r="M31" s="13">
        <f>IF(裝備!H31&gt;0,1/裝備!H31,0)</f>
        <v>0</v>
      </c>
      <c r="N31" s="13">
        <f>IF(裝備!H31&gt;0,(裝備!F31 + 裝備!F31 * 裝備!G31) / 裝備!H31,0)</f>
        <v>0</v>
      </c>
      <c r="O31" s="3">
        <v>25</v>
      </c>
      <c r="P31" s="13">
        <f>IF(裝備!N31&gt;0,裝備!O31/裝備!N31,0)</f>
        <v>0</v>
      </c>
    </row>
    <row r="32" spans="1:16">
      <c r="A32" s="19"/>
      <c r="J32" s="14"/>
      <c r="M32" s="13">
        <f>IF(裝備!H32&gt;0,1/裝備!H32,0)</f>
        <v>0</v>
      </c>
      <c r="N32" s="13">
        <f>IF(裝備!H32&gt;0,(裝備!F32 + 裝備!F32 * 裝備!G32) / 裝備!H32,0)</f>
        <v>0</v>
      </c>
      <c r="O32" s="3">
        <v>25</v>
      </c>
      <c r="P32" s="13">
        <f>IF(裝備!N32&gt;0,裝備!O32/裝備!N32,0)</f>
        <v>0</v>
      </c>
    </row>
    <row r="33" spans="1:16">
      <c r="A33" s="19"/>
      <c r="J33" s="14"/>
      <c r="M33" s="13">
        <f>IF(裝備!H33&gt;0,1/裝備!H33,0)</f>
        <v>0</v>
      </c>
      <c r="N33" s="13">
        <f>IF(裝備!H33&gt;0,(裝備!F33 + 裝備!F33 * 裝備!G33) / 裝備!H33,0)</f>
        <v>0</v>
      </c>
      <c r="O33" s="3">
        <v>25</v>
      </c>
      <c r="P33" s="13">
        <f>IF(裝備!N33&gt;0,裝備!O33/裝備!N33,0)</f>
        <v>0</v>
      </c>
    </row>
    <row r="34" spans="1:16">
      <c r="A34" s="19"/>
      <c r="J34" s="14"/>
      <c r="M34" s="13">
        <f>IF(裝備!H34&gt;0,1/裝備!H34,0)</f>
        <v>0</v>
      </c>
      <c r="N34" s="13">
        <f>IF(裝備!H34&gt;0,(裝備!F34 + 裝備!F34 * 裝備!G34) / 裝備!H34,0)</f>
        <v>0</v>
      </c>
      <c r="O34" s="3">
        <v>25</v>
      </c>
      <c r="P34" s="13">
        <f>IF(裝備!N34&gt;0,裝備!O34/裝備!N34,0)</f>
        <v>0</v>
      </c>
    </row>
    <row r="35" spans="1:16">
      <c r="A35" s="19"/>
      <c r="J35" s="14"/>
      <c r="M35" s="13">
        <f>IF(裝備!H35&gt;0,1/裝備!H35,0)</f>
        <v>0</v>
      </c>
      <c r="N35" s="13">
        <f>IF(裝備!H35&gt;0,(裝備!F35 + 裝備!F35 * 裝備!G35) / 裝備!H35,0)</f>
        <v>0</v>
      </c>
      <c r="O35" s="3">
        <v>25</v>
      </c>
      <c r="P35" s="13">
        <f>IF(裝備!N35&gt;0,裝備!O35/裝備!N35,0)</f>
        <v>0</v>
      </c>
    </row>
    <row r="36" spans="1:16">
      <c r="A36" s="19"/>
      <c r="J36" s="14"/>
      <c r="M36" s="13">
        <f>IF(裝備!H36&gt;0,1/裝備!H36,0)</f>
        <v>0</v>
      </c>
      <c r="N36" s="13">
        <f>IF(裝備!H36&gt;0,(裝備!F36 + 裝備!F36 * 裝備!G36) / 裝備!H36,0)</f>
        <v>0</v>
      </c>
      <c r="O36" s="3">
        <v>25</v>
      </c>
      <c r="P36" s="13">
        <f>IF(裝備!N36&gt;0,裝備!O36/裝備!N36,0)</f>
        <v>0</v>
      </c>
    </row>
    <row r="37" spans="1:16">
      <c r="A37" s="19"/>
      <c r="J37" s="14"/>
      <c r="M37" s="13">
        <f>IF(裝備!H37&gt;0,1/裝備!H37,0)</f>
        <v>0</v>
      </c>
      <c r="N37" s="13">
        <f>IF(裝備!H37&gt;0,(裝備!F37 + 裝備!F37 * 裝備!G37) / 裝備!H37,0)</f>
        <v>0</v>
      </c>
      <c r="O37" s="3">
        <v>25</v>
      </c>
      <c r="P37" s="13">
        <f>IF(裝備!N37&gt;0,裝備!O37/裝備!N37,0)</f>
        <v>0</v>
      </c>
    </row>
    <row r="38" spans="1:16">
      <c r="A38" s="19"/>
      <c r="J38" s="14"/>
      <c r="M38" s="13">
        <f>IF(裝備!H38&gt;0,1/裝備!H38,0)</f>
        <v>0</v>
      </c>
      <c r="N38" s="13">
        <f>IF(裝備!H38&gt;0,(裝備!F38 + 裝備!F38 * 裝備!G38) / 裝備!H38,0)</f>
        <v>0</v>
      </c>
      <c r="O38" s="3">
        <v>25</v>
      </c>
      <c r="P38" s="13">
        <f>IF(裝備!N38&gt;0,裝備!O38/裝備!N38,0)</f>
        <v>0</v>
      </c>
    </row>
    <row r="39" spans="1:16">
      <c r="A39" s="19"/>
      <c r="J39" s="14"/>
      <c r="M39" s="13">
        <f>IF(裝備!H39&gt;0,1/裝備!H39,0)</f>
        <v>0</v>
      </c>
      <c r="N39" s="13">
        <f>IF(裝備!H39&gt;0,(裝備!F39 + 裝備!F39 * 裝備!G39) / 裝備!H39,0)</f>
        <v>0</v>
      </c>
      <c r="O39" s="3">
        <v>25</v>
      </c>
      <c r="P39" s="13">
        <f>IF(裝備!N39&gt;0,裝備!O39/裝備!N39,0)</f>
        <v>0</v>
      </c>
    </row>
    <row r="40" spans="1:16">
      <c r="A40" s="19"/>
      <c r="J40" s="14"/>
      <c r="M40" s="13">
        <f>IF(裝備!H40&gt;0,1/裝備!H40,0)</f>
        <v>0</v>
      </c>
      <c r="N40" s="13">
        <f>IF(裝備!H40&gt;0,(裝備!F40 + 裝備!F40 * 裝備!G40) / 裝備!H40,0)</f>
        <v>0</v>
      </c>
      <c r="O40" s="3">
        <v>25</v>
      </c>
      <c r="P40" s="13">
        <f>IF(裝備!N40&gt;0,裝備!O40/裝備!N40,0)</f>
        <v>0</v>
      </c>
    </row>
    <row r="41" spans="1:16">
      <c r="A41" s="19"/>
      <c r="J41" s="14"/>
      <c r="M41" s="13">
        <f>IF(裝備!H41&gt;0,1/裝備!H41,0)</f>
        <v>0</v>
      </c>
      <c r="N41" s="13">
        <f>IF(裝備!H41&gt;0,(裝備!F41 + 裝備!F41 * 裝備!G41) / 裝備!H41,0)</f>
        <v>0</v>
      </c>
      <c r="O41" s="3">
        <v>25</v>
      </c>
      <c r="P41" s="13">
        <f>IF(裝備!N41&gt;0,裝備!O41/裝備!N41,0)</f>
        <v>0</v>
      </c>
    </row>
    <row r="42" spans="1:16">
      <c r="A42" s="19"/>
      <c r="J42" s="14"/>
      <c r="M42" s="13">
        <f>IF(裝備!H42&gt;0,1/裝備!H42,0)</f>
        <v>0</v>
      </c>
      <c r="N42" s="13">
        <f>IF(裝備!H42&gt;0,(裝備!F42 + 裝備!F42 * 裝備!G42) / 裝備!H42,0)</f>
        <v>0</v>
      </c>
      <c r="O42" s="3">
        <v>25</v>
      </c>
      <c r="P42" s="13">
        <f>IF(裝備!N42&gt;0,裝備!O42/裝備!N42,0)</f>
        <v>0</v>
      </c>
    </row>
    <row r="43" spans="1:16">
      <c r="A43" s="19"/>
      <c r="J43" s="14"/>
      <c r="M43" s="13">
        <f>IF(裝備!H43&gt;0,1/裝備!H43,0)</f>
        <v>0</v>
      </c>
      <c r="N43" s="13">
        <f>IF(裝備!H43&gt;0,(裝備!F43 + 裝備!F43 * 裝備!G43) / 裝備!H43,0)</f>
        <v>0</v>
      </c>
      <c r="O43" s="3">
        <v>25</v>
      </c>
      <c r="P43" s="13">
        <f>IF(裝備!N43&gt;0,裝備!O43/裝備!N43,0)</f>
        <v>0</v>
      </c>
    </row>
    <row r="44" spans="1:16">
      <c r="A44" s="19"/>
      <c r="J44" s="14"/>
      <c r="M44" s="13">
        <f>IF(裝備!H44&gt;0,1/裝備!H44,0)</f>
        <v>0</v>
      </c>
      <c r="N44" s="13">
        <f>IF(裝備!H44&gt;0,(裝備!F44 + 裝備!F44 * 裝備!G44) / 裝備!H44,0)</f>
        <v>0</v>
      </c>
      <c r="O44" s="3">
        <v>25</v>
      </c>
      <c r="P44" s="13">
        <f>IF(裝備!N44&gt;0,裝備!O44/裝備!N44,0)</f>
        <v>0</v>
      </c>
    </row>
    <row r="45" spans="1:16">
      <c r="A45" s="19"/>
      <c r="J45" s="14"/>
      <c r="M45" s="13">
        <f>IF(裝備!H45&gt;0,1/裝備!H45,0)</f>
        <v>0</v>
      </c>
      <c r="N45" s="13">
        <f>IF(裝備!H45&gt;0,(裝備!F45 + 裝備!F45 * 裝備!G45) / 裝備!H45,0)</f>
        <v>0</v>
      </c>
      <c r="O45" s="3">
        <v>25</v>
      </c>
      <c r="P45" s="13">
        <f>IF(裝備!N45&gt;0,裝備!O45/裝備!N45,0)</f>
        <v>0</v>
      </c>
    </row>
    <row r="46" spans="1:16">
      <c r="A46" s="19"/>
      <c r="J46" s="14"/>
      <c r="M46" s="13">
        <f>IF(裝備!H46&gt;0,1/裝備!H46,0)</f>
        <v>0</v>
      </c>
      <c r="N46" s="13">
        <f>IF(裝備!H46&gt;0,(裝備!F46 + 裝備!F46 * 裝備!G46) / 裝備!H46,0)</f>
        <v>0</v>
      </c>
      <c r="O46" s="3">
        <v>25</v>
      </c>
      <c r="P46" s="13">
        <f>IF(裝備!N46&gt;0,裝備!O46/裝備!N46,0)</f>
        <v>0</v>
      </c>
    </row>
    <row r="47" spans="1:16">
      <c r="A47" s="19"/>
      <c r="J47" s="14"/>
      <c r="M47" s="13">
        <f>IF(裝備!H47&gt;0,1/裝備!H47,0)</f>
        <v>0</v>
      </c>
      <c r="N47" s="13">
        <f>IF(裝備!H47&gt;0,(裝備!F47 + 裝備!F47 * 裝備!G47) / 裝備!H47,0)</f>
        <v>0</v>
      </c>
      <c r="O47" s="3">
        <v>25</v>
      </c>
      <c r="P47" s="13">
        <f>IF(裝備!N47&gt;0,裝備!O47/裝備!N47,0)</f>
        <v>0</v>
      </c>
    </row>
    <row r="48" spans="1:16">
      <c r="A48" s="19"/>
      <c r="J48" s="14"/>
      <c r="M48" s="13">
        <f>IF(裝備!H48&gt;0,1/裝備!H48,0)</f>
        <v>0</v>
      </c>
      <c r="N48" s="13">
        <f>IF(裝備!H48&gt;0,(裝備!F48 + 裝備!F48 * 裝備!G48) / 裝備!H48,0)</f>
        <v>0</v>
      </c>
      <c r="O48" s="3">
        <v>25</v>
      </c>
      <c r="P48" s="13">
        <f>IF(裝備!N48&gt;0,裝備!O48/裝備!N48,0)</f>
        <v>0</v>
      </c>
    </row>
    <row r="49" spans="1:16">
      <c r="A49" s="19"/>
      <c r="J49" s="14"/>
      <c r="M49" s="13">
        <f>IF(裝備!H49&gt;0,1/裝備!H49,0)</f>
        <v>0</v>
      </c>
      <c r="N49" s="13">
        <f>IF(裝備!H49&gt;0,(裝備!F49 + 裝備!F49 * 裝備!G49) / 裝備!H49,0)</f>
        <v>0</v>
      </c>
      <c r="O49" s="3">
        <v>25</v>
      </c>
      <c r="P49" s="13">
        <f>IF(裝備!N49&gt;0,裝備!O49/裝備!N49,0)</f>
        <v>0</v>
      </c>
    </row>
    <row r="50" spans="1:16">
      <c r="A50" s="19"/>
      <c r="J50" s="14"/>
      <c r="M50" s="13">
        <f>IF(裝備!H50&gt;0,1/裝備!H50,0)</f>
        <v>0</v>
      </c>
      <c r="N50" s="13">
        <f>IF(裝備!H50&gt;0,(裝備!F50 + 裝備!F50 * 裝備!G50) / 裝備!H50,0)</f>
        <v>0</v>
      </c>
      <c r="O50" s="3">
        <v>25</v>
      </c>
      <c r="P50" s="13">
        <f>IF(裝備!N50&gt;0,裝備!O50/裝備!N50,0)</f>
        <v>0</v>
      </c>
    </row>
    <row r="51" spans="1:16">
      <c r="A51" s="19"/>
      <c r="J51" s="14"/>
      <c r="M51" s="13">
        <f>IF(裝備!H51&gt;0,1/裝備!H51,0)</f>
        <v>0</v>
      </c>
      <c r="N51" s="13">
        <f>IF(裝備!H51&gt;0,(裝備!F51 + 裝備!F51 * 裝備!G51) / 裝備!H51,0)</f>
        <v>0</v>
      </c>
      <c r="O51" s="3">
        <v>25</v>
      </c>
      <c r="P51" s="13">
        <f>IF(裝備!N51&gt;0,裝備!O51/裝備!N51,0)</f>
        <v>0</v>
      </c>
    </row>
    <row r="52" spans="1:16">
      <c r="A52" s="19"/>
      <c r="J52" s="14"/>
      <c r="M52" s="13">
        <f>IF(裝備!H52&gt;0,1/裝備!H52,0)</f>
        <v>0</v>
      </c>
      <c r="N52" s="13">
        <f>IF(裝備!H52&gt;0,(裝備!F52 + 裝備!F52 * 裝備!G52) / 裝備!H52,0)</f>
        <v>0</v>
      </c>
      <c r="O52" s="3">
        <v>25</v>
      </c>
      <c r="P52" s="13">
        <f>IF(裝備!N52&gt;0,裝備!O52/裝備!N52,0)</f>
        <v>0</v>
      </c>
    </row>
    <row r="53" spans="1:16">
      <c r="A53" s="19"/>
      <c r="J53" s="14"/>
      <c r="M53" s="13">
        <f>IF(裝備!H53&gt;0,1/裝備!H53,0)</f>
        <v>0</v>
      </c>
      <c r="N53" s="13">
        <f>IF(裝備!H53&gt;0,(裝備!F53 + 裝備!F53 * 裝備!G53) / 裝備!H53,0)</f>
        <v>0</v>
      </c>
      <c r="O53" s="3">
        <v>25</v>
      </c>
      <c r="P53" s="13">
        <f>IF(裝備!N53&gt;0,裝備!O53/裝備!N53,0)</f>
        <v>0</v>
      </c>
    </row>
    <row r="54" spans="1:16">
      <c r="A54" s="19"/>
      <c r="J54" s="14"/>
      <c r="M54" s="13">
        <f>IF(裝備!H54&gt;0,1/裝備!H54,0)</f>
        <v>0</v>
      </c>
      <c r="N54" s="13">
        <f>IF(裝備!H54&gt;0,(裝備!F54 + 裝備!F54 * 裝備!G54) / 裝備!H54,0)</f>
        <v>0</v>
      </c>
      <c r="O54" s="3">
        <v>25</v>
      </c>
      <c r="P54" s="13">
        <f>IF(裝備!N54&gt;0,裝備!O54/裝備!N54,0)</f>
        <v>0</v>
      </c>
    </row>
    <row r="55" spans="1:16">
      <c r="A55" s="19"/>
      <c r="J55" s="14"/>
      <c r="M55" s="13">
        <f>IF(裝備!H55&gt;0,1/裝備!H55,0)</f>
        <v>0</v>
      </c>
      <c r="N55" s="13">
        <f>IF(裝備!H55&gt;0,(裝備!F55 + 裝備!F55 * 裝備!G55) / 裝備!H55,0)</f>
        <v>0</v>
      </c>
      <c r="O55" s="3">
        <v>25</v>
      </c>
      <c r="P55" s="13">
        <f>IF(裝備!N55&gt;0,裝備!O55/裝備!N55,0)</f>
        <v>0</v>
      </c>
    </row>
    <row r="56" spans="1:16">
      <c r="A56" s="19"/>
      <c r="J56" s="14"/>
      <c r="M56" s="13">
        <f>IF(裝備!H56&gt;0,1/裝備!H56,0)</f>
        <v>0</v>
      </c>
      <c r="N56" s="13">
        <f>IF(裝備!H56&gt;0,(裝備!F56 + 裝備!F56 * 裝備!G56) / 裝備!H56,0)</f>
        <v>0</v>
      </c>
      <c r="O56" s="3">
        <v>25</v>
      </c>
      <c r="P56" s="13">
        <f>IF(裝備!N56&gt;0,裝備!O56/裝備!N56,0)</f>
        <v>0</v>
      </c>
    </row>
    <row r="57" spans="1:16">
      <c r="A57" s="19"/>
      <c r="J57" s="14"/>
      <c r="M57" s="13">
        <f>IF(裝備!H57&gt;0,1/裝備!H57,0)</f>
        <v>0</v>
      </c>
      <c r="N57" s="13">
        <f>IF(裝備!H57&gt;0,(裝備!F57 + 裝備!F57 * 裝備!G57) / 裝備!H57,0)</f>
        <v>0</v>
      </c>
      <c r="O57" s="3">
        <v>25</v>
      </c>
      <c r="P57" s="13">
        <f>IF(裝備!N57&gt;0,裝備!O57/裝備!N57,0)</f>
        <v>0</v>
      </c>
    </row>
    <row r="58" spans="1:16">
      <c r="A58" s="19"/>
      <c r="J58" s="14"/>
      <c r="M58" s="13">
        <f>IF(裝備!H58&gt;0,1/裝備!H58,0)</f>
        <v>0</v>
      </c>
      <c r="N58" s="13">
        <f>IF(裝備!H58&gt;0,(裝備!F58 + 裝備!F58 * 裝備!G58) / 裝備!H58,0)</f>
        <v>0</v>
      </c>
      <c r="O58" s="3">
        <v>25</v>
      </c>
      <c r="P58" s="13">
        <f>IF(裝備!N58&gt;0,裝備!O58/裝備!N58,0)</f>
        <v>0</v>
      </c>
    </row>
    <row r="59" spans="1:16">
      <c r="A59" s="19"/>
      <c r="J59" s="14"/>
      <c r="M59" s="13">
        <f>IF(裝備!H59&gt;0,1/裝備!H59,0)</f>
        <v>0</v>
      </c>
      <c r="N59" s="13">
        <f>IF(裝備!H59&gt;0,(裝備!F59 + 裝備!F59 * 裝備!G59) / 裝備!H59,0)</f>
        <v>0</v>
      </c>
      <c r="O59" s="3">
        <v>25</v>
      </c>
      <c r="P59" s="13">
        <f>IF(裝備!N59&gt;0,裝備!O59/裝備!N59,0)</f>
        <v>0</v>
      </c>
    </row>
    <row r="60" spans="1:16">
      <c r="A60" s="19"/>
      <c r="J60" s="14"/>
      <c r="M60" s="13">
        <f>IF(裝備!H60&gt;0,1/裝備!H60,0)</f>
        <v>0</v>
      </c>
      <c r="N60" s="13">
        <f>IF(裝備!H60&gt;0,(裝備!F60 + 裝備!F60 * 裝備!G60) / 裝備!H60,0)</f>
        <v>0</v>
      </c>
      <c r="O60" s="3">
        <v>25</v>
      </c>
      <c r="P60" s="13">
        <f>IF(裝備!N60&gt;0,裝備!O60/裝備!N60,0)</f>
        <v>0</v>
      </c>
    </row>
    <row r="61" spans="1:16">
      <c r="A61" s="19"/>
      <c r="J61" s="14"/>
      <c r="M61" s="13">
        <f>IF(裝備!H61&gt;0,1/裝備!H61,0)</f>
        <v>0</v>
      </c>
      <c r="N61" s="13">
        <f>IF(裝備!H61&gt;0,(裝備!F61 + 裝備!F61 * 裝備!G61) / 裝備!H61,0)</f>
        <v>0</v>
      </c>
      <c r="O61" s="3">
        <v>25</v>
      </c>
      <c r="P61" s="13">
        <f>IF(裝備!N61&gt;0,裝備!O61/裝備!N61,0)</f>
        <v>0</v>
      </c>
    </row>
    <row r="62" spans="1:16">
      <c r="A62" s="19"/>
      <c r="J62" s="14"/>
      <c r="M62" s="13">
        <f>IF(裝備!H62&gt;0,1/裝備!H62,0)</f>
        <v>0</v>
      </c>
      <c r="N62" s="13">
        <f>IF(裝備!H62&gt;0,(裝備!F62 + 裝備!F62 * 裝備!G62) / 裝備!H62,0)</f>
        <v>0</v>
      </c>
      <c r="O62" s="3">
        <v>25</v>
      </c>
      <c r="P62" s="13">
        <f>IF(裝備!N62&gt;0,裝備!O62/裝備!N62,0)</f>
        <v>0</v>
      </c>
    </row>
    <row r="63" spans="1:16">
      <c r="A63" s="19"/>
      <c r="J63" s="14"/>
      <c r="M63" s="13">
        <f>IF(裝備!H63&gt;0,1/裝備!H63,0)</f>
        <v>0</v>
      </c>
      <c r="N63" s="13">
        <f>IF(裝備!H63&gt;0,(裝備!F63 + 裝備!F63 * 裝備!G63) / 裝備!H63,0)</f>
        <v>0</v>
      </c>
      <c r="O63" s="3">
        <v>25</v>
      </c>
      <c r="P63" s="13">
        <f>IF(裝備!N63&gt;0,裝備!O63/裝備!N63,0)</f>
        <v>0</v>
      </c>
    </row>
    <row r="64" spans="1:16">
      <c r="A64" s="19"/>
      <c r="J64" s="14"/>
      <c r="M64" s="13">
        <f>IF(裝備!H64&gt;0,1/裝備!H64,0)</f>
        <v>0</v>
      </c>
      <c r="N64" s="13">
        <f>IF(裝備!H64&gt;0,(裝備!F64 + 裝備!F64 * 裝備!G64) / 裝備!H64,0)</f>
        <v>0</v>
      </c>
      <c r="O64" s="3">
        <v>25</v>
      </c>
      <c r="P64" s="13">
        <f>IF(裝備!N64&gt;0,裝備!O64/裝備!N64,0)</f>
        <v>0</v>
      </c>
    </row>
    <row r="65" spans="1:16">
      <c r="A65" s="19"/>
      <c r="J65" s="14"/>
      <c r="M65" s="13">
        <f>IF(裝備!H65&gt;0,1/裝備!H65,0)</f>
        <v>0</v>
      </c>
      <c r="N65" s="13">
        <f>IF(裝備!H65&gt;0,(裝備!F65 + 裝備!F65 * 裝備!G65) / 裝備!H65,0)</f>
        <v>0</v>
      </c>
      <c r="O65" s="3">
        <v>25</v>
      </c>
      <c r="P65" s="13">
        <f>IF(裝備!N65&gt;0,裝備!O65/裝備!N65,0)</f>
        <v>0</v>
      </c>
    </row>
    <row r="66" spans="1:16">
      <c r="A66" s="19"/>
      <c r="J66" s="14"/>
      <c r="M66" s="13">
        <f>IF(裝備!H66&gt;0,1/裝備!H66,0)</f>
        <v>0</v>
      </c>
      <c r="N66" s="13">
        <f>IF(裝備!H66&gt;0,(裝備!F66 + 裝備!F66 * 裝備!G66) / 裝備!H66,0)</f>
        <v>0</v>
      </c>
      <c r="O66" s="3">
        <v>25</v>
      </c>
      <c r="P66" s="13">
        <f>IF(裝備!N66&gt;0,裝備!O66/裝備!N66,0)</f>
        <v>0</v>
      </c>
    </row>
    <row r="67" spans="1:16">
      <c r="A67" s="19"/>
      <c r="J67" s="14"/>
      <c r="M67" s="13">
        <f>IF(裝備!H67&gt;0,1/裝備!H67,0)</f>
        <v>0</v>
      </c>
      <c r="N67" s="13">
        <f>IF(裝備!H67&gt;0,(裝備!F67 + 裝備!F67 * 裝備!G67) / 裝備!H67,0)</f>
        <v>0</v>
      </c>
      <c r="O67" s="3">
        <v>25</v>
      </c>
      <c r="P67" s="13">
        <f>IF(裝備!N67&gt;0,裝備!O67/裝備!N67,0)</f>
        <v>0</v>
      </c>
    </row>
    <row r="68" spans="1:16">
      <c r="A68" s="19"/>
      <c r="J68" s="14"/>
      <c r="M68" s="13">
        <f>IF(裝備!H68&gt;0,1/裝備!H68,0)</f>
        <v>0</v>
      </c>
      <c r="N68" s="13">
        <f>IF(裝備!H68&gt;0,(裝備!F68 + 裝備!F68 * 裝備!G68) / 裝備!H68,0)</f>
        <v>0</v>
      </c>
      <c r="O68" s="3">
        <v>25</v>
      </c>
      <c r="P68" s="13">
        <f>IF(裝備!N68&gt;0,裝備!O68/裝備!N68,0)</f>
        <v>0</v>
      </c>
    </row>
    <row r="69" spans="1:16">
      <c r="A69" s="19"/>
      <c r="J69" s="14"/>
      <c r="M69" s="13">
        <f>IF(裝備!H69&gt;0,1/裝備!H69,0)</f>
        <v>0</v>
      </c>
      <c r="N69" s="13">
        <f>IF(裝備!H69&gt;0,(裝備!F69 + 裝備!F69 * 裝備!G69) / 裝備!H69,0)</f>
        <v>0</v>
      </c>
      <c r="O69" s="3">
        <v>25</v>
      </c>
      <c r="P69" s="13">
        <f>IF(裝備!N69&gt;0,裝備!O69/裝備!N69,0)</f>
        <v>0</v>
      </c>
    </row>
    <row r="70" spans="1:16">
      <c r="A70" s="19"/>
      <c r="J70" s="14"/>
      <c r="M70" s="13">
        <f>IF(裝備!H70&gt;0,1/裝備!H70,0)</f>
        <v>0</v>
      </c>
      <c r="N70" s="13">
        <f>IF(裝備!H70&gt;0,(裝備!F70 + 裝備!F70 * 裝備!G70) / 裝備!H70,0)</f>
        <v>0</v>
      </c>
      <c r="O70" s="3">
        <v>25</v>
      </c>
      <c r="P70" s="13">
        <f>IF(裝備!N70&gt;0,裝備!O70/裝備!N70,0)</f>
        <v>0</v>
      </c>
    </row>
    <row r="71" spans="1:16">
      <c r="A71" s="19"/>
      <c r="J71" s="14"/>
      <c r="M71" s="13">
        <f>IF(裝備!H71&gt;0,1/裝備!H71,0)</f>
        <v>0</v>
      </c>
      <c r="N71" s="13">
        <f>IF(裝備!H71&gt;0,(裝備!F71 + 裝備!F71 * 裝備!G71) / 裝備!H71,0)</f>
        <v>0</v>
      </c>
      <c r="O71" s="3">
        <v>25</v>
      </c>
      <c r="P71" s="13">
        <f>IF(裝備!N71&gt;0,裝備!O71/裝備!N71,0)</f>
        <v>0</v>
      </c>
    </row>
    <row r="72" spans="1:16">
      <c r="A72" s="19"/>
      <c r="J72" s="14"/>
      <c r="M72" s="13">
        <f>IF(裝備!H72&gt;0,1/裝備!H72,0)</f>
        <v>0</v>
      </c>
      <c r="N72" s="13">
        <f>IF(裝備!H72&gt;0,(裝備!F72 + 裝備!F72 * 裝備!G72) / 裝備!H72,0)</f>
        <v>0</v>
      </c>
      <c r="O72" s="3">
        <v>25</v>
      </c>
      <c r="P72" s="13">
        <f>IF(裝備!N72&gt;0,裝備!O72/裝備!N72,0)</f>
        <v>0</v>
      </c>
    </row>
    <row r="73" spans="1:16">
      <c r="A73" s="19"/>
      <c r="J73" s="14"/>
      <c r="M73" s="13">
        <f>IF(裝備!H73&gt;0,1/裝備!H73,0)</f>
        <v>0</v>
      </c>
      <c r="N73" s="13">
        <f>IF(裝備!H73&gt;0,(裝備!F73 + 裝備!F73 * 裝備!G73) / 裝備!H73,0)</f>
        <v>0</v>
      </c>
      <c r="O73" s="3">
        <v>25</v>
      </c>
      <c r="P73" s="13">
        <f>IF(裝備!N73&gt;0,裝備!O73/裝備!N73,0)</f>
        <v>0</v>
      </c>
    </row>
    <row r="74" spans="1:16">
      <c r="A74" s="19"/>
      <c r="J74" s="14"/>
      <c r="M74" s="13">
        <f>IF(裝備!H74&gt;0,1/裝備!H74,0)</f>
        <v>0</v>
      </c>
      <c r="N74" s="13">
        <f>IF(裝備!H74&gt;0,(裝備!F74 + 裝備!F74 * 裝備!G74) / 裝備!H74,0)</f>
        <v>0</v>
      </c>
      <c r="O74" s="3">
        <v>25</v>
      </c>
      <c r="P74" s="13">
        <f>IF(裝備!N74&gt;0,裝備!O74/裝備!N74,0)</f>
        <v>0</v>
      </c>
    </row>
    <row r="75" spans="1:16">
      <c r="A75" s="19"/>
      <c r="J75" s="14"/>
      <c r="M75" s="13">
        <f>IF(裝備!H75&gt;0,1/裝備!H75,0)</f>
        <v>0</v>
      </c>
      <c r="N75" s="13">
        <f>IF(裝備!H75&gt;0,(裝備!F75 + 裝備!F75 * 裝備!G75) / 裝備!H75,0)</f>
        <v>0</v>
      </c>
      <c r="O75" s="3">
        <v>25</v>
      </c>
      <c r="P75" s="13">
        <f>IF(裝備!N75&gt;0,裝備!O75/裝備!N75,0)</f>
        <v>0</v>
      </c>
    </row>
    <row r="76" spans="1:16">
      <c r="A76" s="19"/>
      <c r="J76" s="14"/>
      <c r="M76" s="13">
        <f>IF(裝備!H76&gt;0,1/裝備!H76,0)</f>
        <v>0</v>
      </c>
      <c r="N76" s="13">
        <f>IF(裝備!H76&gt;0,(裝備!F76 + 裝備!F76 * 裝備!G76) / 裝備!H76,0)</f>
        <v>0</v>
      </c>
      <c r="O76" s="3">
        <v>25</v>
      </c>
      <c r="P76" s="13">
        <f>IF(裝備!N76&gt;0,裝備!O76/裝備!N76,0)</f>
        <v>0</v>
      </c>
    </row>
    <row r="77" spans="1:16">
      <c r="A77" s="19"/>
      <c r="J77" s="14"/>
      <c r="M77" s="13">
        <f>IF(裝備!H77&gt;0,1/裝備!H77,0)</f>
        <v>0</v>
      </c>
      <c r="N77" s="13">
        <f>IF(裝備!H77&gt;0,(裝備!F77 + 裝備!F77 * 裝備!G77) / 裝備!H77,0)</f>
        <v>0</v>
      </c>
      <c r="O77" s="3">
        <v>25</v>
      </c>
      <c r="P77" s="13">
        <f>IF(裝備!N77&gt;0,裝備!O77/裝備!N77,0)</f>
        <v>0</v>
      </c>
    </row>
    <row r="78" spans="1:16">
      <c r="A78" s="19"/>
      <c r="J78" s="14"/>
      <c r="M78" s="13">
        <f>IF(裝備!H78&gt;0,1/裝備!H78,0)</f>
        <v>0</v>
      </c>
      <c r="N78" s="13">
        <f>IF(裝備!H78&gt;0,(裝備!F78 + 裝備!F78 * 裝備!G78) / 裝備!H78,0)</f>
        <v>0</v>
      </c>
      <c r="O78" s="3">
        <v>25</v>
      </c>
      <c r="P78" s="13">
        <f>IF(裝備!N78&gt;0,裝備!O78/裝備!N78,0)</f>
        <v>0</v>
      </c>
    </row>
    <row r="79" spans="1:16">
      <c r="A79" s="19"/>
      <c r="J79" s="14"/>
      <c r="M79" s="13">
        <f>IF(裝備!H79&gt;0,1/裝備!H79,0)</f>
        <v>0</v>
      </c>
      <c r="N79" s="13">
        <f>IF(裝備!H79&gt;0,(裝備!F79 + 裝備!F79 * 裝備!G79) / 裝備!H79,0)</f>
        <v>0</v>
      </c>
      <c r="O79" s="3">
        <v>25</v>
      </c>
      <c r="P79" s="13">
        <f>IF(裝備!N79&gt;0,裝備!O79/裝備!N79,0)</f>
        <v>0</v>
      </c>
    </row>
    <row r="80" spans="1:16">
      <c r="A80" s="19"/>
      <c r="J80" s="14"/>
      <c r="M80" s="13">
        <f>IF(裝備!H80&gt;0,1/裝備!H80,0)</f>
        <v>0</v>
      </c>
      <c r="N80" s="13">
        <f>IF(裝備!H80&gt;0,(裝備!F80 + 裝備!F80 * 裝備!G80) / 裝備!H80,0)</f>
        <v>0</v>
      </c>
      <c r="O80" s="3">
        <v>25</v>
      </c>
      <c r="P80" s="13">
        <f>IF(裝備!N80&gt;0,裝備!O80/裝備!N80,0)</f>
        <v>0</v>
      </c>
    </row>
    <row r="81" spans="1:16">
      <c r="A81" s="19"/>
      <c r="J81" s="14"/>
      <c r="M81" s="13">
        <f>IF(裝備!H81&gt;0,1/裝備!H81,0)</f>
        <v>0</v>
      </c>
      <c r="N81" s="13">
        <f>IF(裝備!H81&gt;0,(裝備!F81 + 裝備!F81 * 裝備!G81) / 裝備!H81,0)</f>
        <v>0</v>
      </c>
      <c r="O81" s="3">
        <v>25</v>
      </c>
      <c r="P81" s="13">
        <f>IF(裝備!N81&gt;0,裝備!O81/裝備!N81,0)</f>
        <v>0</v>
      </c>
    </row>
    <row r="82" spans="1:16">
      <c r="A82" s="19"/>
      <c r="J82" s="14"/>
      <c r="M82" s="13">
        <f>IF(裝備!H82&gt;0,1/裝備!H82,0)</f>
        <v>0</v>
      </c>
      <c r="N82" s="13">
        <f>IF(裝備!H82&gt;0,(裝備!F82 + 裝備!F82 * 裝備!G82) / 裝備!H82,0)</f>
        <v>0</v>
      </c>
      <c r="O82" s="3">
        <v>25</v>
      </c>
      <c r="P82" s="13">
        <f>IF(裝備!N82&gt;0,裝備!O82/裝備!N82,0)</f>
        <v>0</v>
      </c>
    </row>
    <row r="83" spans="1:16">
      <c r="A83" s="19"/>
      <c r="J83" s="14"/>
      <c r="M83" s="13">
        <f>IF(裝備!H83&gt;0,1/裝備!H83,0)</f>
        <v>0</v>
      </c>
      <c r="N83" s="13">
        <f>IF(裝備!H83&gt;0,(裝備!F83 + 裝備!F83 * 裝備!G83) / 裝備!H83,0)</f>
        <v>0</v>
      </c>
      <c r="O83" s="3">
        <v>25</v>
      </c>
      <c r="P83" s="13">
        <f>IF(裝備!N83&gt;0,裝備!O83/裝備!N83,0)</f>
        <v>0</v>
      </c>
    </row>
    <row r="84" spans="1:16">
      <c r="A84" s="19"/>
      <c r="J84" s="14"/>
      <c r="M84" s="13">
        <f>IF(裝備!H84&gt;0,1/裝備!H84,0)</f>
        <v>0</v>
      </c>
      <c r="N84" s="13">
        <f>IF(裝備!H84&gt;0,(裝備!F84 + 裝備!F84 * 裝備!G84) / 裝備!H84,0)</f>
        <v>0</v>
      </c>
      <c r="O84" s="3">
        <v>25</v>
      </c>
      <c r="P84" s="13">
        <f>IF(裝備!N84&gt;0,裝備!O84/裝備!N84,0)</f>
        <v>0</v>
      </c>
    </row>
    <row r="85" spans="1:16">
      <c r="A85" s="19"/>
      <c r="J85" s="14"/>
      <c r="M85" s="13">
        <f>IF(裝備!H85&gt;0,1/裝備!H85,0)</f>
        <v>0</v>
      </c>
      <c r="N85" s="13">
        <f>IF(裝備!H85&gt;0,(裝備!F85 + 裝備!F85 * 裝備!G85) / 裝備!H85,0)</f>
        <v>0</v>
      </c>
      <c r="O85" s="3">
        <v>25</v>
      </c>
      <c r="P85" s="13">
        <f>IF(裝備!N85&gt;0,裝備!O85/裝備!N85,0)</f>
        <v>0</v>
      </c>
    </row>
    <row r="86" spans="1:16">
      <c r="A86" s="19"/>
      <c r="J86" s="14"/>
      <c r="M86" s="13">
        <f>IF(裝備!H86&gt;0,1/裝備!H86,0)</f>
        <v>0</v>
      </c>
      <c r="N86" s="13">
        <f>IF(裝備!H86&gt;0,(裝備!F86 + 裝備!F86 * 裝備!G86) / 裝備!H86,0)</f>
        <v>0</v>
      </c>
      <c r="O86" s="3">
        <v>25</v>
      </c>
      <c r="P86" s="13">
        <f>IF(裝備!N86&gt;0,裝備!O86/裝備!N86,0)</f>
        <v>0</v>
      </c>
    </row>
    <row r="87" spans="1:16">
      <c r="A87" s="19"/>
      <c r="J87" s="14"/>
      <c r="M87" s="13">
        <f>IF(裝備!H87&gt;0,1/裝備!H87,0)</f>
        <v>0</v>
      </c>
      <c r="N87" s="13">
        <f>IF(裝備!H87&gt;0,(裝備!F87 + 裝備!F87 * 裝備!G87) / 裝備!H87,0)</f>
        <v>0</v>
      </c>
      <c r="O87" s="3">
        <v>25</v>
      </c>
      <c r="P87" s="13">
        <f>IF(裝備!N87&gt;0,裝備!O87/裝備!N87,0)</f>
        <v>0</v>
      </c>
    </row>
    <row r="88" spans="1:16">
      <c r="A88" s="19"/>
      <c r="J88" s="14"/>
      <c r="M88" s="13">
        <f>IF(裝備!H88&gt;0,1/裝備!H88,0)</f>
        <v>0</v>
      </c>
      <c r="N88" s="13">
        <f>IF(裝備!H88&gt;0,(裝備!F88 + 裝備!F88 * 裝備!G88) / 裝備!H88,0)</f>
        <v>0</v>
      </c>
      <c r="O88" s="3">
        <v>25</v>
      </c>
      <c r="P88" s="13">
        <f>IF(裝備!N88&gt;0,裝備!O88/裝備!N88,0)</f>
        <v>0</v>
      </c>
    </row>
    <row r="89" spans="1:16">
      <c r="A89" s="19"/>
      <c r="J89" s="14"/>
      <c r="M89" s="13">
        <f>IF(裝備!H89&gt;0,1/裝備!H89,0)</f>
        <v>0</v>
      </c>
      <c r="N89" s="13">
        <f>IF(裝備!H89&gt;0,(裝備!F89 + 裝備!F89 * 裝備!G89) / 裝備!H89,0)</f>
        <v>0</v>
      </c>
      <c r="O89" s="3">
        <v>25</v>
      </c>
      <c r="P89" s="13">
        <f>IF(裝備!N89&gt;0,裝備!O89/裝備!N89,0)</f>
        <v>0</v>
      </c>
    </row>
    <row r="90" spans="1:16">
      <c r="A90" s="19"/>
      <c r="J90" s="14"/>
      <c r="M90" s="13">
        <f>IF(裝備!H90&gt;0,1/裝備!H90,0)</f>
        <v>0</v>
      </c>
      <c r="N90" s="13">
        <f>IF(裝備!H90&gt;0,(裝備!F90 + 裝備!F90 * 裝備!G90) / 裝備!H90,0)</f>
        <v>0</v>
      </c>
      <c r="O90" s="3">
        <v>25</v>
      </c>
      <c r="P90" s="13">
        <f>IF(裝備!N90&gt;0,裝備!O90/裝備!N90,0)</f>
        <v>0</v>
      </c>
    </row>
    <row r="91" spans="1:16">
      <c r="A91" s="19"/>
      <c r="J91" s="14"/>
      <c r="M91" s="13">
        <f>IF(裝備!H91&gt;0,1/裝備!H91,0)</f>
        <v>0</v>
      </c>
      <c r="N91" s="13">
        <f>IF(裝備!H91&gt;0,(裝備!F91 + 裝備!F91 * 裝備!G91) / 裝備!H91,0)</f>
        <v>0</v>
      </c>
      <c r="O91" s="3">
        <v>25</v>
      </c>
      <c r="P91" s="13">
        <f>IF(裝備!N91&gt;0,裝備!O91/裝備!N91,0)</f>
        <v>0</v>
      </c>
    </row>
    <row r="92" spans="1:16">
      <c r="A92" s="19"/>
      <c r="J92" s="14"/>
      <c r="M92" s="13">
        <f>IF(裝備!H92&gt;0,1/裝備!H92,0)</f>
        <v>0</v>
      </c>
      <c r="N92" s="13">
        <f>IF(裝備!H92&gt;0,(裝備!F92 + 裝備!F92 * 裝備!G92) / 裝備!H92,0)</f>
        <v>0</v>
      </c>
      <c r="O92" s="3">
        <v>25</v>
      </c>
      <c r="P92" s="13">
        <f>IF(裝備!N92&gt;0,裝備!O92/裝備!N92,0)</f>
        <v>0</v>
      </c>
    </row>
    <row r="93" spans="1:16">
      <c r="A93" s="19"/>
      <c r="J93" s="14"/>
      <c r="M93" s="13">
        <f>IF(裝備!H93&gt;0,1/裝備!H93,0)</f>
        <v>0</v>
      </c>
      <c r="N93" s="13">
        <f>IF(裝備!H93&gt;0,(裝備!F93 + 裝備!F93 * 裝備!G93) / 裝備!H93,0)</f>
        <v>0</v>
      </c>
      <c r="O93" s="3">
        <v>25</v>
      </c>
      <c r="P93" s="13">
        <f>IF(裝備!N93&gt;0,裝備!O93/裝備!N93,0)</f>
        <v>0</v>
      </c>
    </row>
    <row r="94" spans="1:16">
      <c r="A94" s="19"/>
      <c r="J94" s="14"/>
      <c r="M94" s="13">
        <f>IF(裝備!H94&gt;0,1/裝備!H94,0)</f>
        <v>0</v>
      </c>
      <c r="N94" s="13">
        <f>IF(裝備!H94&gt;0,(裝備!F94 + 裝備!F94 * 裝備!G94) / 裝備!H94,0)</f>
        <v>0</v>
      </c>
      <c r="O94" s="3">
        <v>25</v>
      </c>
      <c r="P94" s="13">
        <f>IF(裝備!N94&gt;0,裝備!O94/裝備!N94,0)</f>
        <v>0</v>
      </c>
    </row>
    <row r="95" spans="1:16">
      <c r="A95" s="19"/>
      <c r="J95" s="14"/>
      <c r="M95" s="13">
        <f>IF(裝備!H95&gt;0,1/裝備!H95,0)</f>
        <v>0</v>
      </c>
      <c r="N95" s="13">
        <f>IF(裝備!H95&gt;0,(裝備!F95 + 裝備!F95 * 裝備!G95) / 裝備!H95,0)</f>
        <v>0</v>
      </c>
      <c r="O95" s="3">
        <v>25</v>
      </c>
      <c r="P95" s="13">
        <f>IF(裝備!N95&gt;0,裝備!O95/裝備!N95,0)</f>
        <v>0</v>
      </c>
    </row>
    <row r="96" spans="1:16">
      <c r="A96" s="19"/>
      <c r="J96" s="14"/>
      <c r="M96" s="13">
        <f>IF(裝備!H96&gt;0,1/裝備!H96,0)</f>
        <v>0</v>
      </c>
      <c r="N96" s="13">
        <f>IF(裝備!H96&gt;0,(裝備!F96 + 裝備!F96 * 裝備!G96) / 裝備!H96,0)</f>
        <v>0</v>
      </c>
      <c r="O96" s="3">
        <v>25</v>
      </c>
      <c r="P96" s="13">
        <f>IF(裝備!N96&gt;0,裝備!O96/裝備!N96,0)</f>
        <v>0</v>
      </c>
    </row>
    <row r="97" spans="1:16">
      <c r="A97" s="19"/>
      <c r="J97" s="14"/>
      <c r="M97" s="13">
        <f>IF(裝備!H97&gt;0,1/裝備!H97,0)</f>
        <v>0</v>
      </c>
      <c r="N97" s="13">
        <f>IF(裝備!H97&gt;0,(裝備!F97 + 裝備!F97 * 裝備!G97) / 裝備!H97,0)</f>
        <v>0</v>
      </c>
      <c r="O97" s="3">
        <v>25</v>
      </c>
      <c r="P97" s="13">
        <f>IF(裝備!N97&gt;0,裝備!O97/裝備!N97,0)</f>
        <v>0</v>
      </c>
    </row>
    <row r="98" spans="1:16">
      <c r="A98" s="19"/>
      <c r="J98" s="14"/>
      <c r="M98" s="13">
        <f>IF(裝備!H98&gt;0,1/裝備!H98,0)</f>
        <v>0</v>
      </c>
      <c r="N98" s="13">
        <f>IF(裝備!H98&gt;0,(裝備!F98 + 裝備!F98 * 裝備!G98) / 裝備!H98,0)</f>
        <v>0</v>
      </c>
      <c r="O98" s="3">
        <v>25</v>
      </c>
      <c r="P98" s="13">
        <f>IF(裝備!N98&gt;0,裝備!O98/裝備!N98,0)</f>
        <v>0</v>
      </c>
    </row>
    <row r="99" spans="1:16">
      <c r="A99" s="19"/>
      <c r="J99" s="14"/>
      <c r="M99" s="13">
        <f>IF(裝備!H99&gt;0,1/裝備!H99,0)</f>
        <v>0</v>
      </c>
      <c r="N99" s="13">
        <f>IF(裝備!H99&gt;0,(裝備!F99 + 裝備!F99 * 裝備!G99) / 裝備!H99,0)</f>
        <v>0</v>
      </c>
      <c r="O99" s="3">
        <v>25</v>
      </c>
      <c r="P99" s="13">
        <f>IF(裝備!N99&gt;0,裝備!O99/裝備!N99,0)</f>
        <v>0</v>
      </c>
    </row>
    <row r="100" spans="1:16">
      <c r="A100" s="16"/>
      <c r="B100" s="20"/>
      <c r="C100" s="20"/>
      <c r="D100" s="20"/>
      <c r="E100" s="20"/>
      <c r="F100" s="20"/>
      <c r="G100" s="20"/>
      <c r="H100" s="20"/>
      <c r="I100" s="20"/>
      <c r="J100" s="15"/>
      <c r="M100" s="13">
        <f>IF(裝備!H100&gt;0,1/裝備!H100,0)</f>
        <v>0</v>
      </c>
      <c r="N100" s="13">
        <f>IF(裝備!H100&gt;0,(裝備!F100 + 裝備!F100 * 裝備!G100) / 裝備!H100,0)</f>
        <v>0</v>
      </c>
      <c r="O100" s="3">
        <v>25</v>
      </c>
      <c r="P100" s="13">
        <f>IF(裝備!N100&gt;0,裝備!O100/裝備!N100,0)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選項清單!$E$2:$E$5</xm:f>
          </x14:formula1>
          <xm:sqref>J1:J1048576</xm:sqref>
        </x14:dataValidation>
        <x14:dataValidation type="list" allowBlank="1" showInputMessage="1" showErrorMessage="1">
          <x14:formula1>
            <xm:f>選項清單!$C$3:$C$4</xm:f>
          </x14:formula1>
          <xm:sqref>I1</xm:sqref>
        </x14:dataValidation>
        <x14:dataValidation type="list" allowBlank="1" showInputMessage="1" showErrorMessage="1">
          <x14:formula1>
            <xm:f>選項清單!$A$3:$A$4</xm:f>
          </x14:formula1>
          <xm:sqref>C1</xm:sqref>
        </x14:dataValidation>
        <x14:dataValidation type="list" allowBlank="1" showInputMessage="1" showErrorMessage="1">
          <x14:formula1>
            <xm:f>選項清單!$A$2:$A$4</xm:f>
          </x14:formula1>
          <xm:sqref>C1:C1048576</xm:sqref>
        </x14:dataValidation>
        <x14:dataValidation type="list" allowBlank="1" showInputMessage="1" showErrorMessage="1">
          <x14:formula1>
            <xm:f>選項清單!$C$2:$C$4</xm:f>
          </x14:formula1>
          <xm:sqref>I1:I1048576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J100"/>
  <sheetViews>
    <sheetView workbookViewId="0">
      <pane ySplit="1" topLeftCell="A2" activePane="bottomLeft" state="frozen"/>
      <selection pane="bottomLeft" activeCell="D20" sqref="D20"/>
    </sheetView>
  </sheetViews>
  <sheetFormatPr defaultRowHeight="16.5"/>
  <cols>
    <col min="1" max="8" width="15.625" style="3" customWidth="1"/>
    <col min="9" max="9" width="3.125" style="3" customWidth="1"/>
    <col min="10" max="10" width="40.625" style="18" customWidth="1"/>
    <col min="11" max="16384" width="9" style="3"/>
  </cols>
  <sheetData>
    <row r="1" spans="1:10" s="2" customFormat="1">
      <c r="A1" s="2" t="s">
        <v>30</v>
      </c>
      <c r="B1" s="2" t="s">
        <v>31</v>
      </c>
      <c r="C1" s="2" t="s">
        <v>32</v>
      </c>
      <c r="D1" s="2" t="s">
        <v>131</v>
      </c>
      <c r="E1" s="2" t="s">
        <v>86</v>
      </c>
      <c r="F1" s="2" t="s">
        <v>37</v>
      </c>
      <c r="G1" s="2" t="s">
        <v>33</v>
      </c>
      <c r="H1" s="26" t="s">
        <v>103</v>
      </c>
      <c r="J1" s="17" t="s">
        <v>34</v>
      </c>
    </row>
    <row r="2" spans="1:10">
      <c r="A2" s="3">
        <v>1</v>
      </c>
      <c r="B2" s="3">
        <v>2001</v>
      </c>
      <c r="C2" s="3" t="s">
        <v>119</v>
      </c>
      <c r="D2" s="3">
        <v>4</v>
      </c>
      <c r="E2" s="3">
        <v>3</v>
      </c>
      <c r="F2" s="3">
        <v>1</v>
      </c>
      <c r="G2" s="3">
        <v>4</v>
      </c>
      <c r="H2" s="25">
        <v>3001</v>
      </c>
      <c r="J2" s="18" t="s">
        <v>71</v>
      </c>
    </row>
    <row r="3" spans="1:10">
      <c r="A3" s="3">
        <v>2</v>
      </c>
      <c r="B3" s="3">
        <v>2002</v>
      </c>
      <c r="C3" s="3" t="s">
        <v>119</v>
      </c>
      <c r="D3" s="3">
        <v>6</v>
      </c>
      <c r="E3" s="3">
        <v>3</v>
      </c>
      <c r="F3" s="3">
        <v>1</v>
      </c>
      <c r="G3" s="3">
        <v>8</v>
      </c>
      <c r="H3" s="25">
        <v>3002</v>
      </c>
      <c r="J3" s="18" t="s">
        <v>72</v>
      </c>
    </row>
    <row r="4" spans="1:10">
      <c r="A4" s="3">
        <v>3</v>
      </c>
      <c r="B4" s="3">
        <v>2003</v>
      </c>
      <c r="C4" s="3" t="s">
        <v>119</v>
      </c>
      <c r="D4" s="3">
        <v>0</v>
      </c>
      <c r="E4" s="3">
        <v>3</v>
      </c>
      <c r="F4" s="3">
        <v>2</v>
      </c>
      <c r="G4" s="3">
        <v>-4</v>
      </c>
      <c r="H4" s="25">
        <v>3003</v>
      </c>
      <c r="J4" s="18" t="s">
        <v>73</v>
      </c>
    </row>
    <row r="5" spans="1:10">
      <c r="A5" s="3">
        <v>4</v>
      </c>
      <c r="B5" s="3">
        <v>2004</v>
      </c>
      <c r="C5" s="3" t="s">
        <v>119</v>
      </c>
      <c r="D5" s="3">
        <v>0</v>
      </c>
      <c r="E5" s="3">
        <v>3</v>
      </c>
      <c r="F5" s="3">
        <v>2</v>
      </c>
      <c r="G5" s="3">
        <v>-8</v>
      </c>
      <c r="H5" s="25">
        <v>3004</v>
      </c>
      <c r="J5" s="18" t="s">
        <v>74</v>
      </c>
    </row>
    <row r="6" spans="1:10">
      <c r="A6" s="3">
        <v>5</v>
      </c>
      <c r="B6" s="3">
        <v>2005</v>
      </c>
      <c r="C6" s="3" t="s">
        <v>121</v>
      </c>
      <c r="D6" s="3">
        <v>8</v>
      </c>
      <c r="E6" s="3">
        <v>3</v>
      </c>
      <c r="F6" s="3">
        <v>3</v>
      </c>
      <c r="G6" s="3">
        <v>2</v>
      </c>
      <c r="H6" s="25">
        <v>3005</v>
      </c>
      <c r="J6" s="18" t="s">
        <v>75</v>
      </c>
    </row>
    <row r="7" spans="1:10">
      <c r="A7" s="3">
        <v>6</v>
      </c>
      <c r="B7" s="3">
        <v>2006</v>
      </c>
      <c r="C7" s="3" t="s">
        <v>121</v>
      </c>
      <c r="D7" s="3">
        <v>10</v>
      </c>
      <c r="E7" s="3">
        <v>3</v>
      </c>
      <c r="F7" s="3">
        <v>3</v>
      </c>
      <c r="G7" s="3">
        <v>3</v>
      </c>
      <c r="H7" s="25">
        <v>3006</v>
      </c>
      <c r="J7" s="18" t="s">
        <v>76</v>
      </c>
    </row>
    <row r="8" spans="1:10">
      <c r="A8" s="3">
        <v>7</v>
      </c>
      <c r="B8" s="3">
        <v>2007</v>
      </c>
      <c r="C8" s="3" t="s">
        <v>121</v>
      </c>
      <c r="D8" s="3">
        <v>0</v>
      </c>
      <c r="E8" s="3">
        <v>3</v>
      </c>
      <c r="F8" s="3">
        <v>3</v>
      </c>
      <c r="G8" s="3">
        <v>-2</v>
      </c>
      <c r="H8" s="25">
        <v>3007</v>
      </c>
      <c r="J8" s="18" t="s">
        <v>77</v>
      </c>
    </row>
    <row r="9" spans="1:10">
      <c r="A9" s="3">
        <v>8</v>
      </c>
      <c r="B9" s="3">
        <v>2008</v>
      </c>
      <c r="C9" s="3" t="s">
        <v>121</v>
      </c>
      <c r="D9" s="3">
        <v>0</v>
      </c>
      <c r="E9" s="3">
        <v>3</v>
      </c>
      <c r="F9" s="3">
        <v>3</v>
      </c>
      <c r="G9" s="3">
        <v>-3</v>
      </c>
      <c r="H9" s="25">
        <v>3008</v>
      </c>
      <c r="J9" s="18" t="s">
        <v>78</v>
      </c>
    </row>
    <row r="10" spans="1:10">
      <c r="A10" s="3">
        <v>9</v>
      </c>
      <c r="B10" s="3">
        <v>2009</v>
      </c>
      <c r="C10" s="3" t="s">
        <v>123</v>
      </c>
      <c r="D10" s="3">
        <v>0</v>
      </c>
      <c r="E10" s="3">
        <v>3</v>
      </c>
      <c r="F10" s="3">
        <v>4</v>
      </c>
      <c r="G10" s="14">
        <v>-0.2</v>
      </c>
      <c r="H10" s="25">
        <v>3009</v>
      </c>
      <c r="J10" s="18" t="s">
        <v>133</v>
      </c>
    </row>
    <row r="11" spans="1:10">
      <c r="A11" s="3">
        <v>10</v>
      </c>
      <c r="B11" s="3">
        <v>2010</v>
      </c>
      <c r="C11" s="3" t="s">
        <v>123</v>
      </c>
      <c r="D11" s="3">
        <v>0</v>
      </c>
      <c r="E11" s="3">
        <v>3</v>
      </c>
      <c r="F11" s="3">
        <v>4</v>
      </c>
      <c r="G11" s="14">
        <v>-0.1</v>
      </c>
      <c r="H11" s="25">
        <v>3010</v>
      </c>
      <c r="J11" s="18" t="s">
        <v>134</v>
      </c>
    </row>
    <row r="12" spans="1:10">
      <c r="A12" s="3">
        <v>11</v>
      </c>
      <c r="B12" s="3">
        <v>2011</v>
      </c>
      <c r="C12" s="3" t="s">
        <v>123</v>
      </c>
      <c r="D12" s="3">
        <v>4</v>
      </c>
      <c r="E12" s="3">
        <v>3</v>
      </c>
      <c r="F12" s="3">
        <v>4</v>
      </c>
      <c r="G12" s="14">
        <v>0.1</v>
      </c>
      <c r="H12" s="25">
        <v>3011</v>
      </c>
      <c r="J12" s="18" t="s">
        <v>135</v>
      </c>
    </row>
    <row r="13" spans="1:10">
      <c r="A13" s="3">
        <v>12</v>
      </c>
      <c r="B13" s="3">
        <v>2012</v>
      </c>
      <c r="C13" s="3" t="s">
        <v>123</v>
      </c>
      <c r="D13" s="3">
        <v>6</v>
      </c>
      <c r="E13" s="3">
        <v>3</v>
      </c>
      <c r="F13" s="3">
        <v>4</v>
      </c>
      <c r="G13" s="14">
        <v>0.2</v>
      </c>
      <c r="H13" s="25">
        <v>3012</v>
      </c>
      <c r="J13" s="18" t="s">
        <v>136</v>
      </c>
    </row>
    <row r="14" spans="1:10">
      <c r="A14" s="3">
        <v>13</v>
      </c>
      <c r="B14" s="3">
        <v>2013</v>
      </c>
      <c r="C14" s="3" t="s">
        <v>125</v>
      </c>
      <c r="D14" s="3">
        <v>4</v>
      </c>
      <c r="E14" s="3">
        <v>3</v>
      </c>
      <c r="F14" s="3">
        <v>5</v>
      </c>
      <c r="G14" s="14">
        <v>10</v>
      </c>
      <c r="H14" s="25">
        <v>3013</v>
      </c>
      <c r="J14" s="18" t="s">
        <v>138</v>
      </c>
    </row>
    <row r="15" spans="1:10">
      <c r="A15" s="3">
        <v>14</v>
      </c>
      <c r="B15" s="3">
        <v>2014</v>
      </c>
      <c r="C15" s="3" t="s">
        <v>125</v>
      </c>
      <c r="D15" s="3">
        <v>0</v>
      </c>
      <c r="E15" s="3">
        <v>3</v>
      </c>
      <c r="F15" s="3">
        <v>5</v>
      </c>
      <c r="G15" s="14">
        <v>-10</v>
      </c>
      <c r="H15" s="25">
        <v>3014</v>
      </c>
      <c r="J15" s="18" t="s">
        <v>137</v>
      </c>
    </row>
    <row r="16" spans="1:10">
      <c r="A16" s="3">
        <v>15</v>
      </c>
      <c r="B16" s="3">
        <v>2015</v>
      </c>
      <c r="C16" s="3" t="s">
        <v>127</v>
      </c>
      <c r="D16" s="3">
        <v>14</v>
      </c>
      <c r="E16" s="3">
        <v>2</v>
      </c>
      <c r="F16" s="3">
        <v>6</v>
      </c>
      <c r="G16" s="14">
        <v>1</v>
      </c>
      <c r="H16" s="25">
        <v>3015</v>
      </c>
      <c r="J16" s="18" t="s">
        <v>139</v>
      </c>
    </row>
    <row r="17" spans="1:10">
      <c r="A17" s="3">
        <v>16</v>
      </c>
      <c r="B17" s="3">
        <v>2016</v>
      </c>
      <c r="C17" s="3" t="s">
        <v>127</v>
      </c>
      <c r="D17" s="3">
        <v>16</v>
      </c>
      <c r="E17" s="3">
        <v>1</v>
      </c>
      <c r="F17" s="3">
        <v>6</v>
      </c>
      <c r="G17" s="3">
        <v>2</v>
      </c>
      <c r="H17" s="25">
        <v>3016</v>
      </c>
      <c r="J17" s="18" t="s">
        <v>140</v>
      </c>
    </row>
    <row r="18" spans="1:10">
      <c r="A18" s="3">
        <v>17</v>
      </c>
      <c r="B18" s="3">
        <v>2017</v>
      </c>
      <c r="C18" s="3" t="s">
        <v>128</v>
      </c>
      <c r="D18" s="3">
        <v>4</v>
      </c>
      <c r="E18" s="3">
        <v>2</v>
      </c>
      <c r="F18" s="3">
        <v>7</v>
      </c>
      <c r="G18" s="3">
        <v>3</v>
      </c>
      <c r="H18" s="25">
        <v>3017</v>
      </c>
      <c r="J18" s="18" t="s">
        <v>141</v>
      </c>
    </row>
    <row r="19" spans="1:10">
      <c r="A19" s="3">
        <v>18</v>
      </c>
      <c r="B19" s="3">
        <v>2018</v>
      </c>
      <c r="C19" s="3" t="s">
        <v>128</v>
      </c>
      <c r="D19" s="3">
        <v>8</v>
      </c>
      <c r="E19" s="3">
        <v>1</v>
      </c>
      <c r="F19" s="3">
        <v>7</v>
      </c>
      <c r="G19" s="3">
        <v>5</v>
      </c>
      <c r="H19" s="25">
        <v>3018</v>
      </c>
      <c r="J19" s="18" t="s">
        <v>147</v>
      </c>
    </row>
    <row r="20" spans="1:10">
      <c r="A20" s="3">
        <v>19</v>
      </c>
      <c r="B20" s="3">
        <v>2019</v>
      </c>
      <c r="C20" s="3" t="s">
        <v>129</v>
      </c>
      <c r="D20" s="3">
        <v>2</v>
      </c>
      <c r="E20" s="3">
        <v>3</v>
      </c>
      <c r="F20" s="3">
        <v>8</v>
      </c>
      <c r="G20" s="3">
        <v>1.2</v>
      </c>
      <c r="H20" s="25">
        <v>3019</v>
      </c>
      <c r="J20" s="18" t="s">
        <v>142</v>
      </c>
    </row>
    <row r="21" spans="1:10">
      <c r="A21" s="3">
        <v>20</v>
      </c>
      <c r="B21" s="3">
        <v>2020</v>
      </c>
      <c r="C21" s="3" t="s">
        <v>129</v>
      </c>
      <c r="D21" s="3">
        <v>2</v>
      </c>
      <c r="E21" s="3">
        <v>3</v>
      </c>
      <c r="F21" s="3">
        <v>8</v>
      </c>
      <c r="G21" s="3">
        <v>1.3</v>
      </c>
      <c r="H21" s="25">
        <v>3020</v>
      </c>
      <c r="J21" s="18" t="s">
        <v>143</v>
      </c>
    </row>
    <row r="22" spans="1:10">
      <c r="A22" s="3">
        <v>21</v>
      </c>
      <c r="B22" s="3">
        <v>2021</v>
      </c>
      <c r="C22" s="3" t="s">
        <v>130</v>
      </c>
      <c r="D22" s="3">
        <v>10</v>
      </c>
      <c r="E22" s="3">
        <v>2</v>
      </c>
      <c r="F22" s="3">
        <v>9</v>
      </c>
      <c r="G22" s="3">
        <v>0</v>
      </c>
      <c r="H22" s="25">
        <v>3021</v>
      </c>
      <c r="J22" s="18" t="s">
        <v>130</v>
      </c>
    </row>
    <row r="23" spans="1:10">
      <c r="A23" s="3">
        <v>22</v>
      </c>
      <c r="B23" s="3">
        <v>2022</v>
      </c>
      <c r="C23" s="3" t="s">
        <v>146</v>
      </c>
      <c r="D23" s="3">
        <v>-10</v>
      </c>
      <c r="E23" s="3">
        <v>3</v>
      </c>
      <c r="F23" s="3">
        <v>10</v>
      </c>
      <c r="G23" s="3">
        <v>0</v>
      </c>
      <c r="H23" s="25">
        <v>3022</v>
      </c>
      <c r="J23" s="18" t="s">
        <v>144</v>
      </c>
    </row>
    <row r="24" spans="1:10">
      <c r="A24" s="3">
        <v>23</v>
      </c>
      <c r="B24" s="3">
        <v>2023</v>
      </c>
      <c r="C24" s="3" t="s">
        <v>146</v>
      </c>
      <c r="D24" s="3">
        <v>20</v>
      </c>
      <c r="E24" s="3">
        <v>3</v>
      </c>
      <c r="F24" s="3">
        <v>10</v>
      </c>
      <c r="G24" s="3">
        <v>0</v>
      </c>
      <c r="H24" s="25">
        <v>3023</v>
      </c>
      <c r="J24" s="18" t="s">
        <v>145</v>
      </c>
    </row>
    <row r="25" spans="1:10">
      <c r="G25" s="14"/>
    </row>
    <row r="26" spans="1:10">
      <c r="G26" s="14"/>
    </row>
    <row r="27" spans="1:10">
      <c r="G27" s="14"/>
    </row>
    <row r="28" spans="1:10">
      <c r="G28" s="14"/>
    </row>
    <row r="29" spans="1:10">
      <c r="G29" s="14"/>
    </row>
    <row r="30" spans="1:10">
      <c r="G30" s="14"/>
    </row>
    <row r="31" spans="1:10">
      <c r="G31" s="14"/>
    </row>
    <row r="32" spans="1:10">
      <c r="G32" s="14"/>
    </row>
    <row r="33" spans="1:7">
      <c r="G33" s="14"/>
    </row>
    <row r="34" spans="1:7">
      <c r="A34" s="19"/>
      <c r="G34" s="14"/>
    </row>
    <row r="35" spans="1:7">
      <c r="A35" s="19"/>
      <c r="G35" s="14"/>
    </row>
    <row r="36" spans="1:7">
      <c r="A36" s="19"/>
      <c r="G36" s="14"/>
    </row>
    <row r="37" spans="1:7">
      <c r="A37" s="19"/>
      <c r="G37" s="14"/>
    </row>
    <row r="38" spans="1:7">
      <c r="A38" s="19"/>
      <c r="G38" s="14"/>
    </row>
    <row r="39" spans="1:7">
      <c r="A39" s="19"/>
      <c r="G39" s="14"/>
    </row>
    <row r="40" spans="1:7">
      <c r="A40" s="19"/>
      <c r="G40" s="14"/>
    </row>
    <row r="41" spans="1:7">
      <c r="A41" s="19"/>
      <c r="G41" s="14"/>
    </row>
    <row r="42" spans="1:7">
      <c r="A42" s="19"/>
      <c r="G42" s="14"/>
    </row>
    <row r="43" spans="1:7">
      <c r="A43" s="19"/>
      <c r="G43" s="14"/>
    </row>
    <row r="44" spans="1:7">
      <c r="A44" s="19"/>
      <c r="G44" s="14"/>
    </row>
    <row r="45" spans="1:7">
      <c r="A45" s="19"/>
      <c r="G45" s="14"/>
    </row>
    <row r="46" spans="1:7">
      <c r="A46" s="19"/>
      <c r="G46" s="14"/>
    </row>
    <row r="47" spans="1:7">
      <c r="A47" s="19"/>
      <c r="G47" s="14"/>
    </row>
    <row r="48" spans="1:7">
      <c r="A48" s="19"/>
      <c r="G48" s="14"/>
    </row>
    <row r="49" spans="1:7">
      <c r="A49" s="19"/>
      <c r="G49" s="14"/>
    </row>
    <row r="50" spans="1:7">
      <c r="A50" s="19"/>
      <c r="G50" s="14"/>
    </row>
    <row r="51" spans="1:7">
      <c r="A51" s="19"/>
      <c r="G51" s="14"/>
    </row>
    <row r="52" spans="1:7">
      <c r="A52" s="19"/>
      <c r="G52" s="14"/>
    </row>
    <row r="53" spans="1:7">
      <c r="A53" s="19"/>
      <c r="G53" s="14"/>
    </row>
    <row r="54" spans="1:7">
      <c r="A54" s="19"/>
      <c r="G54" s="14"/>
    </row>
    <row r="55" spans="1:7">
      <c r="A55" s="19"/>
      <c r="G55" s="14"/>
    </row>
    <row r="56" spans="1:7">
      <c r="A56" s="19"/>
      <c r="G56" s="14"/>
    </row>
    <row r="57" spans="1:7">
      <c r="A57" s="19"/>
      <c r="G57" s="14"/>
    </row>
    <row r="58" spans="1:7">
      <c r="A58" s="19"/>
      <c r="G58" s="14"/>
    </row>
    <row r="59" spans="1:7">
      <c r="A59" s="19"/>
      <c r="G59" s="14"/>
    </row>
    <row r="60" spans="1:7">
      <c r="A60" s="19"/>
      <c r="G60" s="14"/>
    </row>
    <row r="61" spans="1:7">
      <c r="A61" s="19"/>
      <c r="G61" s="14"/>
    </row>
    <row r="62" spans="1:7">
      <c r="A62" s="19"/>
      <c r="G62" s="14"/>
    </row>
    <row r="63" spans="1:7">
      <c r="A63" s="19"/>
      <c r="G63" s="14"/>
    </row>
    <row r="64" spans="1:7">
      <c r="A64" s="19"/>
      <c r="G64" s="14"/>
    </row>
    <row r="65" spans="1:7">
      <c r="A65" s="19"/>
      <c r="G65" s="14"/>
    </row>
    <row r="66" spans="1:7">
      <c r="A66" s="19"/>
      <c r="G66" s="14"/>
    </row>
    <row r="67" spans="1:7">
      <c r="A67" s="19"/>
      <c r="G67" s="14"/>
    </row>
    <row r="68" spans="1:7">
      <c r="A68" s="19"/>
      <c r="G68" s="14"/>
    </row>
    <row r="69" spans="1:7">
      <c r="A69" s="19"/>
      <c r="G69" s="14"/>
    </row>
    <row r="70" spans="1:7">
      <c r="A70" s="19"/>
      <c r="G70" s="14"/>
    </row>
    <row r="71" spans="1:7">
      <c r="A71" s="19"/>
      <c r="G71" s="14"/>
    </row>
    <row r="72" spans="1:7">
      <c r="A72" s="19"/>
      <c r="G72" s="14"/>
    </row>
    <row r="73" spans="1:7">
      <c r="A73" s="19"/>
      <c r="G73" s="14"/>
    </row>
    <row r="74" spans="1:7">
      <c r="A74" s="19"/>
      <c r="G74" s="14"/>
    </row>
    <row r="75" spans="1:7">
      <c r="A75" s="19"/>
      <c r="G75" s="14"/>
    </row>
    <row r="76" spans="1:7">
      <c r="A76" s="19"/>
      <c r="G76" s="14"/>
    </row>
    <row r="77" spans="1:7">
      <c r="A77" s="19"/>
      <c r="G77" s="14"/>
    </row>
    <row r="78" spans="1:7">
      <c r="A78" s="19"/>
      <c r="G78" s="14"/>
    </row>
    <row r="79" spans="1:7">
      <c r="A79" s="19"/>
      <c r="G79" s="14"/>
    </row>
    <row r="80" spans="1:7">
      <c r="A80" s="19"/>
      <c r="G80" s="14"/>
    </row>
    <row r="81" spans="1:7">
      <c r="A81" s="19"/>
      <c r="G81" s="14"/>
    </row>
    <row r="82" spans="1:7">
      <c r="A82" s="19"/>
      <c r="G82" s="14"/>
    </row>
    <row r="83" spans="1:7">
      <c r="A83" s="19"/>
      <c r="G83" s="14"/>
    </row>
    <row r="84" spans="1:7">
      <c r="A84" s="19"/>
      <c r="G84" s="14"/>
    </row>
    <row r="85" spans="1:7">
      <c r="A85" s="19"/>
      <c r="G85" s="14"/>
    </row>
    <row r="86" spans="1:7">
      <c r="A86" s="19"/>
      <c r="G86" s="14"/>
    </row>
    <row r="87" spans="1:7">
      <c r="A87" s="19"/>
      <c r="G87" s="14"/>
    </row>
    <row r="88" spans="1:7">
      <c r="A88" s="19"/>
      <c r="G88" s="14"/>
    </row>
    <row r="89" spans="1:7">
      <c r="A89" s="19"/>
      <c r="G89" s="14"/>
    </row>
    <row r="90" spans="1:7">
      <c r="A90" s="19"/>
      <c r="G90" s="14"/>
    </row>
    <row r="91" spans="1:7">
      <c r="A91" s="19"/>
      <c r="G91" s="14"/>
    </row>
    <row r="92" spans="1:7">
      <c r="A92" s="19"/>
      <c r="G92" s="14"/>
    </row>
    <row r="93" spans="1:7">
      <c r="A93" s="19"/>
      <c r="G93" s="14"/>
    </row>
    <row r="94" spans="1:7">
      <c r="A94" s="19"/>
      <c r="G94" s="14"/>
    </row>
    <row r="95" spans="1:7">
      <c r="A95" s="19"/>
      <c r="G95" s="14"/>
    </row>
    <row r="96" spans="1:7">
      <c r="A96" s="16"/>
      <c r="B96" s="20"/>
      <c r="C96" s="20"/>
      <c r="D96" s="20"/>
      <c r="E96" s="20"/>
      <c r="F96" s="20"/>
      <c r="G96" s="15"/>
    </row>
    <row r="97" spans="1:8">
      <c r="A97" s="19"/>
      <c r="G97" s="14"/>
    </row>
    <row r="98" spans="1:8">
      <c r="A98" s="19"/>
      <c r="G98" s="14"/>
    </row>
    <row r="99" spans="1:8">
      <c r="A99" s="16"/>
      <c r="B99" s="20"/>
      <c r="C99" s="20"/>
      <c r="D99" s="20"/>
      <c r="E99" s="20"/>
      <c r="F99" s="20"/>
      <c r="G99" s="15"/>
      <c r="H99" s="20"/>
    </row>
    <row r="100" spans="1:8">
      <c r="A100" s="16"/>
      <c r="B100" s="20"/>
      <c r="C100" s="20"/>
      <c r="D100" s="20"/>
      <c r="E100" s="20"/>
      <c r="F100" s="20"/>
      <c r="G100" s="15"/>
      <c r="H100" s="20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選項清單!$G$2:$G$10</xm:f>
          </x14:formula1>
          <xm:sqref>C1</xm:sqref>
        </x14:dataValidation>
        <x14:dataValidation type="list" allowBlank="1" showInputMessage="1" showErrorMessage="1">
          <x14:formula1>
            <xm:f>選項清單!$G$2:$G$10</xm:f>
          </x14:formula1>
          <xm:sqref>C1:C1048576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M100"/>
  <sheetViews>
    <sheetView workbookViewId="0">
      <pane ySplit="1" topLeftCell="A2" activePane="bottomLeft" state="frozen"/>
      <selection pane="bottomLeft" activeCell="E17" sqref="E17"/>
    </sheetView>
  </sheetViews>
  <sheetFormatPr defaultRowHeight="16.5"/>
  <cols>
    <col min="1" max="1" width="15.625" style="7" customWidth="1"/>
    <col min="2" max="2" width="15.625" style="6" customWidth="1"/>
    <col min="3" max="7" width="15.625" style="9" customWidth="1"/>
    <col min="9" max="9" width="40.625" style="6" customWidth="1"/>
    <col min="10" max="10" width="9" style="21" customWidth="1"/>
    <col min="11" max="11" width="9" style="6"/>
    <col min="12" max="12" width="9" style="28"/>
    <col min="13" max="16384" width="9" style="6"/>
  </cols>
  <sheetData>
    <row r="1" spans="1:13" s="2" customFormat="1">
      <c r="A1" s="8" t="s">
        <v>38</v>
      </c>
      <c r="B1" s="2" t="s">
        <v>39</v>
      </c>
      <c r="C1" s="2" t="s">
        <v>41</v>
      </c>
      <c r="D1" s="2" t="s">
        <v>42</v>
      </c>
      <c r="E1" s="2" t="s">
        <v>104</v>
      </c>
      <c r="F1" s="2" t="s">
        <v>40</v>
      </c>
      <c r="G1" s="2" t="s">
        <v>70</v>
      </c>
      <c r="I1" s="17" t="s">
        <v>43</v>
      </c>
      <c r="J1" s="11" t="s">
        <v>105</v>
      </c>
      <c r="K1" s="12" t="s">
        <v>106</v>
      </c>
      <c r="L1" s="23"/>
      <c r="M1" s="23"/>
    </row>
    <row r="2" spans="1:13">
      <c r="A2" s="7">
        <v>1</v>
      </c>
      <c r="B2" s="6" t="s">
        <v>46</v>
      </c>
      <c r="C2" s="9">
        <v>1</v>
      </c>
      <c r="D2" s="9">
        <v>1</v>
      </c>
      <c r="E2" s="9">
        <v>1</v>
      </c>
      <c r="F2" s="9">
        <v>30</v>
      </c>
      <c r="G2" s="9">
        <v>0.28000000000000003</v>
      </c>
      <c r="H2" s="21"/>
      <c r="I2" s="6" t="s">
        <v>88</v>
      </c>
      <c r="J2" s="24">
        <v>1</v>
      </c>
      <c r="K2" s="27">
        <f>3+J2*0.7</f>
        <v>3.7</v>
      </c>
      <c r="L2" s="24"/>
      <c r="M2" s="24"/>
    </row>
    <row r="3" spans="1:13">
      <c r="A3" s="7">
        <v>2</v>
      </c>
      <c r="B3" s="6" t="s">
        <v>46</v>
      </c>
      <c r="C3" s="9">
        <v>1</v>
      </c>
      <c r="D3" s="9">
        <v>5</v>
      </c>
      <c r="E3" s="9">
        <v>2</v>
      </c>
      <c r="F3" s="9">
        <v>60</v>
      </c>
      <c r="G3" s="9">
        <v>0.28000000000000003</v>
      </c>
      <c r="H3" s="21"/>
      <c r="I3" s="6" t="s">
        <v>89</v>
      </c>
      <c r="J3" s="24">
        <v>2</v>
      </c>
      <c r="K3" s="27">
        <f t="shared" ref="K3:K31" si="0">3+J3*0.7</f>
        <v>4.4000000000000004</v>
      </c>
      <c r="L3" s="24"/>
      <c r="M3" s="24"/>
    </row>
    <row r="4" spans="1:13">
      <c r="A4" s="7">
        <v>3</v>
      </c>
      <c r="B4" s="6" t="s">
        <v>46</v>
      </c>
      <c r="C4" s="9">
        <v>1</v>
      </c>
      <c r="D4" s="9">
        <v>11</v>
      </c>
      <c r="E4" s="9">
        <v>3</v>
      </c>
      <c r="F4" s="9">
        <v>90</v>
      </c>
      <c r="G4" s="9">
        <v>0.28000000000000003</v>
      </c>
      <c r="H4" s="21"/>
      <c r="I4" s="6" t="s">
        <v>90</v>
      </c>
      <c r="J4" s="24">
        <v>3</v>
      </c>
      <c r="K4" s="27">
        <f t="shared" si="0"/>
        <v>5.0999999999999996</v>
      </c>
      <c r="L4" s="24"/>
      <c r="M4" s="24"/>
    </row>
    <row r="5" spans="1:13">
      <c r="A5" s="7">
        <v>4</v>
      </c>
      <c r="B5" s="6" t="s">
        <v>46</v>
      </c>
      <c r="C5" s="9">
        <v>1</v>
      </c>
      <c r="D5" s="9">
        <v>15</v>
      </c>
      <c r="E5" s="9">
        <v>4</v>
      </c>
      <c r="F5" s="9">
        <v>120</v>
      </c>
      <c r="G5" s="9">
        <v>0.28000000000000003</v>
      </c>
      <c r="H5" s="21"/>
      <c r="I5" s="6" t="s">
        <v>91</v>
      </c>
      <c r="J5" s="24">
        <v>4</v>
      </c>
      <c r="K5" s="27">
        <f t="shared" si="0"/>
        <v>5.8</v>
      </c>
      <c r="L5" s="24"/>
      <c r="M5" s="24"/>
    </row>
    <row r="6" spans="1:13">
      <c r="A6" s="7">
        <v>5</v>
      </c>
      <c r="B6" s="6" t="s">
        <v>46</v>
      </c>
      <c r="C6" s="9">
        <v>1</v>
      </c>
      <c r="D6" s="9">
        <v>19</v>
      </c>
      <c r="E6" s="9">
        <v>5</v>
      </c>
      <c r="F6" s="9">
        <v>150</v>
      </c>
      <c r="G6" s="9">
        <v>0.28000000000000003</v>
      </c>
      <c r="H6" s="21"/>
      <c r="I6" s="6" t="s">
        <v>92</v>
      </c>
      <c r="J6" s="24">
        <v>5</v>
      </c>
      <c r="K6" s="27">
        <f t="shared" si="0"/>
        <v>6.5</v>
      </c>
      <c r="L6" s="24"/>
      <c r="M6" s="24"/>
    </row>
    <row r="7" spans="1:13">
      <c r="A7" s="7">
        <v>11</v>
      </c>
      <c r="B7" s="6" t="s">
        <v>46</v>
      </c>
      <c r="C7" s="9">
        <v>3</v>
      </c>
      <c r="D7" s="9">
        <v>2</v>
      </c>
      <c r="E7" s="9">
        <v>2</v>
      </c>
      <c r="F7" s="9">
        <v>50</v>
      </c>
      <c r="G7" s="9">
        <v>0.22</v>
      </c>
      <c r="H7" s="21"/>
      <c r="I7" s="6" t="s">
        <v>93</v>
      </c>
      <c r="J7" s="24">
        <v>6</v>
      </c>
      <c r="K7" s="27">
        <f t="shared" si="0"/>
        <v>7.1999999999999993</v>
      </c>
      <c r="L7" s="24"/>
      <c r="M7" s="24"/>
    </row>
    <row r="8" spans="1:13">
      <c r="A8" s="7">
        <v>12</v>
      </c>
      <c r="B8" s="6" t="s">
        <v>46</v>
      </c>
      <c r="C8" s="9">
        <v>3</v>
      </c>
      <c r="D8" s="9">
        <v>6</v>
      </c>
      <c r="E8" s="9">
        <v>3</v>
      </c>
      <c r="F8" s="9">
        <v>90</v>
      </c>
      <c r="G8" s="9">
        <v>0.22</v>
      </c>
      <c r="H8" s="21"/>
      <c r="I8" s="6" t="s">
        <v>94</v>
      </c>
      <c r="J8" s="24">
        <v>7</v>
      </c>
      <c r="K8" s="27">
        <f t="shared" si="0"/>
        <v>7.8999999999999995</v>
      </c>
      <c r="L8" s="24"/>
      <c r="M8" s="24"/>
    </row>
    <row r="9" spans="1:13">
      <c r="A9" s="7">
        <v>13</v>
      </c>
      <c r="B9" s="6" t="s">
        <v>46</v>
      </c>
      <c r="C9" s="9">
        <v>3</v>
      </c>
      <c r="D9" s="9">
        <v>12</v>
      </c>
      <c r="E9" s="9">
        <v>4</v>
      </c>
      <c r="F9" s="9">
        <v>130</v>
      </c>
      <c r="G9" s="9">
        <v>0.22</v>
      </c>
      <c r="H9" s="21"/>
      <c r="I9" s="6" t="s">
        <v>95</v>
      </c>
      <c r="J9" s="24">
        <v>8</v>
      </c>
      <c r="K9" s="27">
        <f t="shared" si="0"/>
        <v>8.6</v>
      </c>
      <c r="L9" s="24"/>
      <c r="M9" s="24"/>
    </row>
    <row r="10" spans="1:13">
      <c r="A10" s="7">
        <v>14</v>
      </c>
      <c r="B10" s="6" t="s">
        <v>46</v>
      </c>
      <c r="C10" s="9">
        <v>3</v>
      </c>
      <c r="D10" s="9">
        <v>16</v>
      </c>
      <c r="E10" s="9">
        <v>5</v>
      </c>
      <c r="F10" s="9">
        <v>170</v>
      </c>
      <c r="G10" s="9">
        <v>0.22</v>
      </c>
      <c r="H10" s="21"/>
      <c r="I10" s="6" t="s">
        <v>96</v>
      </c>
      <c r="J10" s="24">
        <v>9</v>
      </c>
      <c r="K10" s="27">
        <f t="shared" si="0"/>
        <v>9.3000000000000007</v>
      </c>
      <c r="L10" s="24"/>
      <c r="M10" s="24"/>
    </row>
    <row r="11" spans="1:13">
      <c r="A11" s="7">
        <v>15</v>
      </c>
      <c r="B11" s="6" t="s">
        <v>46</v>
      </c>
      <c r="C11" s="9">
        <v>3</v>
      </c>
      <c r="D11" s="9">
        <v>20</v>
      </c>
      <c r="E11" s="9">
        <v>6</v>
      </c>
      <c r="F11" s="9">
        <v>210</v>
      </c>
      <c r="G11" s="9">
        <v>0.22</v>
      </c>
      <c r="H11" s="21"/>
      <c r="I11" s="6" t="s">
        <v>97</v>
      </c>
      <c r="J11" s="24">
        <v>10</v>
      </c>
      <c r="K11" s="27">
        <f t="shared" si="0"/>
        <v>10</v>
      </c>
      <c r="L11" s="24"/>
      <c r="M11" s="24"/>
    </row>
    <row r="12" spans="1:13">
      <c r="A12" s="7">
        <v>21</v>
      </c>
      <c r="B12" s="6" t="s">
        <v>46</v>
      </c>
      <c r="C12" s="9">
        <v>2</v>
      </c>
      <c r="D12" s="9">
        <v>3</v>
      </c>
      <c r="E12" s="9">
        <v>2</v>
      </c>
      <c r="F12" s="9">
        <v>60</v>
      </c>
      <c r="G12" s="9">
        <v>0.6</v>
      </c>
      <c r="H12" s="21"/>
      <c r="I12" s="6" t="s">
        <v>98</v>
      </c>
      <c r="J12" s="24">
        <v>11</v>
      </c>
      <c r="K12" s="27">
        <f t="shared" si="0"/>
        <v>10.7</v>
      </c>
      <c r="L12" s="24"/>
      <c r="M12" s="24"/>
    </row>
    <row r="13" spans="1:13">
      <c r="A13" s="7">
        <v>22</v>
      </c>
      <c r="B13" s="6" t="s">
        <v>46</v>
      </c>
      <c r="C13" s="9">
        <v>2</v>
      </c>
      <c r="D13" s="9">
        <v>7</v>
      </c>
      <c r="E13" s="9">
        <v>3</v>
      </c>
      <c r="F13" s="9">
        <v>80</v>
      </c>
      <c r="G13" s="9">
        <v>0.6</v>
      </c>
      <c r="H13" s="21"/>
      <c r="I13" s="6" t="s">
        <v>99</v>
      </c>
      <c r="J13" s="24">
        <v>12</v>
      </c>
      <c r="K13" s="27">
        <f t="shared" si="0"/>
        <v>11.399999999999999</v>
      </c>
      <c r="L13" s="6"/>
    </row>
    <row r="14" spans="1:13">
      <c r="A14" s="7">
        <v>23</v>
      </c>
      <c r="B14" s="6" t="s">
        <v>46</v>
      </c>
      <c r="C14" s="9">
        <v>2</v>
      </c>
      <c r="D14" s="9">
        <v>13</v>
      </c>
      <c r="E14" s="9">
        <v>4</v>
      </c>
      <c r="F14" s="9">
        <v>100</v>
      </c>
      <c r="G14" s="9">
        <v>0.6</v>
      </c>
      <c r="H14" s="21"/>
      <c r="I14" s="6" t="s">
        <v>100</v>
      </c>
      <c r="J14" s="24">
        <v>13</v>
      </c>
      <c r="K14" s="27">
        <f t="shared" si="0"/>
        <v>12.1</v>
      </c>
      <c r="L14" s="6"/>
    </row>
    <row r="15" spans="1:13">
      <c r="A15" s="7">
        <v>24</v>
      </c>
      <c r="B15" s="6" t="s">
        <v>46</v>
      </c>
      <c r="C15" s="9">
        <v>2</v>
      </c>
      <c r="D15" s="9">
        <v>17</v>
      </c>
      <c r="E15" s="9">
        <v>5</v>
      </c>
      <c r="F15" s="9">
        <v>120</v>
      </c>
      <c r="G15" s="9">
        <v>0.6</v>
      </c>
      <c r="H15" s="21"/>
      <c r="I15" s="6" t="s">
        <v>101</v>
      </c>
      <c r="J15" s="24">
        <v>14</v>
      </c>
      <c r="K15" s="27">
        <f t="shared" si="0"/>
        <v>12.799999999999999</v>
      </c>
      <c r="L15" s="6"/>
    </row>
    <row r="16" spans="1:13">
      <c r="A16" s="7">
        <v>25</v>
      </c>
      <c r="B16" s="6" t="s">
        <v>46</v>
      </c>
      <c r="C16" s="9">
        <v>2</v>
      </c>
      <c r="D16" s="9">
        <v>21</v>
      </c>
      <c r="E16" s="9">
        <v>6</v>
      </c>
      <c r="F16" s="9">
        <v>140</v>
      </c>
      <c r="G16" s="9">
        <v>0.6</v>
      </c>
      <c r="H16" s="21"/>
      <c r="I16" s="6" t="s">
        <v>102</v>
      </c>
      <c r="J16" s="24">
        <v>15</v>
      </c>
      <c r="K16" s="27">
        <f t="shared" si="0"/>
        <v>13.5</v>
      </c>
      <c r="L16" s="6"/>
    </row>
    <row r="17" spans="1:12">
      <c r="A17" s="7">
        <v>31</v>
      </c>
      <c r="B17" s="6" t="s">
        <v>176</v>
      </c>
      <c r="C17" s="9">
        <v>1</v>
      </c>
      <c r="D17" s="9">
        <v>9</v>
      </c>
      <c r="E17" s="9">
        <v>6</v>
      </c>
      <c r="F17" s="9">
        <v>150</v>
      </c>
      <c r="G17" s="9">
        <v>0.5</v>
      </c>
      <c r="H17" s="21"/>
      <c r="I17" s="6" t="s">
        <v>177</v>
      </c>
      <c r="J17" s="24">
        <v>16</v>
      </c>
      <c r="K17" s="27">
        <f t="shared" si="0"/>
        <v>14.2</v>
      </c>
      <c r="L17" s="6"/>
    </row>
    <row r="18" spans="1:12">
      <c r="A18" s="7">
        <v>32</v>
      </c>
      <c r="B18" s="6" t="s">
        <v>176</v>
      </c>
      <c r="C18" s="9">
        <v>1</v>
      </c>
      <c r="D18" s="9">
        <v>23</v>
      </c>
      <c r="E18" s="9">
        <v>8</v>
      </c>
      <c r="F18" s="9">
        <v>300</v>
      </c>
      <c r="G18" s="9">
        <v>0.5</v>
      </c>
      <c r="H18" s="21"/>
      <c r="I18" s="6" t="s">
        <v>178</v>
      </c>
      <c r="J18" s="24">
        <v>17</v>
      </c>
      <c r="K18" s="27">
        <f t="shared" si="0"/>
        <v>14.899999999999999</v>
      </c>
      <c r="L18" s="6"/>
    </row>
    <row r="19" spans="1:12">
      <c r="A19" s="7">
        <v>41</v>
      </c>
      <c r="B19" s="6" t="s">
        <v>46</v>
      </c>
      <c r="C19" s="9">
        <v>4</v>
      </c>
      <c r="D19" s="9">
        <v>99</v>
      </c>
      <c r="E19" s="9">
        <v>6</v>
      </c>
      <c r="F19" s="9">
        <v>150</v>
      </c>
      <c r="G19" s="9">
        <v>0.3</v>
      </c>
      <c r="H19" s="21"/>
      <c r="I19" s="6" t="s">
        <v>179</v>
      </c>
      <c r="J19" s="24">
        <v>18</v>
      </c>
      <c r="K19" s="27">
        <f t="shared" si="0"/>
        <v>15.6</v>
      </c>
      <c r="L19" s="6"/>
    </row>
    <row r="20" spans="1:12">
      <c r="A20" s="7">
        <v>42</v>
      </c>
      <c r="B20" s="6" t="s">
        <v>46</v>
      </c>
      <c r="C20" s="9">
        <v>4</v>
      </c>
      <c r="D20" s="9">
        <v>99</v>
      </c>
      <c r="E20" s="9">
        <v>6</v>
      </c>
      <c r="F20" s="9">
        <v>150</v>
      </c>
      <c r="G20" s="9">
        <v>0.3</v>
      </c>
      <c r="H20" s="21"/>
      <c r="I20" s="6" t="s">
        <v>180</v>
      </c>
      <c r="J20" s="24">
        <v>19</v>
      </c>
      <c r="K20" s="27">
        <f t="shared" si="0"/>
        <v>16.299999999999997</v>
      </c>
      <c r="L20" s="6"/>
    </row>
    <row r="21" spans="1:12">
      <c r="A21" s="7">
        <v>43</v>
      </c>
      <c r="B21" s="6" t="s">
        <v>46</v>
      </c>
      <c r="C21" s="9">
        <v>4</v>
      </c>
      <c r="D21" s="9">
        <v>99</v>
      </c>
      <c r="E21" s="9">
        <v>6</v>
      </c>
      <c r="F21" s="9">
        <v>150</v>
      </c>
      <c r="G21" s="9">
        <v>0.3</v>
      </c>
      <c r="H21" s="21"/>
      <c r="I21" s="6" t="s">
        <v>181</v>
      </c>
      <c r="J21" s="24">
        <v>20</v>
      </c>
      <c r="K21" s="27">
        <f t="shared" si="0"/>
        <v>17</v>
      </c>
      <c r="L21" s="6"/>
    </row>
    <row r="22" spans="1:12">
      <c r="A22" s="7">
        <v>44</v>
      </c>
      <c r="B22" s="6" t="s">
        <v>46</v>
      </c>
      <c r="C22" s="9">
        <v>4</v>
      </c>
      <c r="D22" s="9">
        <v>99</v>
      </c>
      <c r="E22" s="9">
        <v>6</v>
      </c>
      <c r="F22" s="9">
        <v>150</v>
      </c>
      <c r="G22" s="9">
        <v>0.3</v>
      </c>
      <c r="H22" s="21"/>
      <c r="I22" s="6" t="s">
        <v>182</v>
      </c>
      <c r="J22" s="24">
        <v>21</v>
      </c>
      <c r="K22" s="27">
        <f t="shared" si="0"/>
        <v>17.7</v>
      </c>
      <c r="L22" s="6"/>
    </row>
    <row r="23" spans="1:12">
      <c r="A23" s="7">
        <v>45</v>
      </c>
      <c r="B23" s="6" t="s">
        <v>46</v>
      </c>
      <c r="C23" s="9">
        <v>4</v>
      </c>
      <c r="D23" s="9">
        <v>99</v>
      </c>
      <c r="E23" s="9">
        <v>6</v>
      </c>
      <c r="F23" s="9">
        <v>150</v>
      </c>
      <c r="G23" s="9">
        <v>0.3</v>
      </c>
      <c r="H23" s="21"/>
      <c r="I23" s="6" t="s">
        <v>183</v>
      </c>
      <c r="J23" s="24">
        <v>22</v>
      </c>
      <c r="K23" s="27">
        <f t="shared" si="0"/>
        <v>18.399999999999999</v>
      </c>
      <c r="L23" s="6"/>
    </row>
    <row r="24" spans="1:12">
      <c r="H24" s="21"/>
      <c r="J24" s="24">
        <v>23</v>
      </c>
      <c r="K24" s="27">
        <f t="shared" si="0"/>
        <v>19.099999999999998</v>
      </c>
      <c r="L24" s="6"/>
    </row>
    <row r="25" spans="1:12">
      <c r="H25" s="21"/>
      <c r="J25" s="24">
        <v>24</v>
      </c>
      <c r="K25" s="27">
        <f t="shared" si="0"/>
        <v>19.799999999999997</v>
      </c>
      <c r="L25" s="6"/>
    </row>
    <row r="26" spans="1:12">
      <c r="H26" s="21"/>
      <c r="J26" s="24">
        <v>25</v>
      </c>
      <c r="K26" s="27">
        <f t="shared" si="0"/>
        <v>20.5</v>
      </c>
      <c r="L26" s="6"/>
    </row>
    <row r="27" spans="1:12">
      <c r="H27" s="21"/>
      <c r="J27" s="24">
        <v>26</v>
      </c>
      <c r="K27" s="27">
        <f t="shared" si="0"/>
        <v>21.2</v>
      </c>
      <c r="L27" s="6"/>
    </row>
    <row r="28" spans="1:12">
      <c r="H28" s="21"/>
      <c r="J28" s="24">
        <v>27</v>
      </c>
      <c r="K28" s="27">
        <f t="shared" si="0"/>
        <v>21.9</v>
      </c>
      <c r="L28" s="6"/>
    </row>
    <row r="29" spans="1:12">
      <c r="H29" s="21"/>
      <c r="J29" s="24">
        <v>28</v>
      </c>
      <c r="K29" s="27">
        <f t="shared" si="0"/>
        <v>22.599999999999998</v>
      </c>
      <c r="L29" s="6"/>
    </row>
    <row r="30" spans="1:12">
      <c r="H30" s="21"/>
      <c r="J30" s="24">
        <v>29</v>
      </c>
      <c r="K30" s="27">
        <f t="shared" si="0"/>
        <v>23.299999999999997</v>
      </c>
      <c r="L30" s="6"/>
    </row>
    <row r="31" spans="1:12">
      <c r="H31" s="21"/>
      <c r="J31" s="24">
        <v>30</v>
      </c>
      <c r="K31" s="27">
        <f t="shared" si="0"/>
        <v>24</v>
      </c>
      <c r="L31" s="6"/>
    </row>
    <row r="32" spans="1:12">
      <c r="H32" s="21"/>
      <c r="J32" s="6"/>
      <c r="K32" s="28"/>
      <c r="L32" s="6"/>
    </row>
    <row r="33" spans="8:12">
      <c r="H33" s="21"/>
      <c r="J33" s="6"/>
      <c r="K33" s="28"/>
      <c r="L33" s="6"/>
    </row>
    <row r="34" spans="8:12">
      <c r="H34" s="21"/>
      <c r="J34" s="6"/>
      <c r="K34" s="28"/>
      <c r="L34" s="6"/>
    </row>
    <row r="35" spans="8:12">
      <c r="H35" s="21"/>
      <c r="J35" s="6"/>
      <c r="K35" s="28"/>
      <c r="L35" s="6"/>
    </row>
    <row r="36" spans="8:12">
      <c r="H36" s="21"/>
      <c r="J36" s="6"/>
      <c r="K36" s="28"/>
      <c r="L36" s="6"/>
    </row>
    <row r="37" spans="8:12">
      <c r="H37" s="21"/>
      <c r="J37" s="6"/>
      <c r="K37" s="28"/>
      <c r="L37" s="6"/>
    </row>
    <row r="38" spans="8:12">
      <c r="H38" s="21"/>
      <c r="J38" s="6"/>
      <c r="K38" s="28"/>
      <c r="L38" s="6"/>
    </row>
    <row r="39" spans="8:12">
      <c r="H39" s="21"/>
      <c r="J39" s="6"/>
      <c r="K39" s="28"/>
      <c r="L39" s="6"/>
    </row>
    <row r="40" spans="8:12">
      <c r="H40" s="21"/>
      <c r="J40" s="6"/>
      <c r="K40" s="28"/>
      <c r="L40" s="6"/>
    </row>
    <row r="41" spans="8:12">
      <c r="H41" s="21"/>
      <c r="J41" s="6"/>
      <c r="K41" s="28"/>
      <c r="L41" s="6"/>
    </row>
    <row r="42" spans="8:12">
      <c r="H42" s="21"/>
      <c r="J42" s="6"/>
      <c r="K42" s="28"/>
      <c r="L42" s="6"/>
    </row>
    <row r="43" spans="8:12">
      <c r="H43" s="21"/>
      <c r="J43" s="6"/>
      <c r="K43" s="28"/>
      <c r="L43" s="6"/>
    </row>
    <row r="44" spans="8:12">
      <c r="H44" s="21"/>
      <c r="J44" s="6"/>
      <c r="K44" s="28"/>
      <c r="L44" s="6"/>
    </row>
    <row r="45" spans="8:12">
      <c r="H45" s="21"/>
      <c r="J45" s="6"/>
      <c r="K45" s="28"/>
      <c r="L45" s="6"/>
    </row>
    <row r="46" spans="8:12">
      <c r="H46" s="21"/>
      <c r="J46" s="6"/>
      <c r="K46" s="28"/>
      <c r="L46" s="6"/>
    </row>
    <row r="47" spans="8:12">
      <c r="H47" s="21"/>
      <c r="J47" s="6"/>
      <c r="K47" s="28"/>
      <c r="L47" s="6"/>
    </row>
    <row r="48" spans="8:12">
      <c r="H48" s="21"/>
      <c r="J48" s="6"/>
      <c r="K48" s="28"/>
      <c r="L48" s="6"/>
    </row>
    <row r="49" spans="8:12">
      <c r="H49" s="21"/>
      <c r="J49" s="6"/>
      <c r="K49" s="28"/>
      <c r="L49" s="6"/>
    </row>
    <row r="50" spans="8:12">
      <c r="H50" s="21"/>
      <c r="J50" s="6"/>
      <c r="K50" s="28"/>
      <c r="L50" s="6"/>
    </row>
    <row r="51" spans="8:12">
      <c r="H51" s="21"/>
      <c r="J51" s="6"/>
      <c r="K51" s="28"/>
      <c r="L51" s="6"/>
    </row>
    <row r="52" spans="8:12">
      <c r="H52" s="21"/>
      <c r="J52" s="6"/>
      <c r="K52" s="28"/>
      <c r="L52" s="6"/>
    </row>
    <row r="53" spans="8:12">
      <c r="H53" s="21"/>
      <c r="J53" s="6"/>
      <c r="K53" s="28"/>
      <c r="L53" s="6"/>
    </row>
    <row r="54" spans="8:12">
      <c r="H54" s="21"/>
      <c r="J54" s="6"/>
      <c r="K54" s="28"/>
      <c r="L54" s="6"/>
    </row>
    <row r="55" spans="8:12">
      <c r="H55" s="21"/>
      <c r="J55" s="6"/>
      <c r="K55" s="28"/>
      <c r="L55" s="6"/>
    </row>
    <row r="56" spans="8:12">
      <c r="H56" s="21"/>
      <c r="J56" s="6"/>
      <c r="K56" s="28"/>
      <c r="L56" s="6"/>
    </row>
    <row r="57" spans="8:12">
      <c r="H57" s="21"/>
      <c r="J57" s="6"/>
      <c r="K57" s="28"/>
      <c r="L57" s="6"/>
    </row>
    <row r="58" spans="8:12">
      <c r="H58" s="21"/>
      <c r="J58" s="6"/>
      <c r="K58" s="28"/>
      <c r="L58" s="6"/>
    </row>
    <row r="59" spans="8:12">
      <c r="H59" s="21"/>
      <c r="J59" s="6"/>
      <c r="K59" s="28"/>
      <c r="L59" s="6"/>
    </row>
    <row r="60" spans="8:12">
      <c r="H60" s="21"/>
      <c r="J60" s="6"/>
      <c r="K60" s="28"/>
      <c r="L60" s="6"/>
    </row>
    <row r="61" spans="8:12">
      <c r="H61" s="21"/>
      <c r="J61" s="6"/>
      <c r="K61" s="28"/>
      <c r="L61" s="6"/>
    </row>
    <row r="62" spans="8:12">
      <c r="H62" s="21"/>
      <c r="J62" s="6"/>
      <c r="K62" s="28"/>
      <c r="L62" s="6"/>
    </row>
    <row r="63" spans="8:12">
      <c r="H63" s="21"/>
      <c r="J63" s="6"/>
      <c r="K63" s="28"/>
      <c r="L63" s="6"/>
    </row>
    <row r="64" spans="8:12">
      <c r="H64" s="21"/>
      <c r="J64" s="6"/>
      <c r="K64" s="28"/>
      <c r="L64" s="6"/>
    </row>
    <row r="65" spans="8:12">
      <c r="H65" s="21"/>
      <c r="J65" s="6"/>
      <c r="K65" s="28"/>
      <c r="L65" s="6"/>
    </row>
    <row r="66" spans="8:12">
      <c r="H66" s="21"/>
      <c r="J66" s="6"/>
      <c r="K66" s="28"/>
      <c r="L66" s="6"/>
    </row>
    <row r="67" spans="8:12">
      <c r="H67" s="21"/>
      <c r="J67" s="6"/>
      <c r="K67" s="28"/>
      <c r="L67" s="6"/>
    </row>
    <row r="68" spans="8:12">
      <c r="H68" s="21"/>
      <c r="J68" s="6"/>
      <c r="K68" s="28"/>
      <c r="L68" s="6"/>
    </row>
    <row r="69" spans="8:12">
      <c r="H69" s="21"/>
      <c r="J69" s="6"/>
      <c r="K69" s="28"/>
      <c r="L69" s="6"/>
    </row>
    <row r="70" spans="8:12">
      <c r="H70" s="21"/>
      <c r="J70" s="6"/>
      <c r="K70" s="28"/>
      <c r="L70" s="6"/>
    </row>
    <row r="71" spans="8:12">
      <c r="H71" s="21"/>
      <c r="J71" s="6"/>
      <c r="K71" s="28"/>
      <c r="L71" s="6"/>
    </row>
    <row r="72" spans="8:12">
      <c r="H72" s="21"/>
      <c r="J72" s="6"/>
      <c r="K72" s="28"/>
      <c r="L72" s="6"/>
    </row>
    <row r="73" spans="8:12">
      <c r="H73" s="21"/>
      <c r="J73" s="6"/>
      <c r="K73" s="28"/>
      <c r="L73" s="6"/>
    </row>
    <row r="74" spans="8:12">
      <c r="H74" s="21"/>
      <c r="J74" s="6"/>
      <c r="K74" s="28"/>
      <c r="L74" s="6"/>
    </row>
    <row r="75" spans="8:12">
      <c r="H75" s="21"/>
      <c r="J75" s="6"/>
      <c r="K75" s="28"/>
      <c r="L75" s="6"/>
    </row>
    <row r="76" spans="8:12">
      <c r="H76" s="21"/>
      <c r="J76" s="6"/>
      <c r="K76" s="28"/>
      <c r="L76" s="6"/>
    </row>
    <row r="77" spans="8:12">
      <c r="H77" s="21"/>
      <c r="J77" s="6"/>
      <c r="K77" s="28"/>
      <c r="L77" s="6"/>
    </row>
    <row r="78" spans="8:12">
      <c r="H78" s="21"/>
      <c r="J78" s="6"/>
      <c r="K78" s="28"/>
      <c r="L78" s="6"/>
    </row>
    <row r="79" spans="8:12">
      <c r="H79" s="21"/>
      <c r="J79" s="6"/>
      <c r="K79" s="28"/>
      <c r="L79" s="6"/>
    </row>
    <row r="80" spans="8:12">
      <c r="H80" s="21"/>
      <c r="J80" s="6"/>
      <c r="K80" s="28"/>
      <c r="L80" s="6"/>
    </row>
    <row r="81" spans="8:12">
      <c r="H81" s="21"/>
      <c r="J81" s="6"/>
      <c r="K81" s="28"/>
      <c r="L81" s="6"/>
    </row>
    <row r="82" spans="8:12">
      <c r="H82" s="21"/>
      <c r="J82" s="6"/>
      <c r="K82" s="28"/>
      <c r="L82" s="6"/>
    </row>
    <row r="83" spans="8:12">
      <c r="H83" s="21"/>
      <c r="J83" s="6"/>
      <c r="K83" s="28"/>
      <c r="L83" s="6"/>
    </row>
    <row r="84" spans="8:12">
      <c r="H84" s="21"/>
      <c r="J84" s="6"/>
      <c r="K84" s="28"/>
      <c r="L84" s="6"/>
    </row>
    <row r="85" spans="8:12">
      <c r="H85" s="21"/>
      <c r="J85" s="6"/>
      <c r="K85" s="28"/>
      <c r="L85" s="6"/>
    </row>
    <row r="86" spans="8:12">
      <c r="H86" s="21"/>
      <c r="J86" s="6"/>
      <c r="K86" s="28"/>
      <c r="L86" s="6"/>
    </row>
    <row r="87" spans="8:12">
      <c r="H87" s="21"/>
      <c r="J87" s="6"/>
      <c r="K87" s="28"/>
      <c r="L87" s="6"/>
    </row>
    <row r="88" spans="8:12">
      <c r="H88" s="21"/>
      <c r="J88" s="6"/>
      <c r="K88" s="28"/>
      <c r="L88" s="6"/>
    </row>
    <row r="89" spans="8:12">
      <c r="H89" s="21"/>
      <c r="J89" s="6"/>
      <c r="K89" s="28"/>
      <c r="L89" s="6"/>
    </row>
    <row r="90" spans="8:12">
      <c r="H90" s="21"/>
      <c r="J90" s="6"/>
      <c r="K90" s="28"/>
      <c r="L90" s="6"/>
    </row>
    <row r="91" spans="8:12">
      <c r="H91" s="21"/>
      <c r="J91" s="6"/>
      <c r="K91" s="28"/>
      <c r="L91" s="6"/>
    </row>
    <row r="92" spans="8:12">
      <c r="H92" s="21"/>
      <c r="J92" s="6"/>
      <c r="K92" s="28"/>
      <c r="L92" s="6"/>
    </row>
    <row r="93" spans="8:12">
      <c r="H93" s="21"/>
      <c r="J93" s="6"/>
      <c r="K93" s="28"/>
      <c r="L93" s="6"/>
    </row>
    <row r="94" spans="8:12">
      <c r="H94" s="21"/>
      <c r="J94" s="6"/>
      <c r="K94" s="28"/>
      <c r="L94" s="6"/>
    </row>
    <row r="95" spans="8:12">
      <c r="H95" s="21"/>
      <c r="J95" s="6"/>
      <c r="K95" s="28"/>
      <c r="L95" s="6"/>
    </row>
    <row r="96" spans="8:12">
      <c r="H96" s="21"/>
      <c r="J96" s="6"/>
      <c r="K96" s="28"/>
      <c r="L96" s="6"/>
    </row>
    <row r="97" spans="8:12">
      <c r="H97" s="21"/>
      <c r="J97" s="6"/>
      <c r="K97" s="28"/>
      <c r="L97" s="6"/>
    </row>
    <row r="98" spans="8:12">
      <c r="H98" s="21"/>
      <c r="J98" s="6"/>
      <c r="K98" s="28"/>
      <c r="L98" s="6"/>
    </row>
    <row r="99" spans="8:12">
      <c r="H99" s="21"/>
      <c r="J99" s="6"/>
      <c r="K99" s="28"/>
      <c r="L99" s="6"/>
    </row>
    <row r="100" spans="8:12">
      <c r="H100" s="21"/>
      <c r="J100" s="6"/>
      <c r="K100" s="28"/>
      <c r="L100" s="6"/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選項清單!$I$2:$I$4</xm:f>
          </x14:formula1>
          <xm:sqref>B1:B1048576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J10"/>
  <sheetViews>
    <sheetView workbookViewId="0">
      <selection activeCell="J11" sqref="J11"/>
    </sheetView>
  </sheetViews>
  <sheetFormatPr defaultRowHeight="16.5"/>
  <cols>
    <col min="1" max="1" width="9" style="30" customWidth="1"/>
    <col min="2" max="6" width="9" style="30"/>
    <col min="7" max="7" width="18.375" style="30" bestFit="1" customWidth="1"/>
    <col min="8" max="16384" width="9" style="30"/>
  </cols>
  <sheetData>
    <row r="1" spans="1:10">
      <c r="A1" s="34" t="s">
        <v>10</v>
      </c>
      <c r="B1" s="34"/>
      <c r="C1" s="34" t="s">
        <v>16</v>
      </c>
      <c r="D1" s="34"/>
      <c r="E1" s="34" t="s">
        <v>36</v>
      </c>
      <c r="F1" s="35"/>
      <c r="G1" s="34" t="s">
        <v>35</v>
      </c>
      <c r="H1" s="35"/>
      <c r="I1" s="34" t="s">
        <v>44</v>
      </c>
      <c r="J1" s="35"/>
    </row>
    <row r="2" spans="1:10">
      <c r="A2" s="30" t="s">
        <v>17</v>
      </c>
      <c r="B2" s="30">
        <v>0</v>
      </c>
      <c r="C2" s="30" t="s">
        <v>17</v>
      </c>
      <c r="D2" s="30">
        <v>0</v>
      </c>
      <c r="E2" s="31" t="s">
        <v>17</v>
      </c>
      <c r="F2" s="30">
        <v>0</v>
      </c>
      <c r="G2" s="30" t="s">
        <v>17</v>
      </c>
      <c r="H2" s="30">
        <v>0</v>
      </c>
      <c r="I2" s="30" t="s">
        <v>45</v>
      </c>
      <c r="J2" s="30">
        <v>0</v>
      </c>
    </row>
    <row r="3" spans="1:10">
      <c r="A3" s="30" t="s">
        <v>11</v>
      </c>
      <c r="B3" s="30">
        <v>1</v>
      </c>
      <c r="C3" s="30" t="s">
        <v>13</v>
      </c>
      <c r="D3" s="30">
        <v>1</v>
      </c>
      <c r="E3" s="31" t="s">
        <v>23</v>
      </c>
      <c r="F3" s="30">
        <v>1</v>
      </c>
      <c r="G3" s="32" t="s">
        <v>120</v>
      </c>
      <c r="H3" s="30">
        <v>1</v>
      </c>
      <c r="I3" s="30" t="s">
        <v>47</v>
      </c>
      <c r="J3" s="30">
        <v>1</v>
      </c>
    </row>
    <row r="4" spans="1:10">
      <c r="A4" s="30" t="s">
        <v>12</v>
      </c>
      <c r="B4" s="30">
        <v>2</v>
      </c>
      <c r="C4" s="30" t="s">
        <v>15</v>
      </c>
      <c r="D4" s="30">
        <v>2</v>
      </c>
      <c r="E4" s="31" t="s">
        <v>19</v>
      </c>
      <c r="F4" s="30">
        <v>2</v>
      </c>
      <c r="G4" s="32" t="s">
        <v>122</v>
      </c>
      <c r="H4" s="30">
        <v>2</v>
      </c>
      <c r="I4" s="30" t="s">
        <v>175</v>
      </c>
      <c r="J4" s="30">
        <v>2</v>
      </c>
    </row>
    <row r="5" spans="1:10">
      <c r="E5" s="31" t="s">
        <v>21</v>
      </c>
      <c r="F5" s="30">
        <v>3</v>
      </c>
      <c r="G5" s="30" t="s">
        <v>124</v>
      </c>
      <c r="H5" s="30">
        <v>3</v>
      </c>
    </row>
    <row r="6" spans="1:10">
      <c r="G6" s="30" t="s">
        <v>126</v>
      </c>
      <c r="H6" s="30">
        <v>4</v>
      </c>
    </row>
    <row r="7" spans="1:10">
      <c r="G7" s="33" t="s">
        <v>132</v>
      </c>
      <c r="H7" s="30">
        <v>5</v>
      </c>
    </row>
    <row r="8" spans="1:10">
      <c r="G8" s="33" t="s">
        <v>128</v>
      </c>
      <c r="H8" s="30">
        <v>6</v>
      </c>
    </row>
    <row r="9" spans="1:10">
      <c r="G9" s="33" t="s">
        <v>129</v>
      </c>
      <c r="H9" s="30">
        <v>7</v>
      </c>
    </row>
    <row r="10" spans="1:10">
      <c r="G10" s="33" t="s">
        <v>130</v>
      </c>
      <c r="H10" s="30">
        <v>8</v>
      </c>
    </row>
  </sheetData>
  <mergeCells count="5">
    <mergeCell ref="I1:J1"/>
    <mergeCell ref="A1:B1"/>
    <mergeCell ref="C1:D1"/>
    <mergeCell ref="E1:F1"/>
    <mergeCell ref="G1:H1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100"/>
  <sheetViews>
    <sheetView topLeftCell="A25" workbookViewId="0">
      <selection activeCell="F9" sqref="F9"/>
    </sheetView>
  </sheetViews>
  <sheetFormatPr defaultRowHeight="16.5"/>
  <cols>
    <col min="1" max="3" width="15.625" customWidth="1"/>
  </cols>
  <sheetData>
    <row r="1" spans="1:3" s="4" customFormat="1">
      <c r="A1" s="4" t="str">
        <f>語言列表!A1</f>
        <v>GUID</v>
      </c>
      <c r="B1" s="4" t="str">
        <f>語言列表!B1</f>
        <v>enUS</v>
      </c>
      <c r="C1" s="4" t="str">
        <f>語言列表!C1</f>
        <v>zhTW</v>
      </c>
    </row>
    <row r="2" spans="1:3">
      <c r="A2" t="str">
        <f>ToResult(語言列表!A2)</f>
        <v>1001</v>
      </c>
      <c r="B2" t="str">
        <f>ToResult(語言列表!B2)</f>
        <v>Flashlight</v>
      </c>
      <c r="C2" t="str">
        <f>ToResult(語言列表!C2)</f>
        <v>手電筒</v>
      </c>
    </row>
    <row r="3" spans="1:3">
      <c r="A3" t="str">
        <f>ToResult(語言列表!A3)</f>
        <v>1002</v>
      </c>
      <c r="B3" t="str">
        <f>ToResult(語言列表!B3)</f>
        <v>Knife</v>
      </c>
      <c r="C3" t="str">
        <f>ToResult(語言列表!C3)</f>
        <v>小刀</v>
      </c>
    </row>
    <row r="4" spans="1:3">
      <c r="A4" t="str">
        <f>ToResult(語言列表!A4)</f>
        <v>1003</v>
      </c>
      <c r="B4" t="str">
        <f>ToResult(語言列表!B4)</f>
        <v>Katana</v>
      </c>
      <c r="C4" t="str">
        <f>ToResult(語言列表!C4)</f>
        <v>武士刀</v>
      </c>
    </row>
    <row r="5" spans="1:3">
      <c r="A5" t="str">
        <f>ToResult(語言列表!A5)</f>
        <v>1004</v>
      </c>
      <c r="B5" t="str">
        <f>ToResult(語言列表!B5)</f>
        <v>Chainsaw</v>
      </c>
      <c r="C5" t="str">
        <f>ToResult(語言列表!C5)</f>
        <v>電鋸</v>
      </c>
    </row>
    <row r="6" spans="1:3">
      <c r="A6" t="str">
        <f>ToResult(語言列表!A6)</f>
        <v>1005</v>
      </c>
      <c r="B6" t="str">
        <f>ToResult(語言列表!B6)</f>
        <v>Pistol</v>
      </c>
      <c r="C6" t="str">
        <f>ToResult(語言列表!C6)</f>
        <v>手槍</v>
      </c>
    </row>
    <row r="7" spans="1:3">
      <c r="A7" t="str">
        <f>ToResult(語言列表!A7)</f>
        <v>1006</v>
      </c>
      <c r="B7" t="str">
        <f>ToResult(語言列表!B7)</f>
        <v>Revolver</v>
      </c>
      <c r="C7" t="str">
        <f>ToResult(語言列表!C7)</f>
        <v>左輪手槍</v>
      </c>
    </row>
    <row r="8" spans="1:3">
      <c r="A8" t="str">
        <f>ToResult(語言列表!A8)</f>
        <v>1007</v>
      </c>
      <c r="B8" t="str">
        <f>ToResult(語言列表!B8)</f>
        <v>Desert Eagle</v>
      </c>
      <c r="C8" t="str">
        <f>ToResult(語言列表!C8)</f>
        <v>沙漠之鷹</v>
      </c>
    </row>
    <row r="9" spans="1:3">
      <c r="A9" t="str">
        <f>ToResult(語言列表!A9)</f>
        <v>1008</v>
      </c>
      <c r="B9" t="str">
        <f>ToResult(語言列表!B9)</f>
        <v>Submachine</v>
      </c>
      <c r="C9" t="str">
        <f>ToResult(語言列表!C9)</f>
        <v>衝鋒槍</v>
      </c>
    </row>
    <row r="10" spans="1:3">
      <c r="A10" t="str">
        <f>ToResult(語言列表!A10)</f>
        <v>1009</v>
      </c>
      <c r="B10" t="str">
        <f>ToResult(語言列表!B10)</f>
        <v>Assault Rifle</v>
      </c>
      <c r="C10" t="str">
        <f>ToResult(語言列表!C10)</f>
        <v>突擊步槍</v>
      </c>
    </row>
    <row r="11" spans="1:3">
      <c r="A11" t="str">
        <f>ToResult(語言列表!A11)</f>
        <v>1010</v>
      </c>
      <c r="B11" t="str">
        <f>ToResult(語言列表!B11)</f>
        <v>Light machine gun</v>
      </c>
      <c r="C11" t="str">
        <f>ToResult(語言列表!C11)</f>
        <v>輕機槍</v>
      </c>
    </row>
    <row r="12" spans="1:3">
      <c r="A12" t="str">
        <f>ToResult(語言列表!A12)</f>
        <v>2001</v>
      </c>
      <c r="B12" t="str">
        <f>ToResult(語言列表!B12)</f>
        <v>Chef</v>
      </c>
      <c r="C12" t="str">
        <f>ToResult(語言列表!C12)</f>
        <v>廚師</v>
      </c>
    </row>
    <row r="13" spans="1:3">
      <c r="A13" t="str">
        <f>ToResult(語言列表!A13)</f>
        <v>2002</v>
      </c>
      <c r="B13" t="str">
        <f>ToResult(語言列表!B13)</f>
        <v>Doctors</v>
      </c>
      <c r="C13" t="str">
        <f>ToResult(語言列表!C13)</f>
        <v>醫生</v>
      </c>
    </row>
    <row r="14" spans="1:3">
      <c r="A14" t="str">
        <f>ToResult(語言列表!A14)</f>
        <v>2003</v>
      </c>
      <c r="B14" t="str">
        <f>ToResult(語言列表!B14)</f>
        <v>Obesity</v>
      </c>
      <c r="C14" t="str">
        <f>ToResult(語言列表!C14)</f>
        <v>肥胖</v>
      </c>
    </row>
    <row r="15" spans="1:3">
      <c r="A15" t="str">
        <f>ToResult(語言列表!A15)</f>
        <v>2004</v>
      </c>
      <c r="B15" t="str">
        <f>ToResult(語言列表!B15)</f>
        <v>Disability</v>
      </c>
      <c r="C15" t="str">
        <f>ToResult(語言列表!C15)</f>
        <v>殘疾</v>
      </c>
    </row>
    <row r="16" spans="1:3">
      <c r="A16" t="str">
        <f>ToResult(語言列表!A16)</f>
        <v>2005</v>
      </c>
      <c r="B16" t="str">
        <f>ToResult(語言列表!B16)</f>
        <v>Health</v>
      </c>
      <c r="C16" t="str">
        <f>ToResult(語言列表!C16)</f>
        <v>健康</v>
      </c>
    </row>
    <row r="17" spans="1:3">
      <c r="A17" t="str">
        <f>ToResult(語言列表!A17)</f>
        <v>2006</v>
      </c>
      <c r="B17" t="str">
        <f>ToResult(語言列表!B17)</f>
        <v>Strong</v>
      </c>
      <c r="C17" t="str">
        <f>ToResult(語言列表!C17)</f>
        <v>強壯</v>
      </c>
    </row>
    <row r="18" spans="1:3">
      <c r="A18" t="str">
        <f>ToResult(語言列表!A18)</f>
        <v>2007</v>
      </c>
      <c r="B18" t="str">
        <f>ToResult(語言列表!B18)</f>
        <v>Flu</v>
      </c>
      <c r="C18" t="str">
        <f>ToResult(語言列表!C18)</f>
        <v>感冒</v>
      </c>
    </row>
    <row r="19" spans="1:3">
      <c r="A19" t="str">
        <f>ToResult(語言列表!A19)</f>
        <v>2008</v>
      </c>
      <c r="B19" t="str">
        <f>ToResult(語言列表!B19)</f>
        <v>Injured</v>
      </c>
      <c r="C19" t="str">
        <f>ToResult(語言列表!C19)</f>
        <v>受傷</v>
      </c>
    </row>
    <row r="20" spans="1:3">
      <c r="A20" t="str">
        <f>ToResult(語言列表!A20)</f>
        <v>2009</v>
      </c>
      <c r="B20" t="str">
        <f>ToResult(語言列表!B20)</f>
        <v>Clumsy</v>
      </c>
      <c r="C20" t="str">
        <f>ToResult(語言列表!C20)</f>
        <v>笨拙</v>
      </c>
    </row>
    <row r="21" spans="1:3">
      <c r="A21" t="str">
        <f>ToResult(語言列表!A21)</f>
        <v>2010</v>
      </c>
      <c r="B21" t="str">
        <f>ToResult(語言列表!B21)</f>
        <v>Careless</v>
      </c>
      <c r="C21" t="str">
        <f>ToResult(語言列表!C21)</f>
        <v>粗心</v>
      </c>
    </row>
    <row r="22" spans="1:3">
      <c r="A22" t="str">
        <f>ToResult(語言列表!A22)</f>
        <v>2011</v>
      </c>
      <c r="B22" t="str">
        <f>ToResult(語言列表!B22)</f>
        <v>Elite</v>
      </c>
      <c r="C22" t="str">
        <f>ToResult(語言列表!C22)</f>
        <v>精英</v>
      </c>
    </row>
    <row r="23" spans="1:3">
      <c r="A23" t="str">
        <f>ToResult(語言列表!A23)</f>
        <v>2012</v>
      </c>
      <c r="B23" t="str">
        <f>ToResult(語言列表!B23)</f>
        <v>Genius</v>
      </c>
      <c r="C23" t="str">
        <f>ToResult(語言列表!C23)</f>
        <v>天才</v>
      </c>
    </row>
    <row r="24" spans="1:3">
      <c r="A24" t="str">
        <f>ToResult(語言列表!A24)</f>
        <v>2013</v>
      </c>
      <c r="B24" t="str">
        <f>ToResult(語言列表!B24)</f>
        <v>Modified</v>
      </c>
      <c r="C24" t="str">
        <f>ToResult(語言列表!C24)</f>
        <v>改裝</v>
      </c>
    </row>
    <row r="25" spans="1:3">
      <c r="A25" t="str">
        <f>ToResult(語言列表!A25)</f>
        <v>2014</v>
      </c>
      <c r="B25" t="str">
        <f>ToResult(語言列表!B25)</f>
        <v>Corrupted</v>
      </c>
      <c r="C25" t="str">
        <f>ToResult(語言列表!C25)</f>
        <v>損壞</v>
      </c>
    </row>
    <row r="26" spans="1:3">
      <c r="A26" t="str">
        <f>ToResult(語言列表!A26)</f>
        <v>2015</v>
      </c>
      <c r="B26" t="str">
        <f>ToResult(語言列表!B26)</f>
        <v>Signaller</v>
      </c>
      <c r="C26" t="str">
        <f>ToResult(語言列表!C26)</f>
        <v>通訊兵</v>
      </c>
    </row>
    <row r="27" spans="1:3">
      <c r="A27" t="str">
        <f>ToResult(語言列表!A27)</f>
        <v>2016</v>
      </c>
      <c r="B27" t="str">
        <f>ToResult(語言列表!B27)</f>
        <v>General</v>
      </c>
      <c r="C27" t="str">
        <f>ToResult(語言列表!C27)</f>
        <v>將軍</v>
      </c>
    </row>
    <row r="28" spans="1:3">
      <c r="A28" t="str">
        <f>ToResult(語言列表!A28)</f>
        <v>2017</v>
      </c>
      <c r="B28" t="str">
        <f>ToResult(語言列表!B28)</f>
        <v>Shield</v>
      </c>
      <c r="C28" t="str">
        <f>ToResult(語言列表!C28)</f>
        <v>護盾</v>
      </c>
    </row>
    <row r="29" spans="1:3">
      <c r="A29" t="str">
        <f>ToResult(語言列表!A29)</f>
        <v>2018</v>
      </c>
      <c r="B29" t="str">
        <f>ToResult(語言列表!B29)</f>
        <v>Dual shield</v>
      </c>
      <c r="C29" t="str">
        <f>ToResult(語言列表!C29)</f>
        <v>雙重護盾</v>
      </c>
    </row>
    <row r="30" spans="1:3">
      <c r="A30" t="str">
        <f>ToResult(語言列表!A30)</f>
        <v>2019</v>
      </c>
      <c r="B30" t="str">
        <f>ToResult(語言列表!B30)</f>
        <v>Nightmare</v>
      </c>
      <c r="C30" t="str">
        <f>ToResult(語言列表!C30)</f>
        <v>噩夢</v>
      </c>
    </row>
    <row r="31" spans="1:3">
      <c r="A31" t="str">
        <f>ToResult(語言列表!A31)</f>
        <v>2020</v>
      </c>
      <c r="B31" t="str">
        <f>ToResult(語言列表!B31)</f>
        <v>Curse</v>
      </c>
      <c r="C31" t="str">
        <f>ToResult(語言列表!C31)</f>
        <v>詛咒</v>
      </c>
    </row>
    <row r="32" spans="1:3">
      <c r="A32" t="str">
        <f>ToResult(語言列表!A32)</f>
        <v>2021</v>
      </c>
      <c r="B32" t="str">
        <f>ToResult(語言列表!B32)</f>
        <v>Frozen</v>
      </c>
      <c r="C32" t="str">
        <f>ToResult(語言列表!C32)</f>
        <v>冰凍</v>
      </c>
    </row>
    <row r="33" spans="1:3">
      <c r="A33" t="str">
        <f>ToResult(語言列表!A33)</f>
        <v>2022</v>
      </c>
      <c r="B33" t="str">
        <f>ToResult(語言列表!B33)</f>
        <v>Low profile</v>
      </c>
      <c r="C33" t="str">
        <f>ToResult(語言列表!C33)</f>
        <v>低調</v>
      </c>
    </row>
    <row r="34" spans="1:3">
      <c r="A34" t="str">
        <f>ToResult(語言列表!A34)</f>
        <v>2023</v>
      </c>
      <c r="B34" t="str">
        <f>ToResult(語言列表!B34)</f>
        <v>Prominently</v>
      </c>
      <c r="C34" t="str">
        <f>ToResult(語言列表!C34)</f>
        <v>醒目</v>
      </c>
    </row>
    <row r="35" spans="1:3">
      <c r="A35" t="str">
        <f>ToResult(語言列表!A35)</f>
        <v>3001</v>
      </c>
      <c r="B35" t="str">
        <f>ToResult(語言列表!B35)</f>
        <v>[ffed00]sta limit[-][546ef2]+4[-]</v>
      </c>
      <c r="C35" t="str">
        <f>ToResult(語言列表!C35)</f>
        <v/>
      </c>
    </row>
    <row r="36" spans="1:3">
      <c r="A36" t="str">
        <f>ToResult(語言列表!A36)</f>
        <v>3002</v>
      </c>
      <c r="B36" t="str">
        <f>ToResult(語言列表!B36)</f>
        <v>[ffed00]sta limit[-][546ef2]+8[-]</v>
      </c>
      <c r="C36" t="str">
        <f>ToResult(語言列表!C36)</f>
        <v/>
      </c>
    </row>
    <row r="37" spans="1:3">
      <c r="A37" t="str">
        <f>ToResult(語言列表!A37)</f>
        <v>3003</v>
      </c>
      <c r="B37" t="str">
        <f>ToResult(語言列表!B37)</f>
        <v>[ffed00]sta limit[-][e92121]-4[-]</v>
      </c>
      <c r="C37" t="str">
        <f>ToResult(語言列表!C37)</f>
        <v/>
      </c>
    </row>
    <row r="38" spans="1:3">
      <c r="A38" t="str">
        <f>ToResult(語言列表!A38)</f>
        <v>3004</v>
      </c>
      <c r="B38" t="str">
        <f>ToResult(語言列表!B38)</f>
        <v>[ffed00]sta limit[-][e92121]-8[-]</v>
      </c>
      <c r="C38" t="str">
        <f>ToResult(語言列表!C38)</f>
        <v/>
      </c>
    </row>
    <row r="39" spans="1:3">
      <c r="A39" t="str">
        <f>ToResult(語言列表!A39)</f>
        <v>3005</v>
      </c>
      <c r="B39" t="str">
        <f>ToResult(語言列表!B39)</f>
        <v>[ffed00]sta regain[-][546ef2]+2[-]</v>
      </c>
      <c r="C39" t="str">
        <f>ToResult(語言列表!C39)</f>
        <v/>
      </c>
    </row>
    <row r="40" spans="1:3">
      <c r="A40" t="str">
        <f>ToResult(語言列表!A40)</f>
        <v>3006</v>
      </c>
      <c r="B40" t="str">
        <f>ToResult(語言列表!B40)</f>
        <v>[ffed00]sta regain[-][546ef2]+3[-]</v>
      </c>
      <c r="C40" t="str">
        <f>ToResult(語言列表!C40)</f>
        <v/>
      </c>
    </row>
    <row r="41" spans="1:3">
      <c r="A41" t="str">
        <f>ToResult(語言列表!A41)</f>
        <v>3007</v>
      </c>
      <c r="B41" t="str">
        <f>ToResult(語言列表!B41)</f>
        <v>[ffed00]sta regain[-][e92121]-2[-]</v>
      </c>
      <c r="C41" t="str">
        <f>ToResult(語言列表!C41)</f>
        <v/>
      </c>
    </row>
    <row r="42" spans="1:3">
      <c r="A42" t="str">
        <f>ToResult(語言列表!A42)</f>
        <v>3008</v>
      </c>
      <c r="B42" t="str">
        <f>ToResult(語言列表!B42)</f>
        <v>[ffed00]sta regain[-][e92121]-3[-]</v>
      </c>
      <c r="C42" t="str">
        <f>ToResult(語言列表!C42)</f>
        <v/>
      </c>
    </row>
    <row r="43" spans="1:3">
      <c r="A43" t="str">
        <f>ToResult(語言列表!A43)</f>
        <v>3009</v>
      </c>
      <c r="B43" t="str">
        <f>ToResult(語言列表!B43)</f>
        <v>[ffed00]critical[-][e92121]-20%[-]</v>
      </c>
      <c r="C43" t="str">
        <f>ToResult(語言列表!C43)</f>
        <v/>
      </c>
    </row>
    <row r="44" spans="1:3">
      <c r="A44" t="str">
        <f>ToResult(語言列表!A44)</f>
        <v>3010</v>
      </c>
      <c r="B44" t="str">
        <f>ToResult(語言列表!B44)</f>
        <v>[ffed00]critical[-][e92121]-10%[-]</v>
      </c>
      <c r="C44" t="str">
        <f>ToResult(語言列表!C44)</f>
        <v/>
      </c>
    </row>
    <row r="45" spans="1:3">
      <c r="A45" t="str">
        <f>ToResult(語言列表!A45)</f>
        <v>3011</v>
      </c>
      <c r="B45" t="str">
        <f>ToResult(語言列表!B45)</f>
        <v>[ffed00]critical[-][546ef2]+10%[-]</v>
      </c>
      <c r="C45" t="str">
        <f>ToResult(語言列表!C45)</f>
        <v/>
      </c>
    </row>
    <row r="46" spans="1:3">
      <c r="A46" t="str">
        <f>ToResult(語言列表!A46)</f>
        <v>3012</v>
      </c>
      <c r="B46" t="str">
        <f>ToResult(語言列表!B46)</f>
        <v>[ffed00]critical[-][546ef2]+20%[-]</v>
      </c>
      <c r="C46" t="str">
        <f>ToResult(語言列表!C46)</f>
        <v/>
      </c>
    </row>
    <row r="47" spans="1:3">
      <c r="A47" t="str">
        <f>ToResult(語言列表!A47)</f>
        <v>3013</v>
      </c>
      <c r="B47" t="str">
        <f>ToResult(語言列表!B47)</f>
        <v>[ffed00]damage[-][546ef2]+10[-]</v>
      </c>
      <c r="C47" t="str">
        <f>ToResult(語言列表!C47)</f>
        <v/>
      </c>
    </row>
    <row r="48" spans="1:3">
      <c r="A48" t="str">
        <f>ToResult(語言列表!A48)</f>
        <v>3014</v>
      </c>
      <c r="B48" t="str">
        <f>ToResult(語言列表!B48)</f>
        <v>[ffed00]damage[-][e92121]-10[-]</v>
      </c>
      <c r="C48" t="str">
        <f>ToResult(語言列表!C48)</f>
        <v/>
      </c>
    </row>
    <row r="49" spans="1:3">
      <c r="A49" t="str">
        <f>ToResult(語言列表!A49)</f>
        <v>3015</v>
      </c>
      <c r="B49" t="str">
        <f>ToResult(語言列表!B49)</f>
        <v>[ffed00]bomb[-][546ef2]+1[-]</v>
      </c>
      <c r="C49" t="str">
        <f>ToResult(語言列表!C49)</f>
        <v/>
      </c>
    </row>
    <row r="50" spans="1:3">
      <c r="A50" t="str">
        <f>ToResult(語言列表!A50)</f>
        <v>3016</v>
      </c>
      <c r="B50" t="str">
        <f>ToResult(語言列表!B50)</f>
        <v>[ffed00]bomb[-][546ef2]+2[-]</v>
      </c>
      <c r="C50" t="str">
        <f>ToResult(語言列表!C50)</f>
        <v/>
      </c>
    </row>
    <row r="51" spans="1:3">
      <c r="A51" t="str">
        <f>ToResult(語言列表!A51)</f>
        <v>3017</v>
      </c>
      <c r="B51" t="str">
        <f>ToResult(語言列表!B51)</f>
        <v>[ffed00]shield[-][546ef2]+3[-]</v>
      </c>
      <c r="C51" t="str">
        <f>ToResult(語言列表!C51)</f>
        <v/>
      </c>
    </row>
    <row r="52" spans="1:3">
      <c r="A52" t="str">
        <f>ToResult(語言列表!A52)</f>
        <v>3018</v>
      </c>
      <c r="B52" t="str">
        <f>ToResult(語言列表!B52)</f>
        <v>[ffed00]shield[-][546ef2]+5[-]</v>
      </c>
      <c r="C52" t="str">
        <f>ToResult(語言列表!C52)</f>
        <v/>
      </c>
    </row>
    <row r="53" spans="1:3">
      <c r="A53" t="str">
        <f>ToResult(語言列表!A53)</f>
        <v>3019</v>
      </c>
      <c r="B53" t="str">
        <f>ToResult(語言列表!B53)</f>
        <v>[e92121]more monster[-]</v>
      </c>
      <c r="C53" t="str">
        <f>ToResult(語言列表!C53)</f>
        <v/>
      </c>
    </row>
    <row r="54" spans="1:3">
      <c r="A54" t="str">
        <f>ToResult(語言列表!A54)</f>
        <v>3020</v>
      </c>
      <c r="B54" t="str">
        <f>ToResult(語言列表!B54)</f>
        <v>[e92121]much more monster[-]</v>
      </c>
      <c r="C54" t="str">
        <f>ToResult(語言列表!C54)</f>
        <v/>
      </c>
    </row>
    <row r="55" spans="1:3">
      <c r="A55" t="str">
        <f>ToResult(語言列表!A55)</f>
        <v>3021</v>
      </c>
      <c r="B55" t="str">
        <f>ToResult(語言列表!B55)</f>
        <v>[ffed00]frozen bullet[-]</v>
      </c>
      <c r="C55" t="str">
        <f>ToResult(語言列表!C55)</f>
        <v/>
      </c>
    </row>
    <row r="56" spans="1:3">
      <c r="A56" t="str">
        <f>ToResult(語言列表!A56)</f>
        <v>3022</v>
      </c>
      <c r="B56" t="str">
        <f>ToResult(語言列表!B56)</f>
        <v>[ffed00]catch chance[-][546ef2]-10[-]</v>
      </c>
      <c r="C56" t="str">
        <f>ToResult(語言列表!C56)</f>
        <v/>
      </c>
    </row>
    <row r="57" spans="1:3">
      <c r="A57" t="str">
        <f>ToResult(語言列表!A57)</f>
        <v>3023</v>
      </c>
      <c r="B57" t="str">
        <f>ToResult(語言列表!B57)</f>
        <v>[ffed00]catch chance[-][e92121]+20[-]</v>
      </c>
      <c r="C57" t="str">
        <f>ToResult(語言列表!C57)</f>
        <v/>
      </c>
    </row>
    <row r="58" spans="1:3">
      <c r="A58" t="str">
        <f>ToResult(語言列表!A58)</f>
        <v/>
      </c>
      <c r="B58" t="str">
        <f>ToResult(語言列表!B58)</f>
        <v/>
      </c>
      <c r="C58" t="str">
        <f>ToResult(語言列表!C58)</f>
        <v/>
      </c>
    </row>
    <row r="59" spans="1:3">
      <c r="A59" t="str">
        <f>ToResult(語言列表!A59)</f>
        <v/>
      </c>
      <c r="B59" t="str">
        <f>ToResult(語言列表!B59)</f>
        <v/>
      </c>
      <c r="C59" t="str">
        <f>ToResult(語言列表!C59)</f>
        <v/>
      </c>
    </row>
    <row r="60" spans="1:3">
      <c r="A60" t="str">
        <f>ToResult(語言列表!A60)</f>
        <v/>
      </c>
      <c r="B60" t="str">
        <f>ToResult(語言列表!B60)</f>
        <v/>
      </c>
      <c r="C60" t="str">
        <f>ToResult(語言列表!C60)</f>
        <v/>
      </c>
    </row>
    <row r="61" spans="1:3">
      <c r="A61" t="str">
        <f>ToResult(語言列表!A61)</f>
        <v/>
      </c>
      <c r="B61" t="str">
        <f>ToResult(語言列表!B61)</f>
        <v/>
      </c>
      <c r="C61" t="str">
        <f>ToResult(語言列表!C61)</f>
        <v/>
      </c>
    </row>
    <row r="62" spans="1:3">
      <c r="A62" t="str">
        <f>ToResult(語言列表!A62)</f>
        <v/>
      </c>
      <c r="B62" t="str">
        <f>ToResult(語言列表!B62)</f>
        <v/>
      </c>
      <c r="C62" t="str">
        <f>ToResult(語言列表!C62)</f>
        <v/>
      </c>
    </row>
    <row r="63" spans="1:3">
      <c r="A63" t="str">
        <f>ToResult(語言列表!A63)</f>
        <v/>
      </c>
      <c r="B63" t="str">
        <f>ToResult(語言列表!B63)</f>
        <v/>
      </c>
      <c r="C63" t="str">
        <f>ToResult(語言列表!C63)</f>
        <v/>
      </c>
    </row>
    <row r="64" spans="1:3">
      <c r="A64" t="str">
        <f>ToResult(語言列表!A64)</f>
        <v/>
      </c>
      <c r="B64" t="str">
        <f>ToResult(語言列表!B64)</f>
        <v/>
      </c>
      <c r="C64" t="str">
        <f>ToResult(語言列表!C64)</f>
        <v/>
      </c>
    </row>
    <row r="65" spans="1:3">
      <c r="A65" t="str">
        <f>ToResult(語言列表!A65)</f>
        <v/>
      </c>
      <c r="B65" t="str">
        <f>ToResult(語言列表!B65)</f>
        <v/>
      </c>
      <c r="C65" t="str">
        <f>ToResult(語言列表!C65)</f>
        <v/>
      </c>
    </row>
    <row r="66" spans="1:3">
      <c r="A66" t="str">
        <f>ToResult(語言列表!A66)</f>
        <v/>
      </c>
      <c r="B66" t="str">
        <f>ToResult(語言列表!B66)</f>
        <v/>
      </c>
      <c r="C66" t="str">
        <f>ToResult(語言列表!C66)</f>
        <v/>
      </c>
    </row>
    <row r="67" spans="1:3">
      <c r="A67" t="str">
        <f>ToResult(語言列表!A67)</f>
        <v/>
      </c>
      <c r="B67" t="str">
        <f>ToResult(語言列表!B67)</f>
        <v/>
      </c>
      <c r="C67" t="str">
        <f>ToResult(語言列表!C67)</f>
        <v/>
      </c>
    </row>
    <row r="68" spans="1:3">
      <c r="A68" t="str">
        <f>ToResult(語言列表!A68)</f>
        <v/>
      </c>
      <c r="B68" t="str">
        <f>ToResult(語言列表!B68)</f>
        <v/>
      </c>
      <c r="C68" t="str">
        <f>ToResult(語言列表!C68)</f>
        <v/>
      </c>
    </row>
    <row r="69" spans="1:3">
      <c r="A69" t="str">
        <f>ToResult(語言列表!A69)</f>
        <v/>
      </c>
      <c r="B69" t="str">
        <f>ToResult(語言列表!B69)</f>
        <v/>
      </c>
      <c r="C69" t="str">
        <f>ToResult(語言列表!C69)</f>
        <v/>
      </c>
    </row>
    <row r="70" spans="1:3">
      <c r="A70" t="str">
        <f>ToResult(語言列表!A70)</f>
        <v/>
      </c>
      <c r="B70" t="str">
        <f>ToResult(語言列表!B70)</f>
        <v/>
      </c>
      <c r="C70" t="str">
        <f>ToResult(語言列表!C70)</f>
        <v/>
      </c>
    </row>
    <row r="71" spans="1:3">
      <c r="A71" t="str">
        <f>ToResult(語言列表!A71)</f>
        <v/>
      </c>
      <c r="B71" t="str">
        <f>ToResult(語言列表!B71)</f>
        <v/>
      </c>
      <c r="C71" t="str">
        <f>ToResult(語言列表!C71)</f>
        <v/>
      </c>
    </row>
    <row r="72" spans="1:3">
      <c r="A72" t="str">
        <f>ToResult(語言列表!A72)</f>
        <v/>
      </c>
      <c r="B72" t="str">
        <f>ToResult(語言列表!B72)</f>
        <v/>
      </c>
      <c r="C72" t="str">
        <f>ToResult(語言列表!C72)</f>
        <v/>
      </c>
    </row>
    <row r="73" spans="1:3">
      <c r="A73" t="str">
        <f>ToResult(語言列表!A73)</f>
        <v/>
      </c>
      <c r="B73" t="str">
        <f>ToResult(語言列表!B73)</f>
        <v/>
      </c>
      <c r="C73" t="str">
        <f>ToResult(語言列表!C73)</f>
        <v/>
      </c>
    </row>
    <row r="74" spans="1:3">
      <c r="A74" t="str">
        <f>ToResult(語言列表!A74)</f>
        <v/>
      </c>
      <c r="B74" t="str">
        <f>ToResult(語言列表!B74)</f>
        <v/>
      </c>
      <c r="C74" t="str">
        <f>ToResult(語言列表!C74)</f>
        <v/>
      </c>
    </row>
    <row r="75" spans="1:3">
      <c r="A75" t="str">
        <f>ToResult(語言列表!A75)</f>
        <v/>
      </c>
      <c r="B75" t="str">
        <f>ToResult(語言列表!B75)</f>
        <v/>
      </c>
      <c r="C75" t="str">
        <f>ToResult(語言列表!C75)</f>
        <v/>
      </c>
    </row>
    <row r="76" spans="1:3">
      <c r="A76" t="str">
        <f>ToResult(語言列表!A76)</f>
        <v/>
      </c>
      <c r="B76" t="str">
        <f>ToResult(語言列表!B76)</f>
        <v/>
      </c>
      <c r="C76" t="str">
        <f>ToResult(語言列表!C76)</f>
        <v/>
      </c>
    </row>
    <row r="77" spans="1:3">
      <c r="A77" t="str">
        <f>ToResult(語言列表!A77)</f>
        <v/>
      </c>
      <c r="B77" t="str">
        <f>ToResult(語言列表!B77)</f>
        <v/>
      </c>
      <c r="C77" t="str">
        <f>ToResult(語言列表!C77)</f>
        <v/>
      </c>
    </row>
    <row r="78" spans="1:3">
      <c r="A78" t="str">
        <f>ToResult(語言列表!A78)</f>
        <v/>
      </c>
      <c r="B78" t="str">
        <f>ToResult(語言列表!B78)</f>
        <v/>
      </c>
      <c r="C78" t="str">
        <f>ToResult(語言列表!C78)</f>
        <v/>
      </c>
    </row>
    <row r="79" spans="1:3">
      <c r="A79" t="str">
        <f>ToResult(語言列表!A79)</f>
        <v/>
      </c>
      <c r="B79" t="str">
        <f>ToResult(語言列表!B79)</f>
        <v/>
      </c>
      <c r="C79" t="str">
        <f>ToResult(語言列表!C79)</f>
        <v/>
      </c>
    </row>
    <row r="80" spans="1:3">
      <c r="A80" t="str">
        <f>ToResult(語言列表!A80)</f>
        <v/>
      </c>
      <c r="B80" t="str">
        <f>ToResult(語言列表!B80)</f>
        <v/>
      </c>
      <c r="C80" t="str">
        <f>ToResult(語言列表!C80)</f>
        <v/>
      </c>
    </row>
    <row r="81" spans="1:3">
      <c r="A81" t="str">
        <f>ToResult(語言列表!A81)</f>
        <v/>
      </c>
      <c r="B81" t="str">
        <f>ToResult(語言列表!B81)</f>
        <v/>
      </c>
      <c r="C81" t="str">
        <f>ToResult(語言列表!C81)</f>
        <v/>
      </c>
    </row>
    <row r="82" spans="1:3">
      <c r="A82" t="str">
        <f>ToResult(語言列表!A82)</f>
        <v/>
      </c>
      <c r="B82" t="str">
        <f>ToResult(語言列表!B82)</f>
        <v/>
      </c>
      <c r="C82" t="str">
        <f>ToResult(語言列表!C82)</f>
        <v/>
      </c>
    </row>
    <row r="83" spans="1:3">
      <c r="A83" t="str">
        <f>ToResult(語言列表!A83)</f>
        <v/>
      </c>
      <c r="B83" t="str">
        <f>ToResult(語言列表!B83)</f>
        <v/>
      </c>
      <c r="C83" t="str">
        <f>ToResult(語言列表!C83)</f>
        <v/>
      </c>
    </row>
    <row r="84" spans="1:3">
      <c r="A84" t="str">
        <f>ToResult(語言列表!A84)</f>
        <v/>
      </c>
      <c r="B84" t="str">
        <f>ToResult(語言列表!B84)</f>
        <v/>
      </c>
      <c r="C84" t="str">
        <f>ToResult(語言列表!C84)</f>
        <v/>
      </c>
    </row>
    <row r="85" spans="1:3">
      <c r="A85" t="str">
        <f>ToResult(語言列表!A85)</f>
        <v/>
      </c>
      <c r="B85" t="str">
        <f>ToResult(語言列表!B85)</f>
        <v/>
      </c>
      <c r="C85" t="str">
        <f>ToResult(語言列表!C85)</f>
        <v/>
      </c>
    </row>
    <row r="86" spans="1:3">
      <c r="A86" t="str">
        <f>ToResult(語言列表!A86)</f>
        <v/>
      </c>
      <c r="B86" t="str">
        <f>ToResult(語言列表!B86)</f>
        <v/>
      </c>
      <c r="C86" t="str">
        <f>ToResult(語言列表!C86)</f>
        <v/>
      </c>
    </row>
    <row r="87" spans="1:3">
      <c r="A87" t="str">
        <f>ToResult(語言列表!A87)</f>
        <v/>
      </c>
      <c r="B87" t="str">
        <f>ToResult(語言列表!B87)</f>
        <v/>
      </c>
      <c r="C87" t="str">
        <f>ToResult(語言列表!C87)</f>
        <v/>
      </c>
    </row>
    <row r="88" spans="1:3">
      <c r="A88" t="str">
        <f>ToResult(語言列表!A88)</f>
        <v/>
      </c>
      <c r="B88" t="str">
        <f>ToResult(語言列表!B88)</f>
        <v/>
      </c>
      <c r="C88" t="str">
        <f>ToResult(語言列表!C88)</f>
        <v/>
      </c>
    </row>
    <row r="89" spans="1:3">
      <c r="A89" t="str">
        <f>ToResult(語言列表!A89)</f>
        <v/>
      </c>
      <c r="B89" t="str">
        <f>ToResult(語言列表!B89)</f>
        <v/>
      </c>
      <c r="C89" t="str">
        <f>ToResult(語言列表!C89)</f>
        <v/>
      </c>
    </row>
    <row r="90" spans="1:3">
      <c r="A90" t="str">
        <f>ToResult(語言列表!A90)</f>
        <v/>
      </c>
      <c r="B90" t="str">
        <f>ToResult(語言列表!B90)</f>
        <v/>
      </c>
      <c r="C90" t="str">
        <f>ToResult(語言列表!C90)</f>
        <v/>
      </c>
    </row>
    <row r="91" spans="1:3">
      <c r="A91" t="str">
        <f>ToResult(語言列表!A91)</f>
        <v/>
      </c>
      <c r="B91" t="str">
        <f>ToResult(語言列表!B91)</f>
        <v/>
      </c>
      <c r="C91" t="str">
        <f>ToResult(語言列表!C91)</f>
        <v/>
      </c>
    </row>
    <row r="92" spans="1:3">
      <c r="A92" t="str">
        <f>ToResult(語言列表!A92)</f>
        <v/>
      </c>
      <c r="B92" t="str">
        <f>ToResult(語言列表!B92)</f>
        <v/>
      </c>
      <c r="C92" t="str">
        <f>ToResult(語言列表!C92)</f>
        <v/>
      </c>
    </row>
    <row r="93" spans="1:3">
      <c r="A93" t="str">
        <f>ToResult(語言列表!A93)</f>
        <v/>
      </c>
      <c r="B93" t="str">
        <f>ToResult(語言列表!B93)</f>
        <v/>
      </c>
      <c r="C93" t="str">
        <f>ToResult(語言列表!C93)</f>
        <v/>
      </c>
    </row>
    <row r="94" spans="1:3">
      <c r="A94" t="str">
        <f>ToResult(語言列表!A94)</f>
        <v/>
      </c>
      <c r="B94" t="str">
        <f>ToResult(語言列表!B94)</f>
        <v/>
      </c>
      <c r="C94" t="str">
        <f>ToResult(語言列表!C94)</f>
        <v/>
      </c>
    </row>
    <row r="95" spans="1:3">
      <c r="A95" t="str">
        <f>ToResult(語言列表!A95)</f>
        <v/>
      </c>
      <c r="B95" t="str">
        <f>ToResult(語言列表!B95)</f>
        <v/>
      </c>
      <c r="C95" t="str">
        <f>ToResult(語言列表!C95)</f>
        <v/>
      </c>
    </row>
    <row r="96" spans="1:3">
      <c r="A96" t="str">
        <f>ToResult(語言列表!A96)</f>
        <v/>
      </c>
      <c r="B96" t="str">
        <f>ToResult(語言列表!B96)</f>
        <v/>
      </c>
      <c r="C96" t="str">
        <f>ToResult(語言列表!C96)</f>
        <v/>
      </c>
    </row>
    <row r="97" spans="1:3">
      <c r="A97" t="str">
        <f>ToResult(語言列表!A97)</f>
        <v/>
      </c>
      <c r="B97" t="str">
        <f>ToResult(語言列表!B97)</f>
        <v/>
      </c>
      <c r="C97" t="str">
        <f>ToResult(語言列表!C97)</f>
        <v/>
      </c>
    </row>
    <row r="98" spans="1:3">
      <c r="A98" t="str">
        <f>ToResult(語言列表!A98)</f>
        <v/>
      </c>
      <c r="B98" t="str">
        <f>ToResult(語言列表!B98)</f>
        <v/>
      </c>
      <c r="C98" t="str">
        <f>ToResult(語言列表!C98)</f>
        <v/>
      </c>
    </row>
    <row r="99" spans="1:3">
      <c r="A99" t="str">
        <f>ToResult(語言列表!A99)</f>
        <v/>
      </c>
      <c r="B99" t="str">
        <f>ToResult(語言列表!B99)</f>
        <v/>
      </c>
      <c r="C99" t="str">
        <f>ToResult(語言列表!C99)</f>
        <v/>
      </c>
    </row>
    <row r="100" spans="1:3">
      <c r="A100" t="str">
        <f>ToResult(語言列表!A100)</f>
        <v/>
      </c>
      <c r="B100" t="str">
        <f>ToResult(語言列表!B100)</f>
        <v/>
      </c>
      <c r="C100" t="str">
        <f>ToResult(語言列表!C100)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J100"/>
  <sheetViews>
    <sheetView workbookViewId="0">
      <selection activeCell="F6" sqref="F6"/>
    </sheetView>
  </sheetViews>
  <sheetFormatPr defaultRowHeight="16.5"/>
  <cols>
    <col min="1" max="10" width="15.625" customWidth="1"/>
  </cols>
  <sheetData>
    <row r="1" spans="1:10">
      <c r="A1" t="str">
        <f>裝備!A1</f>
        <v>GUID</v>
      </c>
      <c r="B1" t="str">
        <f>裝備!B1</f>
        <v>StrID</v>
      </c>
      <c r="C1" t="str">
        <f>裝備!C1</f>
        <v>Mode</v>
      </c>
      <c r="D1" t="str">
        <f>裝備!D1</f>
        <v>Threat</v>
      </c>
      <c r="E1" t="str">
        <f>裝備!E1</f>
        <v>Gain</v>
      </c>
      <c r="F1" t="str">
        <f>裝備!F1</f>
        <v>Damage</v>
      </c>
      <c r="G1" t="str">
        <f>裝備!G1</f>
        <v>CriticalStrike</v>
      </c>
      <c r="H1" t="str">
        <f>裝備!H1</f>
        <v>FireRate</v>
      </c>
      <c r="I1" t="str">
        <f>裝備!I1</f>
        <v>Range</v>
      </c>
      <c r="J1" t="str">
        <f>裝備!J1</f>
        <v>Resource</v>
      </c>
    </row>
    <row r="2" spans="1:10">
      <c r="A2" t="str">
        <f>ToResult(裝備!A2)</f>
        <v>1</v>
      </c>
      <c r="B2" t="str">
        <f>ToResult(裝備!B2)</f>
        <v>1001</v>
      </c>
      <c r="C2" t="str">
        <f>ToEquipMode(裝備!C2)</f>
        <v>1</v>
      </c>
      <c r="D2" t="str">
        <f>ToResult(裝備!D2)</f>
        <v>3</v>
      </c>
      <c r="E2" t="str">
        <f>ToResult(裝備!E2)</f>
        <v>1</v>
      </c>
      <c r="F2" t="str">
        <f>ToResult(裝備!F2)</f>
        <v>0</v>
      </c>
      <c r="G2" t="str">
        <f>ToResult(裝備!G2)</f>
        <v>0</v>
      </c>
      <c r="H2" t="str">
        <f>ToResult(裝備!H2)</f>
        <v>0</v>
      </c>
      <c r="I2" t="str">
        <f>ToEquipRange(裝備!I2)</f>
        <v>2</v>
      </c>
      <c r="J2" t="str">
        <f>ToEquipResource(裝備!J2)</f>
        <v>1</v>
      </c>
    </row>
    <row r="3" spans="1:10">
      <c r="A3" t="str">
        <f>ToResult(裝備!A3)</f>
        <v>5</v>
      </c>
      <c r="B3" t="str">
        <f>ToResult(裝備!B3)</f>
        <v>1005</v>
      </c>
      <c r="C3" t="str">
        <f>ToEquipMode(裝備!C3)</f>
        <v>2</v>
      </c>
      <c r="D3" t="str">
        <f>ToResult(裝備!D3)</f>
        <v>6</v>
      </c>
      <c r="E3" t="str">
        <f>ToResult(裝備!E3)</f>
        <v>12</v>
      </c>
      <c r="F3" t="str">
        <f>ToResult(裝備!F3)</f>
        <v>30</v>
      </c>
      <c r="G3" t="str">
        <f>ToResult(裝備!G3)</f>
        <v>0</v>
      </c>
      <c r="H3" t="str">
        <f>ToResult(裝備!H3)</f>
        <v>1</v>
      </c>
      <c r="I3" t="str">
        <f>ToEquipRange(裝備!I3)</f>
        <v>2</v>
      </c>
      <c r="J3" t="str">
        <f>ToEquipResource(裝備!J3)</f>
        <v>2</v>
      </c>
    </row>
    <row r="4" spans="1:10">
      <c r="A4" t="str">
        <f>ToResult(裝備!A4)</f>
        <v>6</v>
      </c>
      <c r="B4" t="str">
        <f>ToResult(裝備!B4)</f>
        <v>1006</v>
      </c>
      <c r="C4" t="str">
        <f>ToEquipMode(裝備!C4)</f>
        <v>2</v>
      </c>
      <c r="D4" t="str">
        <f>ToResult(裝備!D4)</f>
        <v>8</v>
      </c>
      <c r="E4" t="str">
        <f>ToResult(裝備!E4)</f>
        <v>10</v>
      </c>
      <c r="F4" t="str">
        <f>ToResult(裝備!F4)</f>
        <v>30</v>
      </c>
      <c r="G4" t="str">
        <f>ToResult(裝備!G4)</f>
        <v>0.2</v>
      </c>
      <c r="H4" t="str">
        <f>ToResult(裝備!H4)</f>
        <v>1</v>
      </c>
      <c r="I4" t="str">
        <f>ToEquipRange(裝備!I4)</f>
        <v>2</v>
      </c>
      <c r="J4" t="str">
        <f>ToEquipResource(裝備!J4)</f>
        <v>2</v>
      </c>
    </row>
    <row r="5" spans="1:10">
      <c r="A5" t="str">
        <f>ToResult(裝備!A5)</f>
        <v>7</v>
      </c>
      <c r="B5" t="str">
        <f>ToResult(裝備!B5)</f>
        <v>1007</v>
      </c>
      <c r="C5" t="str">
        <f>ToEquipMode(裝備!C5)</f>
        <v>2</v>
      </c>
      <c r="D5" t="str">
        <f>ToResult(裝備!D5)</f>
        <v>10</v>
      </c>
      <c r="E5" t="str">
        <f>ToResult(裝備!E5)</f>
        <v>8</v>
      </c>
      <c r="F5" t="str">
        <f>ToResult(裝備!F5)</f>
        <v>60</v>
      </c>
      <c r="G5" t="str">
        <f>ToResult(裝備!G5)</f>
        <v>0.8</v>
      </c>
      <c r="H5" t="str">
        <f>ToResult(裝備!H5)</f>
        <v>2.5</v>
      </c>
      <c r="I5" t="str">
        <f>ToEquipRange(裝備!I5)</f>
        <v>2</v>
      </c>
      <c r="J5" t="str">
        <f>ToEquipResource(裝備!J5)</f>
        <v>2</v>
      </c>
    </row>
    <row r="6" spans="1:10">
      <c r="A6" t="str">
        <f>ToResult(裝備!A6)</f>
        <v>8</v>
      </c>
      <c r="B6" t="str">
        <f>ToResult(裝備!B6)</f>
        <v>1008</v>
      </c>
      <c r="C6" t="str">
        <f>ToEquipMode(裝備!C6)</f>
        <v>2</v>
      </c>
      <c r="D6" t="str">
        <f>ToResult(裝備!D6)</f>
        <v>12</v>
      </c>
      <c r="E6" t="str">
        <f>ToResult(裝備!E6)</f>
        <v>10</v>
      </c>
      <c r="F6" t="str">
        <f>ToResult(裝備!F6)</f>
        <v>20</v>
      </c>
      <c r="G6" t="str">
        <f>ToResult(裝備!G6)</f>
        <v>0.25</v>
      </c>
      <c r="H6" t="str">
        <f>ToResult(裝備!H6)</f>
        <v>0.5</v>
      </c>
      <c r="I6" t="str">
        <f>ToEquipRange(裝備!I6)</f>
        <v>2</v>
      </c>
      <c r="J6" t="str">
        <f>ToEquipResource(裝備!J6)</f>
        <v>3</v>
      </c>
    </row>
    <row r="7" spans="1:10">
      <c r="A7" t="str">
        <f>ToResult(裝備!A7)</f>
        <v>9</v>
      </c>
      <c r="B7" t="str">
        <f>ToResult(裝備!B7)</f>
        <v>1009</v>
      </c>
      <c r="C7" t="str">
        <f>ToEquipMode(裝備!C7)</f>
        <v>2</v>
      </c>
      <c r="D7" t="str">
        <f>ToResult(裝備!D7)</f>
        <v>14</v>
      </c>
      <c r="E7" t="str">
        <f>ToResult(裝備!E7)</f>
        <v>8</v>
      </c>
      <c r="F7" t="str">
        <f>ToResult(裝備!F7)</f>
        <v>40</v>
      </c>
      <c r="G7" t="str">
        <f>ToResult(裝備!G7)</f>
        <v>0.5</v>
      </c>
      <c r="H7" t="str">
        <f>ToResult(裝備!H7)</f>
        <v>1</v>
      </c>
      <c r="I7" t="str">
        <f>ToEquipRange(裝備!I7)</f>
        <v>2</v>
      </c>
      <c r="J7" t="str">
        <f>ToEquipResource(裝備!J7)</f>
        <v>3</v>
      </c>
    </row>
    <row r="8" spans="1:10">
      <c r="A8" t="str">
        <f>ToResult(裝備!A8)</f>
        <v>10</v>
      </c>
      <c r="B8" t="str">
        <f>ToResult(裝備!B8)</f>
        <v>1010</v>
      </c>
      <c r="C8" t="str">
        <f>ToEquipMode(裝備!C8)</f>
        <v>2</v>
      </c>
      <c r="D8" t="str">
        <f>ToResult(裝備!D8)</f>
        <v>16</v>
      </c>
      <c r="E8" t="str">
        <f>ToResult(裝備!E8)</f>
        <v>6</v>
      </c>
      <c r="F8" t="str">
        <f>ToResult(裝備!F8)</f>
        <v>20</v>
      </c>
      <c r="G8" t="str">
        <f>ToResult(裝備!G8)</f>
        <v>0</v>
      </c>
      <c r="H8" t="str">
        <f>ToResult(裝備!H8)</f>
        <v>0.25</v>
      </c>
      <c r="I8" t="str">
        <f>ToEquipRange(裝備!I8)</f>
        <v>2</v>
      </c>
      <c r="J8" t="str">
        <f>ToEquipResource(裝備!J8)</f>
        <v>3</v>
      </c>
    </row>
    <row r="9" spans="1:10">
      <c r="A9" t="str">
        <f>ToResult(裝備!A9)</f>
        <v/>
      </c>
      <c r="B9" t="str">
        <f>ToResult(裝備!B9)</f>
        <v/>
      </c>
      <c r="C9" t="str">
        <f>ToEquipMode(裝備!C9)</f>
        <v/>
      </c>
      <c r="D9" t="str">
        <f>ToResult(裝備!D9)</f>
        <v/>
      </c>
      <c r="E9" t="str">
        <f>ToResult(裝備!E9)</f>
        <v/>
      </c>
      <c r="F9" t="str">
        <f>ToResult(裝備!F9)</f>
        <v/>
      </c>
      <c r="G9" t="str">
        <f>ToResult(裝備!G9)</f>
        <v/>
      </c>
      <c r="H9" t="str">
        <f>ToResult(裝備!H9)</f>
        <v/>
      </c>
      <c r="I9" t="str">
        <f>ToEquipRange(裝備!I9)</f>
        <v/>
      </c>
      <c r="J9" t="str">
        <f>ToEquipResource(裝備!J9)</f>
        <v/>
      </c>
    </row>
    <row r="10" spans="1:10">
      <c r="A10" t="str">
        <f>ToResult(裝備!A10)</f>
        <v/>
      </c>
      <c r="B10" t="str">
        <f>ToResult(裝備!B10)</f>
        <v/>
      </c>
      <c r="C10" t="str">
        <f>ToEquipMode(裝備!C10)</f>
        <v/>
      </c>
      <c r="D10" t="str">
        <f>ToResult(裝備!D10)</f>
        <v/>
      </c>
      <c r="E10" t="str">
        <f>ToResult(裝備!E10)</f>
        <v/>
      </c>
      <c r="F10" t="str">
        <f>ToResult(裝備!F10)</f>
        <v/>
      </c>
      <c r="G10" t="str">
        <f>ToResult(裝備!G10)</f>
        <v/>
      </c>
      <c r="H10" t="str">
        <f>ToResult(裝備!H10)</f>
        <v/>
      </c>
      <c r="I10" t="str">
        <f>ToEquipRange(裝備!I10)</f>
        <v/>
      </c>
      <c r="J10" t="str">
        <f>ToEquipResource(裝備!J10)</f>
        <v/>
      </c>
    </row>
    <row r="11" spans="1:10">
      <c r="A11" t="str">
        <f>ToResult(裝備!A11)</f>
        <v/>
      </c>
      <c r="B11" t="str">
        <f>ToResult(裝備!B11)</f>
        <v/>
      </c>
      <c r="C11" t="str">
        <f>ToEquipMode(裝備!C11)</f>
        <v/>
      </c>
      <c r="D11" t="str">
        <f>ToResult(裝備!D11)</f>
        <v/>
      </c>
      <c r="E11" t="str">
        <f>ToResult(裝備!E11)</f>
        <v/>
      </c>
      <c r="F11" t="str">
        <f>ToResult(裝備!F11)</f>
        <v/>
      </c>
      <c r="G11" t="str">
        <f>ToResult(裝備!G11)</f>
        <v/>
      </c>
      <c r="H11" t="str">
        <f>ToResult(裝備!H11)</f>
        <v/>
      </c>
      <c r="I11" t="str">
        <f>ToEquipRange(裝備!I11)</f>
        <v/>
      </c>
      <c r="J11" t="str">
        <f>ToEquipResource(裝備!J11)</f>
        <v/>
      </c>
    </row>
    <row r="12" spans="1:10">
      <c r="A12" t="str">
        <f>ToResult(裝備!A12)</f>
        <v/>
      </c>
      <c r="B12" t="str">
        <f>ToResult(裝備!B12)</f>
        <v/>
      </c>
      <c r="C12" t="str">
        <f>ToEquipMode(裝備!C12)</f>
        <v/>
      </c>
      <c r="D12" t="str">
        <f>ToResult(裝備!D12)</f>
        <v/>
      </c>
      <c r="E12" t="str">
        <f>ToResult(裝備!E12)</f>
        <v/>
      </c>
      <c r="F12" t="str">
        <f>ToResult(裝備!F12)</f>
        <v/>
      </c>
      <c r="G12" t="str">
        <f>ToResult(裝備!G12)</f>
        <v/>
      </c>
      <c r="H12" t="str">
        <f>ToResult(裝備!H12)</f>
        <v/>
      </c>
      <c r="I12" t="str">
        <f>ToEquipRange(裝備!I12)</f>
        <v/>
      </c>
      <c r="J12" t="str">
        <f>ToEquipResource(裝備!J12)</f>
        <v/>
      </c>
    </row>
    <row r="13" spans="1:10">
      <c r="A13" t="str">
        <f>ToResult(裝備!A13)</f>
        <v/>
      </c>
      <c r="B13" t="str">
        <f>ToResult(裝備!B13)</f>
        <v/>
      </c>
      <c r="C13" t="str">
        <f>ToEquipMode(裝備!C13)</f>
        <v/>
      </c>
      <c r="D13" t="str">
        <f>ToResult(裝備!D13)</f>
        <v/>
      </c>
      <c r="E13" t="str">
        <f>ToResult(裝備!E13)</f>
        <v/>
      </c>
      <c r="F13" t="str">
        <f>ToResult(裝備!F13)</f>
        <v/>
      </c>
      <c r="G13" t="str">
        <f>ToResult(裝備!G13)</f>
        <v/>
      </c>
      <c r="H13" t="str">
        <f>ToResult(裝備!H13)</f>
        <v/>
      </c>
      <c r="I13" t="str">
        <f>ToEquipRange(裝備!I13)</f>
        <v/>
      </c>
      <c r="J13" t="str">
        <f>ToEquipResource(裝備!J13)</f>
        <v/>
      </c>
    </row>
    <row r="14" spans="1:10">
      <c r="A14" t="str">
        <f>ToResult(裝備!A14)</f>
        <v/>
      </c>
      <c r="B14" t="str">
        <f>ToResult(裝備!B14)</f>
        <v/>
      </c>
      <c r="C14" t="str">
        <f>ToEquipMode(裝備!C14)</f>
        <v/>
      </c>
      <c r="D14" t="str">
        <f>ToResult(裝備!D14)</f>
        <v/>
      </c>
      <c r="E14" t="str">
        <f>ToResult(裝備!E14)</f>
        <v/>
      </c>
      <c r="F14" t="str">
        <f>ToResult(裝備!F14)</f>
        <v/>
      </c>
      <c r="G14" t="str">
        <f>ToResult(裝備!G14)</f>
        <v/>
      </c>
      <c r="H14" t="str">
        <f>ToResult(裝備!H14)</f>
        <v/>
      </c>
      <c r="I14" t="str">
        <f>ToEquipRange(裝備!I14)</f>
        <v/>
      </c>
      <c r="J14" t="str">
        <f>ToEquipResource(裝備!J14)</f>
        <v/>
      </c>
    </row>
    <row r="15" spans="1:10">
      <c r="A15" t="str">
        <f>ToResult(裝備!A15)</f>
        <v/>
      </c>
      <c r="B15" t="str">
        <f>ToResult(裝備!B15)</f>
        <v/>
      </c>
      <c r="C15" t="str">
        <f>ToEquipMode(裝備!C15)</f>
        <v/>
      </c>
      <c r="D15" t="str">
        <f>ToResult(裝備!D15)</f>
        <v/>
      </c>
      <c r="E15" t="str">
        <f>ToResult(裝備!E15)</f>
        <v/>
      </c>
      <c r="F15" t="str">
        <f>ToResult(裝備!F15)</f>
        <v/>
      </c>
      <c r="G15" t="str">
        <f>ToResult(裝備!G15)</f>
        <v/>
      </c>
      <c r="H15" t="str">
        <f>ToResult(裝備!H15)</f>
        <v/>
      </c>
      <c r="I15" t="str">
        <f>ToEquipRange(裝備!I15)</f>
        <v/>
      </c>
      <c r="J15" t="str">
        <f>ToEquipResource(裝備!J15)</f>
        <v/>
      </c>
    </row>
    <row r="16" spans="1:10">
      <c r="A16" t="str">
        <f>ToResult(裝備!A16)</f>
        <v/>
      </c>
      <c r="B16" t="str">
        <f>ToResult(裝備!B16)</f>
        <v/>
      </c>
      <c r="C16" t="str">
        <f>ToEquipMode(裝備!C16)</f>
        <v/>
      </c>
      <c r="D16" t="str">
        <f>ToResult(裝備!D16)</f>
        <v/>
      </c>
      <c r="E16" t="str">
        <f>ToResult(裝備!E16)</f>
        <v/>
      </c>
      <c r="F16" t="str">
        <f>ToResult(裝備!F16)</f>
        <v/>
      </c>
      <c r="G16" t="str">
        <f>ToResult(裝備!G16)</f>
        <v/>
      </c>
      <c r="H16" t="str">
        <f>ToResult(裝備!H16)</f>
        <v/>
      </c>
      <c r="I16" t="str">
        <f>ToEquipRange(裝備!I16)</f>
        <v/>
      </c>
      <c r="J16" t="str">
        <f>ToEquipResource(裝備!J16)</f>
        <v/>
      </c>
    </row>
    <row r="17" spans="1:10">
      <c r="A17" t="str">
        <f>ToResult(裝備!A17)</f>
        <v/>
      </c>
      <c r="B17" t="str">
        <f>ToResult(裝備!B17)</f>
        <v/>
      </c>
      <c r="C17" t="str">
        <f>ToEquipMode(裝備!C17)</f>
        <v/>
      </c>
      <c r="D17" t="str">
        <f>ToResult(裝備!D17)</f>
        <v/>
      </c>
      <c r="E17" t="str">
        <f>ToResult(裝備!E17)</f>
        <v/>
      </c>
      <c r="F17" t="str">
        <f>ToResult(裝備!F17)</f>
        <v/>
      </c>
      <c r="G17" t="str">
        <f>ToResult(裝備!G17)</f>
        <v/>
      </c>
      <c r="H17" t="str">
        <f>ToResult(裝備!H17)</f>
        <v/>
      </c>
      <c r="I17" t="str">
        <f>ToEquipRange(裝備!I17)</f>
        <v/>
      </c>
      <c r="J17" t="str">
        <f>ToEquipResource(裝備!J17)</f>
        <v/>
      </c>
    </row>
    <row r="18" spans="1:10">
      <c r="A18" t="str">
        <f>ToResult(裝備!A18)</f>
        <v/>
      </c>
      <c r="B18" t="str">
        <f>ToResult(裝備!B18)</f>
        <v/>
      </c>
      <c r="C18" t="str">
        <f>ToEquipMode(裝備!C18)</f>
        <v/>
      </c>
      <c r="D18" t="str">
        <f>ToResult(裝備!D18)</f>
        <v/>
      </c>
      <c r="E18" t="str">
        <f>ToResult(裝備!E18)</f>
        <v/>
      </c>
      <c r="F18" t="str">
        <f>ToResult(裝備!F18)</f>
        <v/>
      </c>
      <c r="G18" t="str">
        <f>ToResult(裝備!G18)</f>
        <v/>
      </c>
      <c r="H18" t="str">
        <f>ToResult(裝備!H18)</f>
        <v/>
      </c>
      <c r="I18" t="str">
        <f>ToEquipRange(裝備!I18)</f>
        <v/>
      </c>
      <c r="J18" t="str">
        <f>ToEquipResource(裝備!J18)</f>
        <v/>
      </c>
    </row>
    <row r="19" spans="1:10">
      <c r="A19" t="str">
        <f>ToResult(裝備!A19)</f>
        <v/>
      </c>
      <c r="B19" t="str">
        <f>ToResult(裝備!B19)</f>
        <v/>
      </c>
      <c r="C19" t="str">
        <f>ToEquipMode(裝備!C19)</f>
        <v/>
      </c>
      <c r="D19" t="str">
        <f>ToResult(裝備!D19)</f>
        <v/>
      </c>
      <c r="E19" t="str">
        <f>ToResult(裝備!E19)</f>
        <v/>
      </c>
      <c r="F19" t="str">
        <f>ToResult(裝備!F19)</f>
        <v/>
      </c>
      <c r="G19" t="str">
        <f>ToResult(裝備!G19)</f>
        <v/>
      </c>
      <c r="H19" t="str">
        <f>ToResult(裝備!H19)</f>
        <v/>
      </c>
      <c r="I19" t="str">
        <f>ToEquipRange(裝備!I19)</f>
        <v/>
      </c>
      <c r="J19" t="str">
        <f>ToEquipResource(裝備!J19)</f>
        <v/>
      </c>
    </row>
    <row r="20" spans="1:10">
      <c r="A20" t="str">
        <f>ToResult(裝備!A20)</f>
        <v/>
      </c>
      <c r="B20" t="str">
        <f>ToResult(裝備!B20)</f>
        <v/>
      </c>
      <c r="C20" t="str">
        <f>ToEquipMode(裝備!C20)</f>
        <v/>
      </c>
      <c r="D20" t="str">
        <f>ToResult(裝備!D20)</f>
        <v/>
      </c>
      <c r="E20" t="str">
        <f>ToResult(裝備!E20)</f>
        <v/>
      </c>
      <c r="F20" t="str">
        <f>ToResult(裝備!F20)</f>
        <v/>
      </c>
      <c r="G20" t="str">
        <f>ToResult(裝備!G20)</f>
        <v/>
      </c>
      <c r="H20" t="str">
        <f>ToResult(裝備!H20)</f>
        <v/>
      </c>
      <c r="I20" t="str">
        <f>ToEquipRange(裝備!I20)</f>
        <v/>
      </c>
      <c r="J20" t="str">
        <f>ToEquipResource(裝備!J20)</f>
        <v/>
      </c>
    </row>
    <row r="21" spans="1:10">
      <c r="A21" t="str">
        <f>ToResult(裝備!A21)</f>
        <v/>
      </c>
      <c r="B21" t="str">
        <f>ToResult(裝備!B21)</f>
        <v/>
      </c>
      <c r="C21" t="str">
        <f>ToEquipMode(裝備!C21)</f>
        <v/>
      </c>
      <c r="D21" t="str">
        <f>ToResult(裝備!D21)</f>
        <v/>
      </c>
      <c r="E21" t="str">
        <f>ToResult(裝備!E21)</f>
        <v/>
      </c>
      <c r="F21" t="str">
        <f>ToResult(裝備!F21)</f>
        <v/>
      </c>
      <c r="G21" t="str">
        <f>ToResult(裝備!G21)</f>
        <v/>
      </c>
      <c r="H21" t="str">
        <f>ToResult(裝備!H21)</f>
        <v/>
      </c>
      <c r="I21" t="str">
        <f>ToEquipRange(裝備!I21)</f>
        <v/>
      </c>
      <c r="J21" t="str">
        <f>ToEquipResource(裝備!J21)</f>
        <v/>
      </c>
    </row>
    <row r="22" spans="1:10">
      <c r="A22" t="str">
        <f>ToResult(裝備!A22)</f>
        <v/>
      </c>
      <c r="B22" t="str">
        <f>ToResult(裝備!B22)</f>
        <v/>
      </c>
      <c r="C22" t="str">
        <f>ToEquipMode(裝備!C22)</f>
        <v/>
      </c>
      <c r="D22" t="str">
        <f>ToResult(裝備!D22)</f>
        <v/>
      </c>
      <c r="E22" t="str">
        <f>ToResult(裝備!E22)</f>
        <v/>
      </c>
      <c r="F22" t="str">
        <f>ToResult(裝備!F22)</f>
        <v/>
      </c>
      <c r="G22" t="str">
        <f>ToResult(裝備!G22)</f>
        <v/>
      </c>
      <c r="H22" t="str">
        <f>ToResult(裝備!H22)</f>
        <v/>
      </c>
      <c r="I22" t="str">
        <f>ToEquipRange(裝備!I22)</f>
        <v/>
      </c>
      <c r="J22" t="str">
        <f>ToEquipResource(裝備!J22)</f>
        <v/>
      </c>
    </row>
    <row r="23" spans="1:10">
      <c r="A23" t="str">
        <f>ToResult(裝備!A23)</f>
        <v/>
      </c>
      <c r="B23" t="str">
        <f>ToResult(裝備!B23)</f>
        <v/>
      </c>
      <c r="C23" t="str">
        <f>ToEquipMode(裝備!C23)</f>
        <v/>
      </c>
      <c r="D23" t="str">
        <f>ToResult(裝備!D23)</f>
        <v/>
      </c>
      <c r="E23" t="str">
        <f>ToResult(裝備!E23)</f>
        <v/>
      </c>
      <c r="F23" t="str">
        <f>ToResult(裝備!F23)</f>
        <v/>
      </c>
      <c r="G23" t="str">
        <f>ToResult(裝備!G23)</f>
        <v/>
      </c>
      <c r="H23" t="str">
        <f>ToResult(裝備!H23)</f>
        <v/>
      </c>
      <c r="I23" t="str">
        <f>ToEquipRange(裝備!I23)</f>
        <v/>
      </c>
      <c r="J23" t="str">
        <f>ToEquipResource(裝備!J23)</f>
        <v/>
      </c>
    </row>
    <row r="24" spans="1:10">
      <c r="A24" t="str">
        <f>ToResult(裝備!A24)</f>
        <v/>
      </c>
      <c r="B24" t="str">
        <f>ToResult(裝備!B24)</f>
        <v/>
      </c>
      <c r="C24" t="str">
        <f>ToEquipMode(裝備!C24)</f>
        <v/>
      </c>
      <c r="D24" t="str">
        <f>ToResult(裝備!D24)</f>
        <v/>
      </c>
      <c r="E24" t="str">
        <f>ToResult(裝備!E24)</f>
        <v/>
      </c>
      <c r="F24" t="str">
        <f>ToResult(裝備!F24)</f>
        <v/>
      </c>
      <c r="G24" t="str">
        <f>ToResult(裝備!G24)</f>
        <v/>
      </c>
      <c r="H24" t="str">
        <f>ToResult(裝備!H24)</f>
        <v/>
      </c>
      <c r="I24" t="str">
        <f>ToEquipRange(裝備!I24)</f>
        <v/>
      </c>
      <c r="J24" t="str">
        <f>ToEquipResource(裝備!J24)</f>
        <v/>
      </c>
    </row>
    <row r="25" spans="1:10">
      <c r="A25" t="str">
        <f>ToResult(裝備!A25)</f>
        <v/>
      </c>
      <c r="B25" t="str">
        <f>ToResult(裝備!B25)</f>
        <v/>
      </c>
      <c r="C25" t="str">
        <f>ToEquipMode(裝備!C25)</f>
        <v/>
      </c>
      <c r="D25" t="str">
        <f>ToResult(裝備!D25)</f>
        <v/>
      </c>
      <c r="E25" t="str">
        <f>ToResult(裝備!E25)</f>
        <v/>
      </c>
      <c r="F25" t="str">
        <f>ToResult(裝備!F25)</f>
        <v/>
      </c>
      <c r="G25" t="str">
        <f>ToResult(裝備!G25)</f>
        <v/>
      </c>
      <c r="H25" t="str">
        <f>ToResult(裝備!H25)</f>
        <v/>
      </c>
      <c r="I25" t="str">
        <f>ToEquipRange(裝備!I25)</f>
        <v/>
      </c>
      <c r="J25" t="str">
        <f>ToEquipResource(裝備!J25)</f>
        <v/>
      </c>
    </row>
    <row r="26" spans="1:10">
      <c r="A26" t="str">
        <f>ToResult(裝備!A26)</f>
        <v/>
      </c>
      <c r="B26" t="str">
        <f>ToResult(裝備!B26)</f>
        <v/>
      </c>
      <c r="C26" t="str">
        <f>ToEquipMode(裝備!C26)</f>
        <v/>
      </c>
      <c r="D26" t="str">
        <f>ToResult(裝備!D26)</f>
        <v/>
      </c>
      <c r="E26" t="str">
        <f>ToResult(裝備!E26)</f>
        <v/>
      </c>
      <c r="F26" t="str">
        <f>ToResult(裝備!F26)</f>
        <v/>
      </c>
      <c r="G26" t="str">
        <f>ToResult(裝備!G26)</f>
        <v/>
      </c>
      <c r="H26" t="str">
        <f>ToResult(裝備!H26)</f>
        <v/>
      </c>
      <c r="I26" t="str">
        <f>ToEquipRange(裝備!I26)</f>
        <v/>
      </c>
      <c r="J26" t="str">
        <f>ToEquipResource(裝備!J26)</f>
        <v/>
      </c>
    </row>
    <row r="27" spans="1:10">
      <c r="A27" t="str">
        <f>ToResult(裝備!A27)</f>
        <v/>
      </c>
      <c r="B27" t="str">
        <f>ToResult(裝備!B27)</f>
        <v/>
      </c>
      <c r="C27" t="str">
        <f>ToEquipMode(裝備!C27)</f>
        <v/>
      </c>
      <c r="D27" t="str">
        <f>ToResult(裝備!D27)</f>
        <v/>
      </c>
      <c r="E27" t="str">
        <f>ToResult(裝備!E27)</f>
        <v/>
      </c>
      <c r="F27" t="str">
        <f>ToResult(裝備!F27)</f>
        <v/>
      </c>
      <c r="G27" t="str">
        <f>ToResult(裝備!G27)</f>
        <v/>
      </c>
      <c r="H27" t="str">
        <f>ToResult(裝備!H27)</f>
        <v/>
      </c>
      <c r="I27" t="str">
        <f>ToEquipRange(裝備!I27)</f>
        <v/>
      </c>
      <c r="J27" t="str">
        <f>ToEquipResource(裝備!J27)</f>
        <v/>
      </c>
    </row>
    <row r="28" spans="1:10">
      <c r="A28" t="str">
        <f>ToResult(裝備!A28)</f>
        <v/>
      </c>
      <c r="B28" t="str">
        <f>ToResult(裝備!B28)</f>
        <v/>
      </c>
      <c r="C28" t="str">
        <f>ToEquipMode(裝備!C28)</f>
        <v/>
      </c>
      <c r="D28" t="str">
        <f>ToResult(裝備!D28)</f>
        <v/>
      </c>
      <c r="E28" t="str">
        <f>ToResult(裝備!E28)</f>
        <v/>
      </c>
      <c r="F28" t="str">
        <f>ToResult(裝備!F28)</f>
        <v/>
      </c>
      <c r="G28" t="str">
        <f>ToResult(裝備!G28)</f>
        <v/>
      </c>
      <c r="H28" t="str">
        <f>ToResult(裝備!H28)</f>
        <v/>
      </c>
      <c r="I28" t="str">
        <f>ToEquipRange(裝備!I28)</f>
        <v/>
      </c>
      <c r="J28" t="str">
        <f>ToEquipResource(裝備!J28)</f>
        <v/>
      </c>
    </row>
    <row r="29" spans="1:10">
      <c r="A29" t="str">
        <f>ToResult(裝備!A29)</f>
        <v/>
      </c>
      <c r="B29" t="str">
        <f>ToResult(裝備!B29)</f>
        <v/>
      </c>
      <c r="C29" t="str">
        <f>ToEquipMode(裝備!C29)</f>
        <v/>
      </c>
      <c r="D29" t="str">
        <f>ToResult(裝備!D29)</f>
        <v/>
      </c>
      <c r="E29" t="str">
        <f>ToResult(裝備!E29)</f>
        <v/>
      </c>
      <c r="F29" t="str">
        <f>ToResult(裝備!F29)</f>
        <v/>
      </c>
      <c r="G29" t="str">
        <f>ToResult(裝備!G29)</f>
        <v/>
      </c>
      <c r="H29" t="str">
        <f>ToResult(裝備!H29)</f>
        <v/>
      </c>
      <c r="I29" t="str">
        <f>ToEquipRange(裝備!I29)</f>
        <v/>
      </c>
      <c r="J29" t="str">
        <f>ToEquipResource(裝備!J29)</f>
        <v/>
      </c>
    </row>
    <row r="30" spans="1:10">
      <c r="A30" t="str">
        <f>ToResult(裝備!A30)</f>
        <v/>
      </c>
      <c r="B30" t="str">
        <f>ToResult(裝備!B30)</f>
        <v/>
      </c>
      <c r="C30" t="str">
        <f>ToEquipMode(裝備!C30)</f>
        <v/>
      </c>
      <c r="D30" t="str">
        <f>ToResult(裝備!D30)</f>
        <v/>
      </c>
      <c r="E30" t="str">
        <f>ToResult(裝備!E30)</f>
        <v/>
      </c>
      <c r="F30" t="str">
        <f>ToResult(裝備!F30)</f>
        <v/>
      </c>
      <c r="G30" t="str">
        <f>ToResult(裝備!G30)</f>
        <v/>
      </c>
      <c r="H30" t="str">
        <f>ToResult(裝備!H30)</f>
        <v/>
      </c>
      <c r="I30" t="str">
        <f>ToEquipRange(裝備!I30)</f>
        <v/>
      </c>
      <c r="J30" t="str">
        <f>ToEquipResource(裝備!J30)</f>
        <v/>
      </c>
    </row>
    <row r="31" spans="1:10">
      <c r="A31" t="str">
        <f>ToResult(裝備!A31)</f>
        <v/>
      </c>
      <c r="B31" t="str">
        <f>ToResult(裝備!B31)</f>
        <v/>
      </c>
      <c r="C31" t="str">
        <f>ToEquipMode(裝備!C31)</f>
        <v/>
      </c>
      <c r="D31" t="str">
        <f>ToResult(裝備!D31)</f>
        <v/>
      </c>
      <c r="E31" t="str">
        <f>ToResult(裝備!E31)</f>
        <v/>
      </c>
      <c r="F31" t="str">
        <f>ToResult(裝備!F31)</f>
        <v/>
      </c>
      <c r="G31" t="str">
        <f>ToResult(裝備!G31)</f>
        <v/>
      </c>
      <c r="H31" t="str">
        <f>ToResult(裝備!H31)</f>
        <v/>
      </c>
      <c r="I31" t="str">
        <f>ToEquipRange(裝備!I31)</f>
        <v/>
      </c>
      <c r="J31" t="str">
        <f>ToEquipResource(裝備!J31)</f>
        <v/>
      </c>
    </row>
    <row r="32" spans="1:10">
      <c r="A32" t="str">
        <f>ToResult(裝備!A32)</f>
        <v/>
      </c>
      <c r="B32" t="str">
        <f>ToResult(裝備!B32)</f>
        <v/>
      </c>
      <c r="C32" t="str">
        <f>ToEquipMode(裝備!C32)</f>
        <v/>
      </c>
      <c r="D32" t="str">
        <f>ToResult(裝備!D32)</f>
        <v/>
      </c>
      <c r="E32" t="str">
        <f>ToResult(裝備!E32)</f>
        <v/>
      </c>
      <c r="F32" t="str">
        <f>ToResult(裝備!F32)</f>
        <v/>
      </c>
      <c r="G32" t="str">
        <f>ToResult(裝備!G32)</f>
        <v/>
      </c>
      <c r="H32" t="str">
        <f>ToResult(裝備!H32)</f>
        <v/>
      </c>
      <c r="I32" t="str">
        <f>ToEquipRange(裝備!I32)</f>
        <v/>
      </c>
      <c r="J32" t="str">
        <f>ToEquipResource(裝備!J32)</f>
        <v/>
      </c>
    </row>
    <row r="33" spans="1:10">
      <c r="A33" t="str">
        <f>ToResult(裝備!A33)</f>
        <v/>
      </c>
      <c r="B33" t="str">
        <f>ToResult(裝備!B33)</f>
        <v/>
      </c>
      <c r="C33" t="str">
        <f>ToEquipMode(裝備!C33)</f>
        <v/>
      </c>
      <c r="D33" t="str">
        <f>ToResult(裝備!D33)</f>
        <v/>
      </c>
      <c r="E33" t="str">
        <f>ToResult(裝備!E33)</f>
        <v/>
      </c>
      <c r="F33" t="str">
        <f>ToResult(裝備!F33)</f>
        <v/>
      </c>
      <c r="G33" t="str">
        <f>ToResult(裝備!G33)</f>
        <v/>
      </c>
      <c r="H33" t="str">
        <f>ToResult(裝備!H33)</f>
        <v/>
      </c>
      <c r="I33" t="str">
        <f>ToEquipRange(裝備!I33)</f>
        <v/>
      </c>
      <c r="J33" t="str">
        <f>ToEquipResource(裝備!J33)</f>
        <v/>
      </c>
    </row>
    <row r="34" spans="1:10">
      <c r="A34" t="str">
        <f>ToResult(裝備!A34)</f>
        <v/>
      </c>
      <c r="B34" t="str">
        <f>ToResult(裝備!B34)</f>
        <v/>
      </c>
      <c r="C34" t="str">
        <f>ToEquipMode(裝備!C34)</f>
        <v/>
      </c>
      <c r="D34" t="str">
        <f>ToResult(裝備!D34)</f>
        <v/>
      </c>
      <c r="E34" t="str">
        <f>ToResult(裝備!E34)</f>
        <v/>
      </c>
      <c r="F34" t="str">
        <f>ToResult(裝備!F34)</f>
        <v/>
      </c>
      <c r="G34" t="str">
        <f>ToResult(裝備!G34)</f>
        <v/>
      </c>
      <c r="H34" t="str">
        <f>ToResult(裝備!H34)</f>
        <v/>
      </c>
      <c r="I34" t="str">
        <f>ToEquipRange(裝備!I34)</f>
        <v/>
      </c>
      <c r="J34" t="str">
        <f>ToEquipResource(裝備!J34)</f>
        <v/>
      </c>
    </row>
    <row r="35" spans="1:10">
      <c r="A35" t="str">
        <f>ToResult(裝備!A35)</f>
        <v/>
      </c>
      <c r="B35" t="str">
        <f>ToResult(裝備!B35)</f>
        <v/>
      </c>
      <c r="C35" t="str">
        <f>ToEquipMode(裝備!C35)</f>
        <v/>
      </c>
      <c r="D35" t="str">
        <f>ToResult(裝備!D35)</f>
        <v/>
      </c>
      <c r="E35" t="str">
        <f>ToResult(裝備!E35)</f>
        <v/>
      </c>
      <c r="F35" t="str">
        <f>ToResult(裝備!F35)</f>
        <v/>
      </c>
      <c r="G35" t="str">
        <f>ToResult(裝備!G35)</f>
        <v/>
      </c>
      <c r="H35" t="str">
        <f>ToResult(裝備!H35)</f>
        <v/>
      </c>
      <c r="I35" t="str">
        <f>ToEquipRange(裝備!I35)</f>
        <v/>
      </c>
      <c r="J35" t="str">
        <f>ToEquipResource(裝備!J35)</f>
        <v/>
      </c>
    </row>
    <row r="36" spans="1:10">
      <c r="A36" t="str">
        <f>ToResult(裝備!A36)</f>
        <v/>
      </c>
      <c r="B36" t="str">
        <f>ToResult(裝備!B36)</f>
        <v/>
      </c>
      <c r="C36" t="str">
        <f>ToEquipMode(裝備!C36)</f>
        <v/>
      </c>
      <c r="D36" t="str">
        <f>ToResult(裝備!D36)</f>
        <v/>
      </c>
      <c r="E36" t="str">
        <f>ToResult(裝備!E36)</f>
        <v/>
      </c>
      <c r="F36" t="str">
        <f>ToResult(裝備!F36)</f>
        <v/>
      </c>
      <c r="G36" t="str">
        <f>ToResult(裝備!G36)</f>
        <v/>
      </c>
      <c r="H36" t="str">
        <f>ToResult(裝備!H36)</f>
        <v/>
      </c>
      <c r="I36" t="str">
        <f>ToEquipRange(裝備!I36)</f>
        <v/>
      </c>
      <c r="J36" t="str">
        <f>ToEquipResource(裝備!J36)</f>
        <v/>
      </c>
    </row>
    <row r="37" spans="1:10">
      <c r="A37" t="str">
        <f>ToResult(裝備!A37)</f>
        <v/>
      </c>
      <c r="B37" t="str">
        <f>ToResult(裝備!B37)</f>
        <v/>
      </c>
      <c r="C37" t="str">
        <f>ToEquipMode(裝備!C37)</f>
        <v/>
      </c>
      <c r="D37" t="str">
        <f>ToResult(裝備!D37)</f>
        <v/>
      </c>
      <c r="E37" t="str">
        <f>ToResult(裝備!E37)</f>
        <v/>
      </c>
      <c r="F37" t="str">
        <f>ToResult(裝備!F37)</f>
        <v/>
      </c>
      <c r="G37" t="str">
        <f>ToResult(裝備!G37)</f>
        <v/>
      </c>
      <c r="H37" t="str">
        <f>ToResult(裝備!H37)</f>
        <v/>
      </c>
      <c r="I37" t="str">
        <f>ToEquipRange(裝備!I37)</f>
        <v/>
      </c>
      <c r="J37" t="str">
        <f>ToEquipResource(裝備!J37)</f>
        <v/>
      </c>
    </row>
    <row r="38" spans="1:10">
      <c r="A38" t="str">
        <f>ToResult(裝備!A38)</f>
        <v/>
      </c>
      <c r="B38" t="str">
        <f>ToResult(裝備!B38)</f>
        <v/>
      </c>
      <c r="C38" t="str">
        <f>ToEquipMode(裝備!C38)</f>
        <v/>
      </c>
      <c r="D38" t="str">
        <f>ToResult(裝備!D38)</f>
        <v/>
      </c>
      <c r="E38" t="str">
        <f>ToResult(裝備!E38)</f>
        <v/>
      </c>
      <c r="F38" t="str">
        <f>ToResult(裝備!F38)</f>
        <v/>
      </c>
      <c r="G38" t="str">
        <f>ToResult(裝備!G38)</f>
        <v/>
      </c>
      <c r="H38" t="str">
        <f>ToResult(裝備!H38)</f>
        <v/>
      </c>
      <c r="I38" t="str">
        <f>ToEquipRange(裝備!I38)</f>
        <v/>
      </c>
      <c r="J38" t="str">
        <f>ToEquipResource(裝備!J38)</f>
        <v/>
      </c>
    </row>
    <row r="39" spans="1:10">
      <c r="A39" t="str">
        <f>ToResult(裝備!A39)</f>
        <v/>
      </c>
      <c r="B39" t="str">
        <f>ToResult(裝備!B39)</f>
        <v/>
      </c>
      <c r="C39" t="str">
        <f>ToEquipMode(裝備!C39)</f>
        <v/>
      </c>
      <c r="D39" t="str">
        <f>ToResult(裝備!D39)</f>
        <v/>
      </c>
      <c r="E39" t="str">
        <f>ToResult(裝備!E39)</f>
        <v/>
      </c>
      <c r="F39" t="str">
        <f>ToResult(裝備!F39)</f>
        <v/>
      </c>
      <c r="G39" t="str">
        <f>ToResult(裝備!G39)</f>
        <v/>
      </c>
      <c r="H39" t="str">
        <f>ToResult(裝備!H39)</f>
        <v/>
      </c>
      <c r="I39" t="str">
        <f>ToEquipRange(裝備!I39)</f>
        <v/>
      </c>
      <c r="J39" t="str">
        <f>ToEquipResource(裝備!J39)</f>
        <v/>
      </c>
    </row>
    <row r="40" spans="1:10">
      <c r="A40" t="str">
        <f>ToResult(裝備!A40)</f>
        <v/>
      </c>
      <c r="B40" t="str">
        <f>ToResult(裝備!B40)</f>
        <v/>
      </c>
      <c r="C40" t="str">
        <f>ToEquipMode(裝備!C40)</f>
        <v/>
      </c>
      <c r="D40" t="str">
        <f>ToResult(裝備!D40)</f>
        <v/>
      </c>
      <c r="E40" t="str">
        <f>ToResult(裝備!E40)</f>
        <v/>
      </c>
      <c r="F40" t="str">
        <f>ToResult(裝備!F40)</f>
        <v/>
      </c>
      <c r="G40" t="str">
        <f>ToResult(裝備!G40)</f>
        <v/>
      </c>
      <c r="H40" t="str">
        <f>ToResult(裝備!H40)</f>
        <v/>
      </c>
      <c r="I40" t="str">
        <f>ToEquipRange(裝備!I40)</f>
        <v/>
      </c>
      <c r="J40" t="str">
        <f>ToEquipResource(裝備!J40)</f>
        <v/>
      </c>
    </row>
    <row r="41" spans="1:10">
      <c r="A41" t="str">
        <f>ToResult(裝備!A41)</f>
        <v/>
      </c>
      <c r="B41" t="str">
        <f>ToResult(裝備!B41)</f>
        <v/>
      </c>
      <c r="C41" t="str">
        <f>ToEquipMode(裝備!C41)</f>
        <v/>
      </c>
      <c r="D41" t="str">
        <f>ToResult(裝備!D41)</f>
        <v/>
      </c>
      <c r="E41" t="str">
        <f>ToResult(裝備!E41)</f>
        <v/>
      </c>
      <c r="F41" t="str">
        <f>ToResult(裝備!F41)</f>
        <v/>
      </c>
      <c r="G41" t="str">
        <f>ToResult(裝備!G41)</f>
        <v/>
      </c>
      <c r="H41" t="str">
        <f>ToResult(裝備!H41)</f>
        <v/>
      </c>
      <c r="I41" t="str">
        <f>ToEquipRange(裝備!I41)</f>
        <v/>
      </c>
      <c r="J41" t="str">
        <f>ToEquipResource(裝備!J41)</f>
        <v/>
      </c>
    </row>
    <row r="42" spans="1:10">
      <c r="A42" t="str">
        <f>ToResult(裝備!A42)</f>
        <v/>
      </c>
      <c r="B42" t="str">
        <f>ToResult(裝備!B42)</f>
        <v/>
      </c>
      <c r="C42" t="str">
        <f>ToEquipMode(裝備!C42)</f>
        <v/>
      </c>
      <c r="D42" t="str">
        <f>ToResult(裝備!D42)</f>
        <v/>
      </c>
      <c r="E42" t="str">
        <f>ToResult(裝備!E42)</f>
        <v/>
      </c>
      <c r="F42" t="str">
        <f>ToResult(裝備!F42)</f>
        <v/>
      </c>
      <c r="G42" t="str">
        <f>ToResult(裝備!G42)</f>
        <v/>
      </c>
      <c r="H42" t="str">
        <f>ToResult(裝備!H42)</f>
        <v/>
      </c>
      <c r="I42" t="str">
        <f>ToEquipRange(裝備!I42)</f>
        <v/>
      </c>
      <c r="J42" t="str">
        <f>ToEquipResource(裝備!J42)</f>
        <v/>
      </c>
    </row>
    <row r="43" spans="1:10">
      <c r="A43" t="str">
        <f>ToResult(裝備!A43)</f>
        <v/>
      </c>
      <c r="B43" t="str">
        <f>ToResult(裝備!B43)</f>
        <v/>
      </c>
      <c r="C43" t="str">
        <f>ToEquipMode(裝備!C43)</f>
        <v/>
      </c>
      <c r="D43" t="str">
        <f>ToResult(裝備!D43)</f>
        <v/>
      </c>
      <c r="E43" t="str">
        <f>ToResult(裝備!E43)</f>
        <v/>
      </c>
      <c r="F43" t="str">
        <f>ToResult(裝備!F43)</f>
        <v/>
      </c>
      <c r="G43" t="str">
        <f>ToResult(裝備!G43)</f>
        <v/>
      </c>
      <c r="H43" t="str">
        <f>ToResult(裝備!H43)</f>
        <v/>
      </c>
      <c r="I43" t="str">
        <f>ToEquipRange(裝備!I43)</f>
        <v/>
      </c>
      <c r="J43" t="str">
        <f>ToEquipResource(裝備!J43)</f>
        <v/>
      </c>
    </row>
    <row r="44" spans="1:10">
      <c r="A44" t="str">
        <f>ToResult(裝備!A44)</f>
        <v/>
      </c>
      <c r="B44" t="str">
        <f>ToResult(裝備!B44)</f>
        <v/>
      </c>
      <c r="C44" t="str">
        <f>ToEquipMode(裝備!C44)</f>
        <v/>
      </c>
      <c r="D44" t="str">
        <f>ToResult(裝備!D44)</f>
        <v/>
      </c>
      <c r="E44" t="str">
        <f>ToResult(裝備!E44)</f>
        <v/>
      </c>
      <c r="F44" t="str">
        <f>ToResult(裝備!F44)</f>
        <v/>
      </c>
      <c r="G44" t="str">
        <f>ToResult(裝備!G44)</f>
        <v/>
      </c>
      <c r="H44" t="str">
        <f>ToResult(裝備!H44)</f>
        <v/>
      </c>
      <c r="I44" t="str">
        <f>ToEquipRange(裝備!I44)</f>
        <v/>
      </c>
      <c r="J44" t="str">
        <f>ToEquipResource(裝備!J44)</f>
        <v/>
      </c>
    </row>
    <row r="45" spans="1:10">
      <c r="A45" t="str">
        <f>ToResult(裝備!A45)</f>
        <v/>
      </c>
      <c r="B45" t="str">
        <f>ToResult(裝備!B45)</f>
        <v/>
      </c>
      <c r="C45" t="str">
        <f>ToEquipMode(裝備!C45)</f>
        <v/>
      </c>
      <c r="D45" t="str">
        <f>ToResult(裝備!D45)</f>
        <v/>
      </c>
      <c r="E45" t="str">
        <f>ToResult(裝備!E45)</f>
        <v/>
      </c>
      <c r="F45" t="str">
        <f>ToResult(裝備!F45)</f>
        <v/>
      </c>
      <c r="G45" t="str">
        <f>ToResult(裝備!G45)</f>
        <v/>
      </c>
      <c r="H45" t="str">
        <f>ToResult(裝備!H45)</f>
        <v/>
      </c>
      <c r="I45" t="str">
        <f>ToEquipRange(裝備!I45)</f>
        <v/>
      </c>
      <c r="J45" t="str">
        <f>ToEquipResource(裝備!J45)</f>
        <v/>
      </c>
    </row>
    <row r="46" spans="1:10">
      <c r="A46" t="str">
        <f>ToResult(裝備!A46)</f>
        <v/>
      </c>
      <c r="B46" t="str">
        <f>ToResult(裝備!B46)</f>
        <v/>
      </c>
      <c r="C46" t="str">
        <f>ToEquipMode(裝備!C46)</f>
        <v/>
      </c>
      <c r="D46" t="str">
        <f>ToResult(裝備!D46)</f>
        <v/>
      </c>
      <c r="E46" t="str">
        <f>ToResult(裝備!E46)</f>
        <v/>
      </c>
      <c r="F46" t="str">
        <f>ToResult(裝備!F46)</f>
        <v/>
      </c>
      <c r="G46" t="str">
        <f>ToResult(裝備!G46)</f>
        <v/>
      </c>
      <c r="H46" t="str">
        <f>ToResult(裝備!H46)</f>
        <v/>
      </c>
      <c r="I46" t="str">
        <f>ToEquipRange(裝備!I46)</f>
        <v/>
      </c>
      <c r="J46" t="str">
        <f>ToEquipResource(裝備!J46)</f>
        <v/>
      </c>
    </row>
    <row r="47" spans="1:10">
      <c r="A47" t="str">
        <f>ToResult(裝備!A47)</f>
        <v/>
      </c>
      <c r="B47" t="str">
        <f>ToResult(裝備!B47)</f>
        <v/>
      </c>
      <c r="C47" t="str">
        <f>ToEquipMode(裝備!C47)</f>
        <v/>
      </c>
      <c r="D47" t="str">
        <f>ToResult(裝備!D47)</f>
        <v/>
      </c>
      <c r="E47" t="str">
        <f>ToResult(裝備!E47)</f>
        <v/>
      </c>
      <c r="F47" t="str">
        <f>ToResult(裝備!F47)</f>
        <v/>
      </c>
      <c r="G47" t="str">
        <f>ToResult(裝備!G47)</f>
        <v/>
      </c>
      <c r="H47" t="str">
        <f>ToResult(裝備!H47)</f>
        <v/>
      </c>
      <c r="I47" t="str">
        <f>ToEquipRange(裝備!I47)</f>
        <v/>
      </c>
      <c r="J47" t="str">
        <f>ToEquipResource(裝備!J47)</f>
        <v/>
      </c>
    </row>
    <row r="48" spans="1:10">
      <c r="A48" t="str">
        <f>ToResult(裝備!A48)</f>
        <v/>
      </c>
      <c r="B48" t="str">
        <f>ToResult(裝備!B48)</f>
        <v/>
      </c>
      <c r="C48" t="str">
        <f>ToEquipMode(裝備!C48)</f>
        <v/>
      </c>
      <c r="D48" t="str">
        <f>ToResult(裝備!D48)</f>
        <v/>
      </c>
      <c r="E48" t="str">
        <f>ToResult(裝備!E48)</f>
        <v/>
      </c>
      <c r="F48" t="str">
        <f>ToResult(裝備!F48)</f>
        <v/>
      </c>
      <c r="G48" t="str">
        <f>ToResult(裝備!G48)</f>
        <v/>
      </c>
      <c r="H48" t="str">
        <f>ToResult(裝備!H48)</f>
        <v/>
      </c>
      <c r="I48" t="str">
        <f>ToEquipRange(裝備!I48)</f>
        <v/>
      </c>
      <c r="J48" t="str">
        <f>ToEquipResource(裝備!J48)</f>
        <v/>
      </c>
    </row>
    <row r="49" spans="1:10">
      <c r="A49" t="str">
        <f>ToResult(裝備!A49)</f>
        <v/>
      </c>
      <c r="B49" t="str">
        <f>ToResult(裝備!B49)</f>
        <v/>
      </c>
      <c r="C49" t="str">
        <f>ToEquipMode(裝備!C49)</f>
        <v/>
      </c>
      <c r="D49" t="str">
        <f>ToResult(裝備!D49)</f>
        <v/>
      </c>
      <c r="E49" t="str">
        <f>ToResult(裝備!E49)</f>
        <v/>
      </c>
      <c r="F49" t="str">
        <f>ToResult(裝備!F49)</f>
        <v/>
      </c>
      <c r="G49" t="str">
        <f>ToResult(裝備!G49)</f>
        <v/>
      </c>
      <c r="H49" t="str">
        <f>ToResult(裝備!H49)</f>
        <v/>
      </c>
      <c r="I49" t="str">
        <f>ToEquipRange(裝備!I49)</f>
        <v/>
      </c>
      <c r="J49" t="str">
        <f>ToEquipResource(裝備!J49)</f>
        <v/>
      </c>
    </row>
    <row r="50" spans="1:10">
      <c r="A50" t="str">
        <f>ToResult(裝備!A50)</f>
        <v/>
      </c>
      <c r="B50" t="str">
        <f>ToResult(裝備!B50)</f>
        <v/>
      </c>
      <c r="C50" t="str">
        <f>ToEquipMode(裝備!C50)</f>
        <v/>
      </c>
      <c r="D50" t="str">
        <f>ToResult(裝備!D50)</f>
        <v/>
      </c>
      <c r="E50" t="str">
        <f>ToResult(裝備!E50)</f>
        <v/>
      </c>
      <c r="F50" t="str">
        <f>ToResult(裝備!F50)</f>
        <v/>
      </c>
      <c r="G50" t="str">
        <f>ToResult(裝備!G50)</f>
        <v/>
      </c>
      <c r="H50" t="str">
        <f>ToResult(裝備!H50)</f>
        <v/>
      </c>
      <c r="I50" t="str">
        <f>ToEquipRange(裝備!I50)</f>
        <v/>
      </c>
      <c r="J50" t="str">
        <f>ToEquipResource(裝備!J50)</f>
        <v/>
      </c>
    </row>
    <row r="51" spans="1:10">
      <c r="A51" t="str">
        <f>ToResult(裝備!A51)</f>
        <v/>
      </c>
      <c r="B51" t="str">
        <f>ToResult(裝備!B51)</f>
        <v/>
      </c>
      <c r="C51" t="str">
        <f>ToEquipMode(裝備!C51)</f>
        <v/>
      </c>
      <c r="D51" t="str">
        <f>ToResult(裝備!D51)</f>
        <v/>
      </c>
      <c r="E51" t="str">
        <f>ToResult(裝備!E51)</f>
        <v/>
      </c>
      <c r="F51" t="str">
        <f>ToResult(裝備!F51)</f>
        <v/>
      </c>
      <c r="G51" t="str">
        <f>ToResult(裝備!G51)</f>
        <v/>
      </c>
      <c r="H51" t="str">
        <f>ToResult(裝備!H51)</f>
        <v/>
      </c>
      <c r="I51" t="str">
        <f>ToEquipRange(裝備!I51)</f>
        <v/>
      </c>
      <c r="J51" t="str">
        <f>ToEquipResource(裝備!J51)</f>
        <v/>
      </c>
    </row>
    <row r="52" spans="1:10">
      <c r="A52" t="str">
        <f>ToResult(裝備!A52)</f>
        <v/>
      </c>
      <c r="B52" t="str">
        <f>ToResult(裝備!B52)</f>
        <v/>
      </c>
      <c r="C52" t="str">
        <f>ToEquipMode(裝備!C52)</f>
        <v/>
      </c>
      <c r="D52" t="str">
        <f>ToResult(裝備!D52)</f>
        <v/>
      </c>
      <c r="E52" t="str">
        <f>ToResult(裝備!E52)</f>
        <v/>
      </c>
      <c r="F52" t="str">
        <f>ToResult(裝備!F52)</f>
        <v/>
      </c>
      <c r="G52" t="str">
        <f>ToResult(裝備!G52)</f>
        <v/>
      </c>
      <c r="H52" t="str">
        <f>ToResult(裝備!H52)</f>
        <v/>
      </c>
      <c r="I52" t="str">
        <f>ToEquipRange(裝備!I52)</f>
        <v/>
      </c>
      <c r="J52" t="str">
        <f>ToEquipResource(裝備!J52)</f>
        <v/>
      </c>
    </row>
    <row r="53" spans="1:10">
      <c r="A53" t="str">
        <f>ToResult(裝備!A53)</f>
        <v/>
      </c>
      <c r="B53" t="str">
        <f>ToResult(裝備!B53)</f>
        <v/>
      </c>
      <c r="C53" t="str">
        <f>ToEquipMode(裝備!C53)</f>
        <v/>
      </c>
      <c r="D53" t="str">
        <f>ToResult(裝備!D53)</f>
        <v/>
      </c>
      <c r="E53" t="str">
        <f>ToResult(裝備!E53)</f>
        <v/>
      </c>
      <c r="F53" t="str">
        <f>ToResult(裝備!F53)</f>
        <v/>
      </c>
      <c r="G53" t="str">
        <f>ToResult(裝備!G53)</f>
        <v/>
      </c>
      <c r="H53" t="str">
        <f>ToResult(裝備!H53)</f>
        <v/>
      </c>
      <c r="I53" t="str">
        <f>ToEquipRange(裝備!I53)</f>
        <v/>
      </c>
      <c r="J53" t="str">
        <f>ToEquipResource(裝備!J53)</f>
        <v/>
      </c>
    </row>
    <row r="54" spans="1:10">
      <c r="A54" t="str">
        <f>ToResult(裝備!A54)</f>
        <v/>
      </c>
      <c r="B54" t="str">
        <f>ToResult(裝備!B54)</f>
        <v/>
      </c>
      <c r="C54" t="str">
        <f>ToEquipMode(裝備!C54)</f>
        <v/>
      </c>
      <c r="D54" t="str">
        <f>ToResult(裝備!D54)</f>
        <v/>
      </c>
      <c r="E54" t="str">
        <f>ToResult(裝備!E54)</f>
        <v/>
      </c>
      <c r="F54" t="str">
        <f>ToResult(裝備!F54)</f>
        <v/>
      </c>
      <c r="G54" t="str">
        <f>ToResult(裝備!G54)</f>
        <v/>
      </c>
      <c r="H54" t="str">
        <f>ToResult(裝備!H54)</f>
        <v/>
      </c>
      <c r="I54" t="str">
        <f>ToEquipRange(裝備!I54)</f>
        <v/>
      </c>
      <c r="J54" t="str">
        <f>ToEquipResource(裝備!J54)</f>
        <v/>
      </c>
    </row>
    <row r="55" spans="1:10">
      <c r="A55" t="str">
        <f>ToResult(裝備!A55)</f>
        <v/>
      </c>
      <c r="B55" t="str">
        <f>ToResult(裝備!B55)</f>
        <v/>
      </c>
      <c r="C55" t="str">
        <f>ToEquipMode(裝備!C55)</f>
        <v/>
      </c>
      <c r="D55" t="str">
        <f>ToResult(裝備!D55)</f>
        <v/>
      </c>
      <c r="E55" t="str">
        <f>ToResult(裝備!E55)</f>
        <v/>
      </c>
      <c r="F55" t="str">
        <f>ToResult(裝備!F55)</f>
        <v/>
      </c>
      <c r="G55" t="str">
        <f>ToResult(裝備!G55)</f>
        <v/>
      </c>
      <c r="H55" t="str">
        <f>ToResult(裝備!H55)</f>
        <v/>
      </c>
      <c r="I55" t="str">
        <f>ToEquipRange(裝備!I55)</f>
        <v/>
      </c>
      <c r="J55" t="str">
        <f>ToEquipResource(裝備!J55)</f>
        <v/>
      </c>
    </row>
    <row r="56" spans="1:10">
      <c r="A56" t="str">
        <f>ToResult(裝備!A56)</f>
        <v/>
      </c>
      <c r="B56" t="str">
        <f>ToResult(裝備!B56)</f>
        <v/>
      </c>
      <c r="C56" t="str">
        <f>ToEquipMode(裝備!C56)</f>
        <v/>
      </c>
      <c r="D56" t="str">
        <f>ToResult(裝備!D56)</f>
        <v/>
      </c>
      <c r="E56" t="str">
        <f>ToResult(裝備!E56)</f>
        <v/>
      </c>
      <c r="F56" t="str">
        <f>ToResult(裝備!F56)</f>
        <v/>
      </c>
      <c r="G56" t="str">
        <f>ToResult(裝備!G56)</f>
        <v/>
      </c>
      <c r="H56" t="str">
        <f>ToResult(裝備!H56)</f>
        <v/>
      </c>
      <c r="I56" t="str">
        <f>ToEquipRange(裝備!I56)</f>
        <v/>
      </c>
      <c r="J56" t="str">
        <f>ToEquipResource(裝備!J56)</f>
        <v/>
      </c>
    </row>
    <row r="57" spans="1:10">
      <c r="A57" t="str">
        <f>ToResult(裝備!A57)</f>
        <v/>
      </c>
      <c r="B57" t="str">
        <f>ToResult(裝備!B57)</f>
        <v/>
      </c>
      <c r="C57" t="str">
        <f>ToEquipMode(裝備!C57)</f>
        <v/>
      </c>
      <c r="D57" t="str">
        <f>ToResult(裝備!D57)</f>
        <v/>
      </c>
      <c r="E57" t="str">
        <f>ToResult(裝備!E57)</f>
        <v/>
      </c>
      <c r="F57" t="str">
        <f>ToResult(裝備!F57)</f>
        <v/>
      </c>
      <c r="G57" t="str">
        <f>ToResult(裝備!G57)</f>
        <v/>
      </c>
      <c r="H57" t="str">
        <f>ToResult(裝備!H57)</f>
        <v/>
      </c>
      <c r="I57" t="str">
        <f>ToEquipRange(裝備!I57)</f>
        <v/>
      </c>
      <c r="J57" t="str">
        <f>ToEquipResource(裝備!J57)</f>
        <v/>
      </c>
    </row>
    <row r="58" spans="1:10">
      <c r="A58" t="str">
        <f>ToResult(裝備!A58)</f>
        <v/>
      </c>
      <c r="B58" t="str">
        <f>ToResult(裝備!B58)</f>
        <v/>
      </c>
      <c r="C58" t="str">
        <f>ToEquipMode(裝備!C58)</f>
        <v/>
      </c>
      <c r="D58" t="str">
        <f>ToResult(裝備!D58)</f>
        <v/>
      </c>
      <c r="E58" t="str">
        <f>ToResult(裝備!E58)</f>
        <v/>
      </c>
      <c r="F58" t="str">
        <f>ToResult(裝備!F58)</f>
        <v/>
      </c>
      <c r="G58" t="str">
        <f>ToResult(裝備!G58)</f>
        <v/>
      </c>
      <c r="H58" t="str">
        <f>ToResult(裝備!H58)</f>
        <v/>
      </c>
      <c r="I58" t="str">
        <f>ToEquipRange(裝備!I58)</f>
        <v/>
      </c>
      <c r="J58" t="str">
        <f>ToEquipResource(裝備!J58)</f>
        <v/>
      </c>
    </row>
    <row r="59" spans="1:10">
      <c r="A59" t="str">
        <f>ToResult(裝備!A59)</f>
        <v/>
      </c>
      <c r="B59" t="str">
        <f>ToResult(裝備!B59)</f>
        <v/>
      </c>
      <c r="C59" t="str">
        <f>ToEquipMode(裝備!C59)</f>
        <v/>
      </c>
      <c r="D59" t="str">
        <f>ToResult(裝備!D59)</f>
        <v/>
      </c>
      <c r="E59" t="str">
        <f>ToResult(裝備!E59)</f>
        <v/>
      </c>
      <c r="F59" t="str">
        <f>ToResult(裝備!F59)</f>
        <v/>
      </c>
      <c r="G59" t="str">
        <f>ToResult(裝備!G59)</f>
        <v/>
      </c>
      <c r="H59" t="str">
        <f>ToResult(裝備!H59)</f>
        <v/>
      </c>
      <c r="I59" t="str">
        <f>ToEquipRange(裝備!I59)</f>
        <v/>
      </c>
      <c r="J59" t="str">
        <f>ToEquipResource(裝備!J59)</f>
        <v/>
      </c>
    </row>
    <row r="60" spans="1:10">
      <c r="A60" t="str">
        <f>ToResult(裝備!A60)</f>
        <v/>
      </c>
      <c r="B60" t="str">
        <f>ToResult(裝備!B60)</f>
        <v/>
      </c>
      <c r="C60" t="str">
        <f>ToEquipMode(裝備!C60)</f>
        <v/>
      </c>
      <c r="D60" t="str">
        <f>ToResult(裝備!D60)</f>
        <v/>
      </c>
      <c r="E60" t="str">
        <f>ToResult(裝備!E60)</f>
        <v/>
      </c>
      <c r="F60" t="str">
        <f>ToResult(裝備!F60)</f>
        <v/>
      </c>
      <c r="G60" t="str">
        <f>ToResult(裝備!G60)</f>
        <v/>
      </c>
      <c r="H60" t="str">
        <f>ToResult(裝備!H60)</f>
        <v/>
      </c>
      <c r="I60" t="str">
        <f>ToEquipRange(裝備!I60)</f>
        <v/>
      </c>
      <c r="J60" t="str">
        <f>ToEquipResource(裝備!J60)</f>
        <v/>
      </c>
    </row>
    <row r="61" spans="1:10">
      <c r="A61" t="str">
        <f>ToResult(裝備!A61)</f>
        <v/>
      </c>
      <c r="B61" t="str">
        <f>ToResult(裝備!B61)</f>
        <v/>
      </c>
      <c r="C61" t="str">
        <f>ToEquipMode(裝備!C61)</f>
        <v/>
      </c>
      <c r="D61" t="str">
        <f>ToResult(裝備!D61)</f>
        <v/>
      </c>
      <c r="E61" t="str">
        <f>ToResult(裝備!E61)</f>
        <v/>
      </c>
      <c r="F61" t="str">
        <f>ToResult(裝備!F61)</f>
        <v/>
      </c>
      <c r="G61" t="str">
        <f>ToResult(裝備!G61)</f>
        <v/>
      </c>
      <c r="H61" t="str">
        <f>ToResult(裝備!H61)</f>
        <v/>
      </c>
      <c r="I61" t="str">
        <f>ToEquipRange(裝備!I61)</f>
        <v/>
      </c>
      <c r="J61" t="str">
        <f>ToEquipResource(裝備!J61)</f>
        <v/>
      </c>
    </row>
    <row r="62" spans="1:10">
      <c r="A62" t="str">
        <f>ToResult(裝備!A62)</f>
        <v/>
      </c>
      <c r="B62" t="str">
        <f>ToResult(裝備!B62)</f>
        <v/>
      </c>
      <c r="C62" t="str">
        <f>ToEquipMode(裝備!C62)</f>
        <v/>
      </c>
      <c r="D62" t="str">
        <f>ToResult(裝備!D62)</f>
        <v/>
      </c>
      <c r="E62" t="str">
        <f>ToResult(裝備!E62)</f>
        <v/>
      </c>
      <c r="F62" t="str">
        <f>ToResult(裝備!F62)</f>
        <v/>
      </c>
      <c r="G62" t="str">
        <f>ToResult(裝備!G62)</f>
        <v/>
      </c>
      <c r="H62" t="str">
        <f>ToResult(裝備!H62)</f>
        <v/>
      </c>
      <c r="I62" t="str">
        <f>ToEquipRange(裝備!I62)</f>
        <v/>
      </c>
      <c r="J62" t="str">
        <f>ToEquipResource(裝備!J62)</f>
        <v/>
      </c>
    </row>
    <row r="63" spans="1:10">
      <c r="A63" t="str">
        <f>ToResult(裝備!A63)</f>
        <v/>
      </c>
      <c r="B63" t="str">
        <f>ToResult(裝備!B63)</f>
        <v/>
      </c>
      <c r="C63" t="str">
        <f>ToEquipMode(裝備!C63)</f>
        <v/>
      </c>
      <c r="D63" t="str">
        <f>ToResult(裝備!D63)</f>
        <v/>
      </c>
      <c r="E63" t="str">
        <f>ToResult(裝備!E63)</f>
        <v/>
      </c>
      <c r="F63" t="str">
        <f>ToResult(裝備!F63)</f>
        <v/>
      </c>
      <c r="G63" t="str">
        <f>ToResult(裝備!G63)</f>
        <v/>
      </c>
      <c r="H63" t="str">
        <f>ToResult(裝備!H63)</f>
        <v/>
      </c>
      <c r="I63" t="str">
        <f>ToEquipRange(裝備!I63)</f>
        <v/>
      </c>
      <c r="J63" t="str">
        <f>ToEquipResource(裝備!J63)</f>
        <v/>
      </c>
    </row>
    <row r="64" spans="1:10">
      <c r="A64" t="str">
        <f>ToResult(裝備!A64)</f>
        <v/>
      </c>
      <c r="B64" t="str">
        <f>ToResult(裝備!B64)</f>
        <v/>
      </c>
      <c r="C64" t="str">
        <f>ToEquipMode(裝備!C64)</f>
        <v/>
      </c>
      <c r="D64" t="str">
        <f>ToResult(裝備!D64)</f>
        <v/>
      </c>
      <c r="E64" t="str">
        <f>ToResult(裝備!E64)</f>
        <v/>
      </c>
      <c r="F64" t="str">
        <f>ToResult(裝備!F64)</f>
        <v/>
      </c>
      <c r="G64" t="str">
        <f>ToResult(裝備!G64)</f>
        <v/>
      </c>
      <c r="H64" t="str">
        <f>ToResult(裝備!H64)</f>
        <v/>
      </c>
      <c r="I64" t="str">
        <f>ToEquipRange(裝備!I64)</f>
        <v/>
      </c>
      <c r="J64" t="str">
        <f>ToEquipResource(裝備!J64)</f>
        <v/>
      </c>
    </row>
    <row r="65" spans="1:10">
      <c r="A65" t="str">
        <f>ToResult(裝備!A65)</f>
        <v/>
      </c>
      <c r="B65" t="str">
        <f>ToResult(裝備!B65)</f>
        <v/>
      </c>
      <c r="C65" t="str">
        <f>ToEquipMode(裝備!C65)</f>
        <v/>
      </c>
      <c r="D65" t="str">
        <f>ToResult(裝備!D65)</f>
        <v/>
      </c>
      <c r="E65" t="str">
        <f>ToResult(裝備!E65)</f>
        <v/>
      </c>
      <c r="F65" t="str">
        <f>ToResult(裝備!F65)</f>
        <v/>
      </c>
      <c r="G65" t="str">
        <f>ToResult(裝備!G65)</f>
        <v/>
      </c>
      <c r="H65" t="str">
        <f>ToResult(裝備!H65)</f>
        <v/>
      </c>
      <c r="I65" t="str">
        <f>ToEquipRange(裝備!I65)</f>
        <v/>
      </c>
      <c r="J65" t="str">
        <f>ToEquipResource(裝備!J65)</f>
        <v/>
      </c>
    </row>
    <row r="66" spans="1:10">
      <c r="A66" t="str">
        <f>ToResult(裝備!A66)</f>
        <v/>
      </c>
      <c r="B66" t="str">
        <f>ToResult(裝備!B66)</f>
        <v/>
      </c>
      <c r="C66" t="str">
        <f>ToEquipMode(裝備!C66)</f>
        <v/>
      </c>
      <c r="D66" t="str">
        <f>ToResult(裝備!D66)</f>
        <v/>
      </c>
      <c r="E66" t="str">
        <f>ToResult(裝備!E66)</f>
        <v/>
      </c>
      <c r="F66" t="str">
        <f>ToResult(裝備!F66)</f>
        <v/>
      </c>
      <c r="G66" t="str">
        <f>ToResult(裝備!G66)</f>
        <v/>
      </c>
      <c r="H66" t="str">
        <f>ToResult(裝備!H66)</f>
        <v/>
      </c>
      <c r="I66" t="str">
        <f>ToEquipRange(裝備!I66)</f>
        <v/>
      </c>
      <c r="J66" t="str">
        <f>ToEquipResource(裝備!J66)</f>
        <v/>
      </c>
    </row>
    <row r="67" spans="1:10">
      <c r="A67" t="str">
        <f>ToResult(裝備!A67)</f>
        <v/>
      </c>
      <c r="B67" t="str">
        <f>ToResult(裝備!B67)</f>
        <v/>
      </c>
      <c r="C67" t="str">
        <f>ToEquipMode(裝備!C67)</f>
        <v/>
      </c>
      <c r="D67" t="str">
        <f>ToResult(裝備!D67)</f>
        <v/>
      </c>
      <c r="E67" t="str">
        <f>ToResult(裝備!E67)</f>
        <v/>
      </c>
      <c r="F67" t="str">
        <f>ToResult(裝備!F67)</f>
        <v/>
      </c>
      <c r="G67" t="str">
        <f>ToResult(裝備!G67)</f>
        <v/>
      </c>
      <c r="H67" t="str">
        <f>ToResult(裝備!H67)</f>
        <v/>
      </c>
      <c r="I67" t="str">
        <f>ToEquipRange(裝備!I67)</f>
        <v/>
      </c>
      <c r="J67" t="str">
        <f>ToEquipResource(裝備!J67)</f>
        <v/>
      </c>
    </row>
    <row r="68" spans="1:10">
      <c r="A68" t="str">
        <f>ToResult(裝備!A68)</f>
        <v/>
      </c>
      <c r="B68" t="str">
        <f>ToResult(裝備!B68)</f>
        <v/>
      </c>
      <c r="C68" t="str">
        <f>ToEquipMode(裝備!C68)</f>
        <v/>
      </c>
      <c r="D68" t="str">
        <f>ToResult(裝備!D68)</f>
        <v/>
      </c>
      <c r="E68" t="str">
        <f>ToResult(裝備!E68)</f>
        <v/>
      </c>
      <c r="F68" t="str">
        <f>ToResult(裝備!F68)</f>
        <v/>
      </c>
      <c r="G68" t="str">
        <f>ToResult(裝備!G68)</f>
        <v/>
      </c>
      <c r="H68" t="str">
        <f>ToResult(裝備!H68)</f>
        <v/>
      </c>
      <c r="I68" t="str">
        <f>ToEquipRange(裝備!I68)</f>
        <v/>
      </c>
      <c r="J68" t="str">
        <f>ToEquipResource(裝備!J68)</f>
        <v/>
      </c>
    </row>
    <row r="69" spans="1:10">
      <c r="A69" t="str">
        <f>ToResult(裝備!A69)</f>
        <v/>
      </c>
      <c r="B69" t="str">
        <f>ToResult(裝備!B69)</f>
        <v/>
      </c>
      <c r="C69" t="str">
        <f>ToEquipMode(裝備!C69)</f>
        <v/>
      </c>
      <c r="D69" t="str">
        <f>ToResult(裝備!D69)</f>
        <v/>
      </c>
      <c r="E69" t="str">
        <f>ToResult(裝備!E69)</f>
        <v/>
      </c>
      <c r="F69" t="str">
        <f>ToResult(裝備!F69)</f>
        <v/>
      </c>
      <c r="G69" t="str">
        <f>ToResult(裝備!G69)</f>
        <v/>
      </c>
      <c r="H69" t="str">
        <f>ToResult(裝備!H69)</f>
        <v/>
      </c>
      <c r="I69" t="str">
        <f>ToEquipRange(裝備!I69)</f>
        <v/>
      </c>
      <c r="J69" t="str">
        <f>ToEquipResource(裝備!J69)</f>
        <v/>
      </c>
    </row>
    <row r="70" spans="1:10">
      <c r="A70" t="str">
        <f>ToResult(裝備!A70)</f>
        <v/>
      </c>
      <c r="B70" t="str">
        <f>ToResult(裝備!B70)</f>
        <v/>
      </c>
      <c r="C70" t="str">
        <f>ToEquipMode(裝備!C70)</f>
        <v/>
      </c>
      <c r="D70" t="str">
        <f>ToResult(裝備!D70)</f>
        <v/>
      </c>
      <c r="E70" t="str">
        <f>ToResult(裝備!E70)</f>
        <v/>
      </c>
      <c r="F70" t="str">
        <f>ToResult(裝備!F70)</f>
        <v/>
      </c>
      <c r="G70" t="str">
        <f>ToResult(裝備!G70)</f>
        <v/>
      </c>
      <c r="H70" t="str">
        <f>ToResult(裝備!H70)</f>
        <v/>
      </c>
      <c r="I70" t="str">
        <f>ToEquipRange(裝備!I70)</f>
        <v/>
      </c>
      <c r="J70" t="str">
        <f>ToEquipResource(裝備!J70)</f>
        <v/>
      </c>
    </row>
    <row r="71" spans="1:10">
      <c r="A71" t="str">
        <f>ToResult(裝備!A71)</f>
        <v/>
      </c>
      <c r="B71" t="str">
        <f>ToResult(裝備!B71)</f>
        <v/>
      </c>
      <c r="C71" t="str">
        <f>ToEquipMode(裝備!C71)</f>
        <v/>
      </c>
      <c r="D71" t="str">
        <f>ToResult(裝備!D71)</f>
        <v/>
      </c>
      <c r="E71" t="str">
        <f>ToResult(裝備!E71)</f>
        <v/>
      </c>
      <c r="F71" t="str">
        <f>ToResult(裝備!F71)</f>
        <v/>
      </c>
      <c r="G71" t="str">
        <f>ToResult(裝備!G71)</f>
        <v/>
      </c>
      <c r="H71" t="str">
        <f>ToResult(裝備!H71)</f>
        <v/>
      </c>
      <c r="I71" t="str">
        <f>ToEquipRange(裝備!I71)</f>
        <v/>
      </c>
      <c r="J71" t="str">
        <f>ToEquipResource(裝備!J71)</f>
        <v/>
      </c>
    </row>
    <row r="72" spans="1:10">
      <c r="A72" t="str">
        <f>ToResult(裝備!A72)</f>
        <v/>
      </c>
      <c r="B72" t="str">
        <f>ToResult(裝備!B72)</f>
        <v/>
      </c>
      <c r="C72" t="str">
        <f>ToEquipMode(裝備!C72)</f>
        <v/>
      </c>
      <c r="D72" t="str">
        <f>ToResult(裝備!D72)</f>
        <v/>
      </c>
      <c r="E72" t="str">
        <f>ToResult(裝備!E72)</f>
        <v/>
      </c>
      <c r="F72" t="str">
        <f>ToResult(裝備!F72)</f>
        <v/>
      </c>
      <c r="G72" t="str">
        <f>ToResult(裝備!G72)</f>
        <v/>
      </c>
      <c r="H72" t="str">
        <f>ToResult(裝備!H72)</f>
        <v/>
      </c>
      <c r="I72" t="str">
        <f>ToEquipRange(裝備!I72)</f>
        <v/>
      </c>
      <c r="J72" t="str">
        <f>ToEquipResource(裝備!J72)</f>
        <v/>
      </c>
    </row>
    <row r="73" spans="1:10">
      <c r="A73" t="str">
        <f>ToResult(裝備!A73)</f>
        <v/>
      </c>
      <c r="B73" t="str">
        <f>ToResult(裝備!B73)</f>
        <v/>
      </c>
      <c r="C73" t="str">
        <f>ToEquipMode(裝備!C73)</f>
        <v/>
      </c>
      <c r="D73" t="str">
        <f>ToResult(裝備!D73)</f>
        <v/>
      </c>
      <c r="E73" t="str">
        <f>ToResult(裝備!E73)</f>
        <v/>
      </c>
      <c r="F73" t="str">
        <f>ToResult(裝備!F73)</f>
        <v/>
      </c>
      <c r="G73" t="str">
        <f>ToResult(裝備!G73)</f>
        <v/>
      </c>
      <c r="H73" t="str">
        <f>ToResult(裝備!H73)</f>
        <v/>
      </c>
      <c r="I73" t="str">
        <f>ToEquipRange(裝備!I73)</f>
        <v/>
      </c>
      <c r="J73" t="str">
        <f>ToEquipResource(裝備!J73)</f>
        <v/>
      </c>
    </row>
    <row r="74" spans="1:10">
      <c r="A74" t="str">
        <f>ToResult(裝備!A74)</f>
        <v/>
      </c>
      <c r="B74" t="str">
        <f>ToResult(裝備!B74)</f>
        <v/>
      </c>
      <c r="C74" t="str">
        <f>ToEquipMode(裝備!C74)</f>
        <v/>
      </c>
      <c r="D74" t="str">
        <f>ToResult(裝備!D74)</f>
        <v/>
      </c>
      <c r="E74" t="str">
        <f>ToResult(裝備!E74)</f>
        <v/>
      </c>
      <c r="F74" t="str">
        <f>ToResult(裝備!F74)</f>
        <v/>
      </c>
      <c r="G74" t="str">
        <f>ToResult(裝備!G74)</f>
        <v/>
      </c>
      <c r="H74" t="str">
        <f>ToResult(裝備!H74)</f>
        <v/>
      </c>
      <c r="I74" t="str">
        <f>ToEquipRange(裝備!I74)</f>
        <v/>
      </c>
      <c r="J74" t="str">
        <f>ToEquipResource(裝備!J74)</f>
        <v/>
      </c>
    </row>
    <row r="75" spans="1:10">
      <c r="A75" t="str">
        <f>ToResult(裝備!A75)</f>
        <v/>
      </c>
      <c r="B75" t="str">
        <f>ToResult(裝備!B75)</f>
        <v/>
      </c>
      <c r="C75" t="str">
        <f>ToEquipMode(裝備!C75)</f>
        <v/>
      </c>
      <c r="D75" t="str">
        <f>ToResult(裝備!D75)</f>
        <v/>
      </c>
      <c r="E75" t="str">
        <f>ToResult(裝備!E75)</f>
        <v/>
      </c>
      <c r="F75" t="str">
        <f>ToResult(裝備!F75)</f>
        <v/>
      </c>
      <c r="G75" t="str">
        <f>ToResult(裝備!G75)</f>
        <v/>
      </c>
      <c r="H75" t="str">
        <f>ToResult(裝備!H75)</f>
        <v/>
      </c>
      <c r="I75" t="str">
        <f>ToEquipRange(裝備!I75)</f>
        <v/>
      </c>
      <c r="J75" t="str">
        <f>ToEquipResource(裝備!J75)</f>
        <v/>
      </c>
    </row>
    <row r="76" spans="1:10">
      <c r="A76" t="str">
        <f>ToResult(裝備!A76)</f>
        <v/>
      </c>
      <c r="B76" t="str">
        <f>ToResult(裝備!B76)</f>
        <v/>
      </c>
      <c r="C76" t="str">
        <f>ToEquipMode(裝備!C76)</f>
        <v/>
      </c>
      <c r="D76" t="str">
        <f>ToResult(裝備!D76)</f>
        <v/>
      </c>
      <c r="E76" t="str">
        <f>ToResult(裝備!E76)</f>
        <v/>
      </c>
      <c r="F76" t="str">
        <f>ToResult(裝備!F76)</f>
        <v/>
      </c>
      <c r="G76" t="str">
        <f>ToResult(裝備!G76)</f>
        <v/>
      </c>
      <c r="H76" t="str">
        <f>ToResult(裝備!H76)</f>
        <v/>
      </c>
      <c r="I76" t="str">
        <f>ToEquipRange(裝備!I76)</f>
        <v/>
      </c>
      <c r="J76" t="str">
        <f>ToEquipResource(裝備!J76)</f>
        <v/>
      </c>
    </row>
    <row r="77" spans="1:10">
      <c r="A77" t="str">
        <f>ToResult(裝備!A77)</f>
        <v/>
      </c>
      <c r="B77" t="str">
        <f>ToResult(裝備!B77)</f>
        <v/>
      </c>
      <c r="C77" t="str">
        <f>ToEquipMode(裝備!C77)</f>
        <v/>
      </c>
      <c r="D77" t="str">
        <f>ToResult(裝備!D77)</f>
        <v/>
      </c>
      <c r="E77" t="str">
        <f>ToResult(裝備!E77)</f>
        <v/>
      </c>
      <c r="F77" t="str">
        <f>ToResult(裝備!F77)</f>
        <v/>
      </c>
      <c r="G77" t="str">
        <f>ToResult(裝備!G77)</f>
        <v/>
      </c>
      <c r="H77" t="str">
        <f>ToResult(裝備!H77)</f>
        <v/>
      </c>
      <c r="I77" t="str">
        <f>ToEquipRange(裝備!I77)</f>
        <v/>
      </c>
      <c r="J77" t="str">
        <f>ToEquipResource(裝備!J77)</f>
        <v/>
      </c>
    </row>
    <row r="78" spans="1:10">
      <c r="A78" t="str">
        <f>ToResult(裝備!A78)</f>
        <v/>
      </c>
      <c r="B78" t="str">
        <f>ToResult(裝備!B78)</f>
        <v/>
      </c>
      <c r="C78" t="str">
        <f>ToEquipMode(裝備!C78)</f>
        <v/>
      </c>
      <c r="D78" t="str">
        <f>ToResult(裝備!D78)</f>
        <v/>
      </c>
      <c r="E78" t="str">
        <f>ToResult(裝備!E78)</f>
        <v/>
      </c>
      <c r="F78" t="str">
        <f>ToResult(裝備!F78)</f>
        <v/>
      </c>
      <c r="G78" t="str">
        <f>ToResult(裝備!G78)</f>
        <v/>
      </c>
      <c r="H78" t="str">
        <f>ToResult(裝備!H78)</f>
        <v/>
      </c>
      <c r="I78" t="str">
        <f>ToEquipRange(裝備!I78)</f>
        <v/>
      </c>
      <c r="J78" t="str">
        <f>ToEquipResource(裝備!J78)</f>
        <v/>
      </c>
    </row>
    <row r="79" spans="1:10">
      <c r="A79" t="str">
        <f>ToResult(裝備!A79)</f>
        <v/>
      </c>
      <c r="B79" t="str">
        <f>ToResult(裝備!B79)</f>
        <v/>
      </c>
      <c r="C79" t="str">
        <f>ToEquipMode(裝備!C79)</f>
        <v/>
      </c>
      <c r="D79" t="str">
        <f>ToResult(裝備!D79)</f>
        <v/>
      </c>
      <c r="E79" t="str">
        <f>ToResult(裝備!E79)</f>
        <v/>
      </c>
      <c r="F79" t="str">
        <f>ToResult(裝備!F79)</f>
        <v/>
      </c>
      <c r="G79" t="str">
        <f>ToResult(裝備!G79)</f>
        <v/>
      </c>
      <c r="H79" t="str">
        <f>ToResult(裝備!H79)</f>
        <v/>
      </c>
      <c r="I79" t="str">
        <f>ToEquipRange(裝備!I79)</f>
        <v/>
      </c>
      <c r="J79" t="str">
        <f>ToEquipResource(裝備!J79)</f>
        <v/>
      </c>
    </row>
    <row r="80" spans="1:10">
      <c r="A80" t="str">
        <f>ToResult(裝備!A80)</f>
        <v/>
      </c>
      <c r="B80" t="str">
        <f>ToResult(裝備!B80)</f>
        <v/>
      </c>
      <c r="C80" t="str">
        <f>ToEquipMode(裝備!C80)</f>
        <v/>
      </c>
      <c r="D80" t="str">
        <f>ToResult(裝備!D80)</f>
        <v/>
      </c>
      <c r="E80" t="str">
        <f>ToResult(裝備!E80)</f>
        <v/>
      </c>
      <c r="F80" t="str">
        <f>ToResult(裝備!F80)</f>
        <v/>
      </c>
      <c r="G80" t="str">
        <f>ToResult(裝備!G80)</f>
        <v/>
      </c>
      <c r="H80" t="str">
        <f>ToResult(裝備!H80)</f>
        <v/>
      </c>
      <c r="I80" t="str">
        <f>ToEquipRange(裝備!I80)</f>
        <v/>
      </c>
      <c r="J80" t="str">
        <f>ToEquipResource(裝備!J80)</f>
        <v/>
      </c>
    </row>
    <row r="81" spans="1:10">
      <c r="A81" t="str">
        <f>ToResult(裝備!A81)</f>
        <v/>
      </c>
      <c r="B81" t="str">
        <f>ToResult(裝備!B81)</f>
        <v/>
      </c>
      <c r="C81" t="str">
        <f>ToEquipMode(裝備!C81)</f>
        <v/>
      </c>
      <c r="D81" t="str">
        <f>ToResult(裝備!D81)</f>
        <v/>
      </c>
      <c r="E81" t="str">
        <f>ToResult(裝備!E81)</f>
        <v/>
      </c>
      <c r="F81" t="str">
        <f>ToResult(裝備!F81)</f>
        <v/>
      </c>
      <c r="G81" t="str">
        <f>ToResult(裝備!G81)</f>
        <v/>
      </c>
      <c r="H81" t="str">
        <f>ToResult(裝備!H81)</f>
        <v/>
      </c>
      <c r="I81" t="str">
        <f>ToEquipRange(裝備!I81)</f>
        <v/>
      </c>
      <c r="J81" t="str">
        <f>ToEquipResource(裝備!J81)</f>
        <v/>
      </c>
    </row>
    <row r="82" spans="1:10">
      <c r="A82" t="str">
        <f>ToResult(裝備!A82)</f>
        <v/>
      </c>
      <c r="B82" t="str">
        <f>ToResult(裝備!B82)</f>
        <v/>
      </c>
      <c r="C82" t="str">
        <f>ToEquipMode(裝備!C82)</f>
        <v/>
      </c>
      <c r="D82" t="str">
        <f>ToResult(裝備!D82)</f>
        <v/>
      </c>
      <c r="E82" t="str">
        <f>ToResult(裝備!E82)</f>
        <v/>
      </c>
      <c r="F82" t="str">
        <f>ToResult(裝備!F82)</f>
        <v/>
      </c>
      <c r="G82" t="str">
        <f>ToResult(裝備!G82)</f>
        <v/>
      </c>
      <c r="H82" t="str">
        <f>ToResult(裝備!H82)</f>
        <v/>
      </c>
      <c r="I82" t="str">
        <f>ToEquipRange(裝備!I82)</f>
        <v/>
      </c>
      <c r="J82" t="str">
        <f>ToEquipResource(裝備!J82)</f>
        <v/>
      </c>
    </row>
    <row r="83" spans="1:10">
      <c r="A83" t="str">
        <f>ToResult(裝備!A83)</f>
        <v/>
      </c>
      <c r="B83" t="str">
        <f>ToResult(裝備!B83)</f>
        <v/>
      </c>
      <c r="C83" t="str">
        <f>ToEquipMode(裝備!C83)</f>
        <v/>
      </c>
      <c r="D83" t="str">
        <f>ToResult(裝備!D83)</f>
        <v/>
      </c>
      <c r="E83" t="str">
        <f>ToResult(裝備!E83)</f>
        <v/>
      </c>
      <c r="F83" t="str">
        <f>ToResult(裝備!F83)</f>
        <v/>
      </c>
      <c r="G83" t="str">
        <f>ToResult(裝備!G83)</f>
        <v/>
      </c>
      <c r="H83" t="str">
        <f>ToResult(裝備!H83)</f>
        <v/>
      </c>
      <c r="I83" t="str">
        <f>ToEquipRange(裝備!I83)</f>
        <v/>
      </c>
      <c r="J83" t="str">
        <f>ToEquipResource(裝備!J83)</f>
        <v/>
      </c>
    </row>
    <row r="84" spans="1:10">
      <c r="A84" t="str">
        <f>ToResult(裝備!A84)</f>
        <v/>
      </c>
      <c r="B84" t="str">
        <f>ToResult(裝備!B84)</f>
        <v/>
      </c>
      <c r="C84" t="str">
        <f>ToEquipMode(裝備!C84)</f>
        <v/>
      </c>
      <c r="D84" t="str">
        <f>ToResult(裝備!D84)</f>
        <v/>
      </c>
      <c r="E84" t="str">
        <f>ToResult(裝備!E84)</f>
        <v/>
      </c>
      <c r="F84" t="str">
        <f>ToResult(裝備!F84)</f>
        <v/>
      </c>
      <c r="G84" t="str">
        <f>ToResult(裝備!G84)</f>
        <v/>
      </c>
      <c r="H84" t="str">
        <f>ToResult(裝備!H84)</f>
        <v/>
      </c>
      <c r="I84" t="str">
        <f>ToEquipRange(裝備!I84)</f>
        <v/>
      </c>
      <c r="J84" t="str">
        <f>ToEquipResource(裝備!J84)</f>
        <v/>
      </c>
    </row>
    <row r="85" spans="1:10">
      <c r="A85" t="str">
        <f>ToResult(裝備!A85)</f>
        <v/>
      </c>
      <c r="B85" t="str">
        <f>ToResult(裝備!B85)</f>
        <v/>
      </c>
      <c r="C85" t="str">
        <f>ToEquipMode(裝備!C85)</f>
        <v/>
      </c>
      <c r="D85" t="str">
        <f>ToResult(裝備!D85)</f>
        <v/>
      </c>
      <c r="E85" t="str">
        <f>ToResult(裝備!E85)</f>
        <v/>
      </c>
      <c r="F85" t="str">
        <f>ToResult(裝備!F85)</f>
        <v/>
      </c>
      <c r="G85" t="str">
        <f>ToResult(裝備!G85)</f>
        <v/>
      </c>
      <c r="H85" t="str">
        <f>ToResult(裝備!H85)</f>
        <v/>
      </c>
      <c r="I85" t="str">
        <f>ToEquipRange(裝備!I85)</f>
        <v/>
      </c>
      <c r="J85" t="str">
        <f>ToEquipResource(裝備!J85)</f>
        <v/>
      </c>
    </row>
    <row r="86" spans="1:10">
      <c r="A86" t="str">
        <f>ToResult(裝備!A86)</f>
        <v/>
      </c>
      <c r="B86" t="str">
        <f>ToResult(裝備!B86)</f>
        <v/>
      </c>
      <c r="C86" t="str">
        <f>ToEquipMode(裝備!C86)</f>
        <v/>
      </c>
      <c r="D86" t="str">
        <f>ToResult(裝備!D86)</f>
        <v/>
      </c>
      <c r="E86" t="str">
        <f>ToResult(裝備!E86)</f>
        <v/>
      </c>
      <c r="F86" t="str">
        <f>ToResult(裝備!F86)</f>
        <v/>
      </c>
      <c r="G86" t="str">
        <f>ToResult(裝備!G86)</f>
        <v/>
      </c>
      <c r="H86" t="str">
        <f>ToResult(裝備!H86)</f>
        <v/>
      </c>
      <c r="I86" t="str">
        <f>ToEquipRange(裝備!I86)</f>
        <v/>
      </c>
      <c r="J86" t="str">
        <f>ToEquipResource(裝備!J86)</f>
        <v/>
      </c>
    </row>
    <row r="87" spans="1:10">
      <c r="A87" t="str">
        <f>ToResult(裝備!A87)</f>
        <v/>
      </c>
      <c r="B87" t="str">
        <f>ToResult(裝備!B87)</f>
        <v/>
      </c>
      <c r="C87" t="str">
        <f>ToEquipMode(裝備!C87)</f>
        <v/>
      </c>
      <c r="D87" t="str">
        <f>ToResult(裝備!D87)</f>
        <v/>
      </c>
      <c r="E87" t="str">
        <f>ToResult(裝備!E87)</f>
        <v/>
      </c>
      <c r="F87" t="str">
        <f>ToResult(裝備!F87)</f>
        <v/>
      </c>
      <c r="G87" t="str">
        <f>ToResult(裝備!G87)</f>
        <v/>
      </c>
      <c r="H87" t="str">
        <f>ToResult(裝備!H87)</f>
        <v/>
      </c>
      <c r="I87" t="str">
        <f>ToEquipRange(裝備!I87)</f>
        <v/>
      </c>
      <c r="J87" t="str">
        <f>ToEquipResource(裝備!J87)</f>
        <v/>
      </c>
    </row>
    <row r="88" spans="1:10">
      <c r="A88" t="str">
        <f>ToResult(裝備!A88)</f>
        <v/>
      </c>
      <c r="B88" t="str">
        <f>ToResult(裝備!B88)</f>
        <v/>
      </c>
      <c r="C88" t="str">
        <f>ToEquipMode(裝備!C88)</f>
        <v/>
      </c>
      <c r="D88" t="str">
        <f>ToResult(裝備!D88)</f>
        <v/>
      </c>
      <c r="E88" t="str">
        <f>ToResult(裝備!E88)</f>
        <v/>
      </c>
      <c r="F88" t="str">
        <f>ToResult(裝備!F88)</f>
        <v/>
      </c>
      <c r="G88" t="str">
        <f>ToResult(裝備!G88)</f>
        <v/>
      </c>
      <c r="H88" t="str">
        <f>ToResult(裝備!H88)</f>
        <v/>
      </c>
      <c r="I88" t="str">
        <f>ToEquipRange(裝備!I88)</f>
        <v/>
      </c>
      <c r="J88" t="str">
        <f>ToEquipResource(裝備!J88)</f>
        <v/>
      </c>
    </row>
    <row r="89" spans="1:10">
      <c r="A89" t="str">
        <f>ToResult(裝備!A89)</f>
        <v/>
      </c>
      <c r="B89" t="str">
        <f>ToResult(裝備!B89)</f>
        <v/>
      </c>
      <c r="C89" t="str">
        <f>ToEquipMode(裝備!C89)</f>
        <v/>
      </c>
      <c r="D89" t="str">
        <f>ToResult(裝備!D89)</f>
        <v/>
      </c>
      <c r="E89" t="str">
        <f>ToResult(裝備!E89)</f>
        <v/>
      </c>
      <c r="F89" t="str">
        <f>ToResult(裝備!F89)</f>
        <v/>
      </c>
      <c r="G89" t="str">
        <f>ToResult(裝備!G89)</f>
        <v/>
      </c>
      <c r="H89" t="str">
        <f>ToResult(裝備!H89)</f>
        <v/>
      </c>
      <c r="I89" t="str">
        <f>ToEquipRange(裝備!I89)</f>
        <v/>
      </c>
      <c r="J89" t="str">
        <f>ToEquipResource(裝備!J89)</f>
        <v/>
      </c>
    </row>
    <row r="90" spans="1:10">
      <c r="A90" t="str">
        <f>ToResult(裝備!A90)</f>
        <v/>
      </c>
      <c r="B90" t="str">
        <f>ToResult(裝備!B90)</f>
        <v/>
      </c>
      <c r="C90" t="str">
        <f>ToEquipMode(裝備!C90)</f>
        <v/>
      </c>
      <c r="D90" t="str">
        <f>ToResult(裝備!D90)</f>
        <v/>
      </c>
      <c r="E90" t="str">
        <f>ToResult(裝備!E90)</f>
        <v/>
      </c>
      <c r="F90" t="str">
        <f>ToResult(裝備!F90)</f>
        <v/>
      </c>
      <c r="G90" t="str">
        <f>ToResult(裝備!G90)</f>
        <v/>
      </c>
      <c r="H90" t="str">
        <f>ToResult(裝備!H90)</f>
        <v/>
      </c>
      <c r="I90" t="str">
        <f>ToEquipRange(裝備!I90)</f>
        <v/>
      </c>
      <c r="J90" t="str">
        <f>ToEquipResource(裝備!J90)</f>
        <v/>
      </c>
    </row>
    <row r="91" spans="1:10">
      <c r="A91" t="str">
        <f>ToResult(裝備!A91)</f>
        <v/>
      </c>
      <c r="B91" t="str">
        <f>ToResult(裝備!B91)</f>
        <v/>
      </c>
      <c r="C91" t="str">
        <f>ToEquipMode(裝備!C91)</f>
        <v/>
      </c>
      <c r="D91" t="str">
        <f>ToResult(裝備!D91)</f>
        <v/>
      </c>
      <c r="E91" t="str">
        <f>ToResult(裝備!E91)</f>
        <v/>
      </c>
      <c r="F91" t="str">
        <f>ToResult(裝備!F91)</f>
        <v/>
      </c>
      <c r="G91" t="str">
        <f>ToResult(裝備!G91)</f>
        <v/>
      </c>
      <c r="H91" t="str">
        <f>ToResult(裝備!H91)</f>
        <v/>
      </c>
      <c r="I91" t="str">
        <f>ToEquipRange(裝備!I91)</f>
        <v/>
      </c>
      <c r="J91" t="str">
        <f>ToEquipResource(裝備!J91)</f>
        <v/>
      </c>
    </row>
    <row r="92" spans="1:10">
      <c r="A92" t="str">
        <f>ToResult(裝備!A92)</f>
        <v/>
      </c>
      <c r="B92" t="str">
        <f>ToResult(裝備!B92)</f>
        <v/>
      </c>
      <c r="C92" t="str">
        <f>ToEquipMode(裝備!C92)</f>
        <v/>
      </c>
      <c r="D92" t="str">
        <f>ToResult(裝備!D92)</f>
        <v/>
      </c>
      <c r="E92" t="str">
        <f>ToResult(裝備!E92)</f>
        <v/>
      </c>
      <c r="F92" t="str">
        <f>ToResult(裝備!F92)</f>
        <v/>
      </c>
      <c r="G92" t="str">
        <f>ToResult(裝備!G92)</f>
        <v/>
      </c>
      <c r="H92" t="str">
        <f>ToResult(裝備!H92)</f>
        <v/>
      </c>
      <c r="I92" t="str">
        <f>ToEquipRange(裝備!I92)</f>
        <v/>
      </c>
      <c r="J92" t="str">
        <f>ToEquipResource(裝備!J92)</f>
        <v/>
      </c>
    </row>
    <row r="93" spans="1:10">
      <c r="A93" t="str">
        <f>ToResult(裝備!A93)</f>
        <v/>
      </c>
      <c r="B93" t="str">
        <f>ToResult(裝備!B93)</f>
        <v/>
      </c>
      <c r="C93" t="str">
        <f>ToEquipMode(裝備!C93)</f>
        <v/>
      </c>
      <c r="D93" t="str">
        <f>ToResult(裝備!D93)</f>
        <v/>
      </c>
      <c r="E93" t="str">
        <f>ToResult(裝備!E93)</f>
        <v/>
      </c>
      <c r="F93" t="str">
        <f>ToResult(裝備!F93)</f>
        <v/>
      </c>
      <c r="G93" t="str">
        <f>ToResult(裝備!G93)</f>
        <v/>
      </c>
      <c r="H93" t="str">
        <f>ToResult(裝備!H93)</f>
        <v/>
      </c>
      <c r="I93" t="str">
        <f>ToEquipRange(裝備!I93)</f>
        <v/>
      </c>
      <c r="J93" t="str">
        <f>ToEquipResource(裝備!J93)</f>
        <v/>
      </c>
    </row>
    <row r="94" spans="1:10">
      <c r="A94" t="str">
        <f>ToResult(裝備!A94)</f>
        <v/>
      </c>
      <c r="B94" t="str">
        <f>ToResult(裝備!B94)</f>
        <v/>
      </c>
      <c r="C94" t="str">
        <f>ToEquipMode(裝備!C94)</f>
        <v/>
      </c>
      <c r="D94" t="str">
        <f>ToResult(裝備!D94)</f>
        <v/>
      </c>
      <c r="E94" t="str">
        <f>ToResult(裝備!E94)</f>
        <v/>
      </c>
      <c r="F94" t="str">
        <f>ToResult(裝備!F94)</f>
        <v/>
      </c>
      <c r="G94" t="str">
        <f>ToResult(裝備!G94)</f>
        <v/>
      </c>
      <c r="H94" t="str">
        <f>ToResult(裝備!H94)</f>
        <v/>
      </c>
      <c r="I94" t="str">
        <f>ToEquipRange(裝備!I94)</f>
        <v/>
      </c>
      <c r="J94" t="str">
        <f>ToEquipResource(裝備!J94)</f>
        <v/>
      </c>
    </row>
    <row r="95" spans="1:10">
      <c r="A95" t="str">
        <f>ToResult(裝備!A95)</f>
        <v/>
      </c>
      <c r="B95" t="str">
        <f>ToResult(裝備!B95)</f>
        <v/>
      </c>
      <c r="C95" t="str">
        <f>ToEquipMode(裝備!C95)</f>
        <v/>
      </c>
      <c r="D95" t="str">
        <f>ToResult(裝備!D95)</f>
        <v/>
      </c>
      <c r="E95" t="str">
        <f>ToResult(裝備!E95)</f>
        <v/>
      </c>
      <c r="F95" t="str">
        <f>ToResult(裝備!F95)</f>
        <v/>
      </c>
      <c r="G95" t="str">
        <f>ToResult(裝備!G95)</f>
        <v/>
      </c>
      <c r="H95" t="str">
        <f>ToResult(裝備!H95)</f>
        <v/>
      </c>
      <c r="I95" t="str">
        <f>ToEquipRange(裝備!I95)</f>
        <v/>
      </c>
      <c r="J95" t="str">
        <f>ToEquipResource(裝備!J95)</f>
        <v/>
      </c>
    </row>
    <row r="96" spans="1:10">
      <c r="A96" t="str">
        <f>ToResult(裝備!A96)</f>
        <v/>
      </c>
      <c r="B96" t="str">
        <f>ToResult(裝備!B96)</f>
        <v/>
      </c>
      <c r="C96" t="str">
        <f>ToEquipMode(裝備!C96)</f>
        <v/>
      </c>
      <c r="D96" t="str">
        <f>ToResult(裝備!D96)</f>
        <v/>
      </c>
      <c r="E96" t="str">
        <f>ToResult(裝備!E96)</f>
        <v/>
      </c>
      <c r="F96" t="str">
        <f>ToResult(裝備!F96)</f>
        <v/>
      </c>
      <c r="G96" t="str">
        <f>ToResult(裝備!G96)</f>
        <v/>
      </c>
      <c r="H96" t="str">
        <f>ToResult(裝備!H96)</f>
        <v/>
      </c>
      <c r="I96" t="str">
        <f>ToEquipRange(裝備!I96)</f>
        <v/>
      </c>
      <c r="J96" t="str">
        <f>ToEquipResource(裝備!J96)</f>
        <v/>
      </c>
    </row>
    <row r="97" spans="1:10">
      <c r="A97" t="str">
        <f>ToResult(裝備!A97)</f>
        <v/>
      </c>
      <c r="B97" t="str">
        <f>ToResult(裝備!B97)</f>
        <v/>
      </c>
      <c r="C97" t="str">
        <f>ToEquipMode(裝備!C97)</f>
        <v/>
      </c>
      <c r="D97" t="str">
        <f>ToResult(裝備!D97)</f>
        <v/>
      </c>
      <c r="E97" t="str">
        <f>ToResult(裝備!E97)</f>
        <v/>
      </c>
      <c r="F97" t="str">
        <f>ToResult(裝備!F97)</f>
        <v/>
      </c>
      <c r="G97" t="str">
        <f>ToResult(裝備!G97)</f>
        <v/>
      </c>
      <c r="H97" t="str">
        <f>ToResult(裝備!H97)</f>
        <v/>
      </c>
      <c r="I97" t="str">
        <f>ToEquipRange(裝備!I97)</f>
        <v/>
      </c>
      <c r="J97" t="str">
        <f>ToEquipResource(裝備!J97)</f>
        <v/>
      </c>
    </row>
    <row r="98" spans="1:10">
      <c r="A98" t="str">
        <f>ToResult(裝備!A98)</f>
        <v/>
      </c>
      <c r="B98" t="str">
        <f>ToResult(裝備!B98)</f>
        <v/>
      </c>
      <c r="C98" t="str">
        <f>ToEquipMode(裝備!C98)</f>
        <v/>
      </c>
      <c r="D98" t="str">
        <f>ToResult(裝備!D98)</f>
        <v/>
      </c>
      <c r="E98" t="str">
        <f>ToResult(裝備!E98)</f>
        <v/>
      </c>
      <c r="F98" t="str">
        <f>ToResult(裝備!F98)</f>
        <v/>
      </c>
      <c r="G98" t="str">
        <f>ToResult(裝備!G98)</f>
        <v/>
      </c>
      <c r="H98" t="str">
        <f>ToResult(裝備!H98)</f>
        <v/>
      </c>
      <c r="I98" t="str">
        <f>ToEquipRange(裝備!I98)</f>
        <v/>
      </c>
      <c r="J98" t="str">
        <f>ToEquipResource(裝備!J98)</f>
        <v/>
      </c>
    </row>
    <row r="99" spans="1:10">
      <c r="A99" t="str">
        <f>ToResult(裝備!A99)</f>
        <v/>
      </c>
      <c r="B99" t="str">
        <f>ToResult(裝備!B99)</f>
        <v/>
      </c>
      <c r="C99" t="str">
        <f>ToEquipMode(裝備!C99)</f>
        <v/>
      </c>
      <c r="D99" t="str">
        <f>ToResult(裝備!D99)</f>
        <v/>
      </c>
      <c r="E99" t="str">
        <f>ToResult(裝備!E99)</f>
        <v/>
      </c>
      <c r="F99" t="str">
        <f>ToResult(裝備!F99)</f>
        <v/>
      </c>
      <c r="G99" t="str">
        <f>ToResult(裝備!G99)</f>
        <v/>
      </c>
      <c r="H99" t="str">
        <f>ToResult(裝備!H99)</f>
        <v/>
      </c>
      <c r="I99" t="str">
        <f>ToEquipRange(裝備!I99)</f>
        <v/>
      </c>
      <c r="J99" t="str">
        <f>ToEquipResource(裝備!J99)</f>
        <v/>
      </c>
    </row>
    <row r="100" spans="1:10">
      <c r="A100" t="str">
        <f>ToResult(裝備!A100)</f>
        <v/>
      </c>
      <c r="B100" t="str">
        <f>ToResult(裝備!B100)</f>
        <v/>
      </c>
      <c r="C100" t="str">
        <f>ToEquipMode(裝備!C100)</f>
        <v/>
      </c>
      <c r="D100" t="str">
        <f>ToResult(裝備!D100)</f>
        <v/>
      </c>
      <c r="E100" t="str">
        <f>ToResult(裝備!E100)</f>
        <v/>
      </c>
      <c r="F100" t="str">
        <f>ToResult(裝備!F100)</f>
        <v/>
      </c>
      <c r="G100" t="str">
        <f>ToResult(裝備!G100)</f>
        <v/>
      </c>
      <c r="H100" t="str">
        <f>ToResult(裝備!H100)</f>
        <v/>
      </c>
      <c r="I100" t="str">
        <f>ToEquipRange(裝備!I100)</f>
        <v/>
      </c>
      <c r="J100" t="str">
        <f>ToEquipResource(裝備!J100)</f>
        <v/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H100"/>
  <sheetViews>
    <sheetView workbookViewId="0">
      <selection activeCell="H30" sqref="H30"/>
    </sheetView>
  </sheetViews>
  <sheetFormatPr defaultRowHeight="16.5"/>
  <cols>
    <col min="1" max="8" width="15.625" customWidth="1"/>
  </cols>
  <sheetData>
    <row r="1" spans="1:8" s="4" customFormat="1">
      <c r="A1" s="4" t="str">
        <f>特性!A1</f>
        <v>GUID</v>
      </c>
      <c r="B1" s="29" t="str">
        <f>特性!B1</f>
        <v>StrID</v>
      </c>
      <c r="C1" s="29" t="str">
        <f>特性!C1</f>
        <v>Mode</v>
      </c>
      <c r="D1" s="29" t="str">
        <f>特性!D1</f>
        <v>Threat</v>
      </c>
      <c r="E1" s="29" t="str">
        <f>特性!E1</f>
        <v>Gain</v>
      </c>
      <c r="F1" s="29" t="str">
        <f>特性!F1</f>
        <v>Group</v>
      </c>
      <c r="G1" s="29" t="str">
        <f>特性!G1</f>
        <v>Value</v>
      </c>
      <c r="H1" s="29" t="str">
        <f>特性!H1</f>
        <v>Description</v>
      </c>
    </row>
    <row r="2" spans="1:8">
      <c r="A2" t="str">
        <f>ToResult(特性!A2)</f>
        <v>1</v>
      </c>
      <c r="B2" t="str">
        <f>ToResult(特性!B2)</f>
        <v>2001</v>
      </c>
      <c r="C2" t="str">
        <f>ToFeatureMode(特性!C2)</f>
        <v>1</v>
      </c>
      <c r="D2" t="str">
        <f>ToResult(特性!D2)</f>
        <v>4</v>
      </c>
      <c r="E2" t="str">
        <f>ToResult(特性!E2)</f>
        <v>3</v>
      </c>
      <c r="F2" t="str">
        <f>ToResult(特性!F2)</f>
        <v>1</v>
      </c>
      <c r="G2" t="str">
        <f>ToResult(特性!G2)</f>
        <v>4</v>
      </c>
      <c r="H2" t="str">
        <f>ToResult(特性!H2)</f>
        <v>3001</v>
      </c>
    </row>
    <row r="3" spans="1:8">
      <c r="A3" t="str">
        <f>ToResult(特性!A3)</f>
        <v>2</v>
      </c>
      <c r="B3" t="str">
        <f>ToResult(特性!B3)</f>
        <v>2002</v>
      </c>
      <c r="C3" t="str">
        <f>ToFeatureMode(特性!C3)</f>
        <v>1</v>
      </c>
      <c r="D3" t="str">
        <f>ToResult(特性!D3)</f>
        <v>6</v>
      </c>
      <c r="E3" t="str">
        <f>ToResult(特性!E3)</f>
        <v>3</v>
      </c>
      <c r="F3" t="str">
        <f>ToResult(特性!F3)</f>
        <v>1</v>
      </c>
      <c r="G3" t="str">
        <f>ToResult(特性!G3)</f>
        <v>8</v>
      </c>
      <c r="H3" t="str">
        <f>ToResult(特性!H3)</f>
        <v>3002</v>
      </c>
    </row>
    <row r="4" spans="1:8">
      <c r="A4" t="str">
        <f>ToResult(特性!A4)</f>
        <v>3</v>
      </c>
      <c r="B4" t="str">
        <f>ToResult(特性!B4)</f>
        <v>2003</v>
      </c>
      <c r="C4" t="str">
        <f>ToFeatureMode(特性!C4)</f>
        <v>1</v>
      </c>
      <c r="D4" t="str">
        <f>ToResult(特性!D4)</f>
        <v>0</v>
      </c>
      <c r="E4" t="str">
        <f>ToResult(特性!E4)</f>
        <v>3</v>
      </c>
      <c r="F4" t="str">
        <f>ToResult(特性!F4)</f>
        <v>2</v>
      </c>
      <c r="G4" t="str">
        <f>ToResult(特性!G4)</f>
        <v>-4</v>
      </c>
      <c r="H4" t="str">
        <f>ToResult(特性!H4)</f>
        <v>3003</v>
      </c>
    </row>
    <row r="5" spans="1:8">
      <c r="A5" t="str">
        <f>ToResult(特性!A5)</f>
        <v>4</v>
      </c>
      <c r="B5" t="str">
        <f>ToResult(特性!B5)</f>
        <v>2004</v>
      </c>
      <c r="C5" t="str">
        <f>ToFeatureMode(特性!C5)</f>
        <v>1</v>
      </c>
      <c r="D5" t="str">
        <f>ToResult(特性!D5)</f>
        <v>0</v>
      </c>
      <c r="E5" t="str">
        <f>ToResult(特性!E5)</f>
        <v>3</v>
      </c>
      <c r="F5" t="str">
        <f>ToResult(特性!F5)</f>
        <v>2</v>
      </c>
      <c r="G5" t="str">
        <f>ToResult(特性!G5)</f>
        <v>-8</v>
      </c>
      <c r="H5" t="str">
        <f>ToResult(特性!H5)</f>
        <v>3004</v>
      </c>
    </row>
    <row r="6" spans="1:8">
      <c r="A6" t="str">
        <f>ToResult(特性!A6)</f>
        <v>5</v>
      </c>
      <c r="B6" t="str">
        <f>ToResult(特性!B6)</f>
        <v>2005</v>
      </c>
      <c r="C6" t="str">
        <f>ToFeatureMode(特性!C6)</f>
        <v>2</v>
      </c>
      <c r="D6" t="str">
        <f>ToResult(特性!D6)</f>
        <v>8</v>
      </c>
      <c r="E6" t="str">
        <f>ToResult(特性!E6)</f>
        <v>3</v>
      </c>
      <c r="F6" t="str">
        <f>ToResult(特性!F6)</f>
        <v>3</v>
      </c>
      <c r="G6" t="str">
        <f>ToResult(特性!G6)</f>
        <v>2</v>
      </c>
      <c r="H6" t="str">
        <f>ToResult(特性!H6)</f>
        <v>3005</v>
      </c>
    </row>
    <row r="7" spans="1:8">
      <c r="A7" t="str">
        <f>ToResult(特性!A7)</f>
        <v>6</v>
      </c>
      <c r="B7" t="str">
        <f>ToResult(特性!B7)</f>
        <v>2006</v>
      </c>
      <c r="C7" t="str">
        <f>ToFeatureMode(特性!C7)</f>
        <v>2</v>
      </c>
      <c r="D7" t="str">
        <f>ToResult(特性!D7)</f>
        <v>10</v>
      </c>
      <c r="E7" t="str">
        <f>ToResult(特性!E7)</f>
        <v>3</v>
      </c>
      <c r="F7" t="str">
        <f>ToResult(特性!F7)</f>
        <v>3</v>
      </c>
      <c r="G7" t="str">
        <f>ToResult(特性!G7)</f>
        <v>3</v>
      </c>
      <c r="H7" t="str">
        <f>ToResult(特性!H7)</f>
        <v>3006</v>
      </c>
    </row>
    <row r="8" spans="1:8">
      <c r="A8" t="str">
        <f>ToResult(特性!A8)</f>
        <v>7</v>
      </c>
      <c r="B8" t="str">
        <f>ToResult(特性!B8)</f>
        <v>2007</v>
      </c>
      <c r="C8" t="str">
        <f>ToFeatureMode(特性!C8)</f>
        <v>2</v>
      </c>
      <c r="D8" t="str">
        <f>ToResult(特性!D8)</f>
        <v>0</v>
      </c>
      <c r="E8" t="str">
        <f>ToResult(特性!E8)</f>
        <v>3</v>
      </c>
      <c r="F8" t="str">
        <f>ToResult(特性!F8)</f>
        <v>3</v>
      </c>
      <c r="G8" t="str">
        <f>ToResult(特性!G8)</f>
        <v>-2</v>
      </c>
      <c r="H8" t="str">
        <f>ToResult(特性!H8)</f>
        <v>3007</v>
      </c>
    </row>
    <row r="9" spans="1:8">
      <c r="A9" t="str">
        <f>ToResult(特性!A9)</f>
        <v>8</v>
      </c>
      <c r="B9" t="str">
        <f>ToResult(特性!B9)</f>
        <v>2008</v>
      </c>
      <c r="C9" t="str">
        <f>ToFeatureMode(特性!C9)</f>
        <v>2</v>
      </c>
      <c r="D9" t="str">
        <f>ToResult(特性!D9)</f>
        <v>0</v>
      </c>
      <c r="E9" t="str">
        <f>ToResult(特性!E9)</f>
        <v>3</v>
      </c>
      <c r="F9" t="str">
        <f>ToResult(特性!F9)</f>
        <v>3</v>
      </c>
      <c r="G9" t="str">
        <f>ToResult(特性!G9)</f>
        <v>-3</v>
      </c>
      <c r="H9" t="str">
        <f>ToResult(特性!H9)</f>
        <v>3008</v>
      </c>
    </row>
    <row r="10" spans="1:8">
      <c r="A10" t="str">
        <f>ToResult(特性!A10)</f>
        <v>9</v>
      </c>
      <c r="B10" t="str">
        <f>ToResult(特性!B10)</f>
        <v>2009</v>
      </c>
      <c r="C10" t="str">
        <f>ToFeatureMode(特性!C10)</f>
        <v>3</v>
      </c>
      <c r="D10" t="str">
        <f>ToResult(特性!D10)</f>
        <v>0</v>
      </c>
      <c r="E10" t="str">
        <f>ToResult(特性!E10)</f>
        <v>3</v>
      </c>
      <c r="F10" t="str">
        <f>ToResult(特性!F10)</f>
        <v>4</v>
      </c>
      <c r="G10" t="str">
        <f>ToResult(特性!G10)</f>
        <v>-0.2</v>
      </c>
      <c r="H10" t="str">
        <f>ToResult(特性!H10)</f>
        <v>3009</v>
      </c>
    </row>
    <row r="11" spans="1:8">
      <c r="A11" t="str">
        <f>ToResult(特性!A11)</f>
        <v>10</v>
      </c>
      <c r="B11" t="str">
        <f>ToResult(特性!B11)</f>
        <v>2010</v>
      </c>
      <c r="C11" t="str">
        <f>ToFeatureMode(特性!C11)</f>
        <v>3</v>
      </c>
      <c r="D11" t="str">
        <f>ToResult(特性!D11)</f>
        <v>0</v>
      </c>
      <c r="E11" t="str">
        <f>ToResult(特性!E11)</f>
        <v>3</v>
      </c>
      <c r="F11" t="str">
        <f>ToResult(特性!F11)</f>
        <v>4</v>
      </c>
      <c r="G11" t="str">
        <f>ToResult(特性!G11)</f>
        <v>-0.1</v>
      </c>
      <c r="H11" t="str">
        <f>ToResult(特性!H11)</f>
        <v>3010</v>
      </c>
    </row>
    <row r="12" spans="1:8">
      <c r="A12" t="str">
        <f>ToResult(特性!A12)</f>
        <v>11</v>
      </c>
      <c r="B12" t="str">
        <f>ToResult(特性!B12)</f>
        <v>2011</v>
      </c>
      <c r="C12" t="str">
        <f>ToFeatureMode(特性!C12)</f>
        <v>3</v>
      </c>
      <c r="D12" t="str">
        <f>ToResult(特性!D12)</f>
        <v>4</v>
      </c>
      <c r="E12" t="str">
        <f>ToResult(特性!E12)</f>
        <v>3</v>
      </c>
      <c r="F12" t="str">
        <f>ToResult(特性!F12)</f>
        <v>4</v>
      </c>
      <c r="G12" t="str">
        <f>ToResult(特性!G12)</f>
        <v>0.1</v>
      </c>
      <c r="H12" t="str">
        <f>ToResult(特性!H12)</f>
        <v>3011</v>
      </c>
    </row>
    <row r="13" spans="1:8">
      <c r="A13" t="str">
        <f>ToResult(特性!A13)</f>
        <v>12</v>
      </c>
      <c r="B13" t="str">
        <f>ToResult(特性!B13)</f>
        <v>2012</v>
      </c>
      <c r="C13" t="str">
        <f>ToFeatureMode(特性!C13)</f>
        <v>3</v>
      </c>
      <c r="D13" t="str">
        <f>ToResult(特性!D13)</f>
        <v>6</v>
      </c>
      <c r="E13" t="str">
        <f>ToResult(特性!E13)</f>
        <v>3</v>
      </c>
      <c r="F13" t="str">
        <f>ToResult(特性!F13)</f>
        <v>4</v>
      </c>
      <c r="G13" t="str">
        <f>ToResult(特性!G13)</f>
        <v>0.2</v>
      </c>
      <c r="H13" t="str">
        <f>ToResult(特性!H13)</f>
        <v>3012</v>
      </c>
    </row>
    <row r="14" spans="1:8">
      <c r="A14" t="str">
        <f>ToResult(特性!A14)</f>
        <v>13</v>
      </c>
      <c r="B14" t="str">
        <f>ToResult(特性!B14)</f>
        <v>2013</v>
      </c>
      <c r="C14" t="str">
        <f>ToFeatureMode(特性!C14)</f>
        <v>4</v>
      </c>
      <c r="D14" t="str">
        <f>ToResult(特性!D14)</f>
        <v>4</v>
      </c>
      <c r="E14" t="str">
        <f>ToResult(特性!E14)</f>
        <v>3</v>
      </c>
      <c r="F14" t="str">
        <f>ToResult(特性!F14)</f>
        <v>5</v>
      </c>
      <c r="G14" t="str">
        <f>ToResult(特性!G14)</f>
        <v>10</v>
      </c>
      <c r="H14" t="str">
        <f>ToResult(特性!H14)</f>
        <v>3013</v>
      </c>
    </row>
    <row r="15" spans="1:8">
      <c r="A15" t="str">
        <f>ToResult(特性!A15)</f>
        <v>14</v>
      </c>
      <c r="B15" t="str">
        <f>ToResult(特性!B15)</f>
        <v>2014</v>
      </c>
      <c r="C15" t="str">
        <f>ToFeatureMode(特性!C15)</f>
        <v>4</v>
      </c>
      <c r="D15" t="str">
        <f>ToResult(特性!D15)</f>
        <v>0</v>
      </c>
      <c r="E15" t="str">
        <f>ToResult(特性!E15)</f>
        <v>3</v>
      </c>
      <c r="F15" t="str">
        <f>ToResult(特性!F15)</f>
        <v>5</v>
      </c>
      <c r="G15" t="str">
        <f>ToResult(特性!G15)</f>
        <v>-10</v>
      </c>
      <c r="H15" t="str">
        <f>ToResult(特性!H15)</f>
        <v>3014</v>
      </c>
    </row>
    <row r="16" spans="1:8">
      <c r="A16" t="str">
        <f>ToResult(特性!A16)</f>
        <v>15</v>
      </c>
      <c r="B16" t="str">
        <f>ToResult(特性!B16)</f>
        <v>2015</v>
      </c>
      <c r="C16" t="str">
        <f>ToFeatureMode(特性!C16)</f>
        <v>5</v>
      </c>
      <c r="D16" t="str">
        <f>ToResult(特性!D16)</f>
        <v>14</v>
      </c>
      <c r="E16" t="str">
        <f>ToResult(特性!E16)</f>
        <v>2</v>
      </c>
      <c r="F16" t="str">
        <f>ToResult(特性!F16)</f>
        <v>6</v>
      </c>
      <c r="G16" t="str">
        <f>ToResult(特性!G16)</f>
        <v>1</v>
      </c>
      <c r="H16" t="str">
        <f>ToResult(特性!H16)</f>
        <v>3015</v>
      </c>
    </row>
    <row r="17" spans="1:8">
      <c r="A17" t="str">
        <f>ToResult(特性!A17)</f>
        <v>16</v>
      </c>
      <c r="B17" t="str">
        <f>ToResult(特性!B17)</f>
        <v>2016</v>
      </c>
      <c r="C17" t="str">
        <f>ToFeatureMode(特性!C17)</f>
        <v>5</v>
      </c>
      <c r="D17" t="str">
        <f>ToResult(特性!D17)</f>
        <v>16</v>
      </c>
      <c r="E17" t="str">
        <f>ToResult(特性!E17)</f>
        <v>1</v>
      </c>
      <c r="F17" t="str">
        <f>ToResult(特性!F17)</f>
        <v>6</v>
      </c>
      <c r="G17" t="str">
        <f>ToResult(特性!G17)</f>
        <v>2</v>
      </c>
      <c r="H17" t="str">
        <f>ToResult(特性!H17)</f>
        <v>3016</v>
      </c>
    </row>
    <row r="18" spans="1:8">
      <c r="A18" t="str">
        <f>ToResult(特性!A18)</f>
        <v>17</v>
      </c>
      <c r="B18" t="str">
        <f>ToResult(特性!B18)</f>
        <v>2017</v>
      </c>
      <c r="C18" t="str">
        <f>ToFeatureMode(特性!C18)</f>
        <v>6</v>
      </c>
      <c r="D18" t="str">
        <f>ToResult(特性!D18)</f>
        <v>4</v>
      </c>
      <c r="E18" t="str">
        <f>ToResult(特性!E18)</f>
        <v>2</v>
      </c>
      <c r="F18" t="str">
        <f>ToResult(特性!F18)</f>
        <v>7</v>
      </c>
      <c r="G18" t="str">
        <f>ToResult(特性!G18)</f>
        <v>3</v>
      </c>
      <c r="H18" t="str">
        <f>ToResult(特性!H18)</f>
        <v>3017</v>
      </c>
    </row>
    <row r="19" spans="1:8">
      <c r="A19" t="str">
        <f>ToResult(特性!A19)</f>
        <v>18</v>
      </c>
      <c r="B19" t="str">
        <f>ToResult(特性!B19)</f>
        <v>2018</v>
      </c>
      <c r="C19" t="str">
        <f>ToFeatureMode(特性!C19)</f>
        <v>6</v>
      </c>
      <c r="D19" t="str">
        <f>ToResult(特性!D19)</f>
        <v>8</v>
      </c>
      <c r="E19" t="str">
        <f>ToResult(特性!E19)</f>
        <v>1</v>
      </c>
      <c r="F19" t="str">
        <f>ToResult(特性!F19)</f>
        <v>7</v>
      </c>
      <c r="G19" t="str">
        <f>ToResult(特性!G19)</f>
        <v>5</v>
      </c>
      <c r="H19" t="str">
        <f>ToResult(特性!H19)</f>
        <v>3018</v>
      </c>
    </row>
    <row r="20" spans="1:8">
      <c r="A20" t="str">
        <f>ToResult(特性!A20)</f>
        <v>19</v>
      </c>
      <c r="B20" t="str">
        <f>ToResult(特性!B20)</f>
        <v>2019</v>
      </c>
      <c r="C20" t="str">
        <f>ToFeatureMode(特性!C20)</f>
        <v>7</v>
      </c>
      <c r="D20" t="str">
        <f>ToResult(特性!D20)</f>
        <v>2</v>
      </c>
      <c r="E20" t="str">
        <f>ToResult(特性!E20)</f>
        <v>3</v>
      </c>
      <c r="F20" t="str">
        <f>ToResult(特性!F20)</f>
        <v>8</v>
      </c>
      <c r="G20" t="str">
        <f>ToResult(特性!G20)</f>
        <v>1.2</v>
      </c>
      <c r="H20" t="str">
        <f>ToResult(特性!H20)</f>
        <v>3019</v>
      </c>
    </row>
    <row r="21" spans="1:8">
      <c r="A21" t="str">
        <f>ToResult(特性!A21)</f>
        <v>20</v>
      </c>
      <c r="B21" t="str">
        <f>ToResult(特性!B21)</f>
        <v>2020</v>
      </c>
      <c r="C21" t="str">
        <f>ToFeatureMode(特性!C21)</f>
        <v>7</v>
      </c>
      <c r="D21" t="str">
        <f>ToResult(特性!D21)</f>
        <v>2</v>
      </c>
      <c r="E21" t="str">
        <f>ToResult(特性!E21)</f>
        <v>3</v>
      </c>
      <c r="F21" t="str">
        <f>ToResult(特性!F21)</f>
        <v>8</v>
      </c>
      <c r="G21" t="str">
        <f>ToResult(特性!G21)</f>
        <v>1.3</v>
      </c>
      <c r="H21" t="str">
        <f>ToResult(特性!H21)</f>
        <v>3020</v>
      </c>
    </row>
    <row r="22" spans="1:8">
      <c r="A22" t="str">
        <f>ToResult(特性!A22)</f>
        <v>21</v>
      </c>
      <c r="B22" t="str">
        <f>ToResult(特性!B22)</f>
        <v>2021</v>
      </c>
      <c r="C22" t="str">
        <f>ToFeatureMode(特性!C22)</f>
        <v>8</v>
      </c>
      <c r="D22" t="str">
        <f>ToResult(特性!D22)</f>
        <v>10</v>
      </c>
      <c r="E22" t="str">
        <f>ToResult(特性!E22)</f>
        <v>2</v>
      </c>
      <c r="F22" t="str">
        <f>ToResult(特性!F22)</f>
        <v>9</v>
      </c>
      <c r="G22" t="str">
        <f>ToResult(特性!G22)</f>
        <v>0</v>
      </c>
      <c r="H22" t="str">
        <f>ToResult(特性!H22)</f>
        <v>3021</v>
      </c>
    </row>
    <row r="23" spans="1:8">
      <c r="A23" t="str">
        <f>ToResult(特性!A23)</f>
        <v>22</v>
      </c>
      <c r="B23" t="str">
        <f>ToResult(特性!B23)</f>
        <v>2022</v>
      </c>
      <c r="C23" t="str">
        <f>ToFeatureMode(特性!C23)</f>
        <v>0</v>
      </c>
      <c r="D23" t="str">
        <f>ToResult(特性!D23)</f>
        <v>-10</v>
      </c>
      <c r="E23" t="str">
        <f>ToResult(特性!E23)</f>
        <v>3</v>
      </c>
      <c r="F23" t="str">
        <f>ToResult(特性!F23)</f>
        <v>10</v>
      </c>
      <c r="G23" t="str">
        <f>ToResult(特性!G23)</f>
        <v>0</v>
      </c>
      <c r="H23" t="str">
        <f>ToResult(特性!H23)</f>
        <v>3022</v>
      </c>
    </row>
    <row r="24" spans="1:8">
      <c r="A24" t="str">
        <f>ToResult(特性!A24)</f>
        <v>23</v>
      </c>
      <c r="B24" t="str">
        <f>ToResult(特性!B24)</f>
        <v>2023</v>
      </c>
      <c r="C24" t="str">
        <f>ToFeatureMode(特性!C24)</f>
        <v>0</v>
      </c>
      <c r="D24" t="str">
        <f>ToResult(特性!D24)</f>
        <v>20</v>
      </c>
      <c r="E24" t="str">
        <f>ToResult(特性!E24)</f>
        <v>3</v>
      </c>
      <c r="F24" t="str">
        <f>ToResult(特性!F24)</f>
        <v>10</v>
      </c>
      <c r="G24" t="str">
        <f>ToResult(特性!G24)</f>
        <v>0</v>
      </c>
      <c r="H24" t="str">
        <f>ToResult(特性!H24)</f>
        <v>3023</v>
      </c>
    </row>
    <row r="25" spans="1:8">
      <c r="A25" t="str">
        <f>ToResult(特性!A25)</f>
        <v/>
      </c>
      <c r="B25" t="str">
        <f>ToResult(特性!B25)</f>
        <v/>
      </c>
      <c r="C25" t="str">
        <f>ToFeatureMode(特性!C25)</f>
        <v/>
      </c>
      <c r="D25" t="str">
        <f>ToResult(特性!D25)</f>
        <v/>
      </c>
      <c r="E25" t="str">
        <f>ToResult(特性!E25)</f>
        <v/>
      </c>
      <c r="F25" t="str">
        <f>ToResult(特性!F25)</f>
        <v/>
      </c>
      <c r="G25" t="str">
        <f>ToResult(特性!G25)</f>
        <v/>
      </c>
      <c r="H25" t="str">
        <f>ToResult(特性!H25)</f>
        <v/>
      </c>
    </row>
    <row r="26" spans="1:8">
      <c r="A26" t="str">
        <f>ToResult(特性!A26)</f>
        <v/>
      </c>
      <c r="B26" t="str">
        <f>ToResult(特性!B26)</f>
        <v/>
      </c>
      <c r="C26" t="str">
        <f>ToFeatureMode(特性!C26)</f>
        <v/>
      </c>
      <c r="D26" t="str">
        <f>ToResult(特性!D26)</f>
        <v/>
      </c>
      <c r="E26" t="str">
        <f>ToResult(特性!E26)</f>
        <v/>
      </c>
      <c r="F26" t="str">
        <f>ToResult(特性!F26)</f>
        <v/>
      </c>
      <c r="G26" t="str">
        <f>ToResult(特性!G26)</f>
        <v/>
      </c>
      <c r="H26" t="str">
        <f>ToResult(特性!H26)</f>
        <v/>
      </c>
    </row>
    <row r="27" spans="1:8">
      <c r="A27" t="str">
        <f>ToResult(特性!A27)</f>
        <v/>
      </c>
      <c r="B27" t="str">
        <f>ToResult(特性!B27)</f>
        <v/>
      </c>
      <c r="C27" t="str">
        <f>ToFeatureMode(特性!C27)</f>
        <v/>
      </c>
      <c r="D27" t="str">
        <f>ToResult(特性!D27)</f>
        <v/>
      </c>
      <c r="E27" t="str">
        <f>ToResult(特性!E27)</f>
        <v/>
      </c>
      <c r="F27" t="str">
        <f>ToResult(特性!F27)</f>
        <v/>
      </c>
      <c r="G27" t="str">
        <f>ToResult(特性!G27)</f>
        <v/>
      </c>
      <c r="H27" t="str">
        <f>ToResult(特性!H27)</f>
        <v/>
      </c>
    </row>
    <row r="28" spans="1:8">
      <c r="A28" t="str">
        <f>ToResult(特性!A28)</f>
        <v/>
      </c>
      <c r="B28" t="str">
        <f>ToResult(特性!B28)</f>
        <v/>
      </c>
      <c r="C28" t="str">
        <f>ToFeatureMode(特性!C28)</f>
        <v/>
      </c>
      <c r="D28" t="str">
        <f>ToResult(特性!D28)</f>
        <v/>
      </c>
      <c r="E28" t="str">
        <f>ToResult(特性!E28)</f>
        <v/>
      </c>
      <c r="F28" t="str">
        <f>ToResult(特性!F28)</f>
        <v/>
      </c>
      <c r="G28" t="str">
        <f>ToResult(特性!G28)</f>
        <v/>
      </c>
      <c r="H28" t="str">
        <f>ToResult(特性!H28)</f>
        <v/>
      </c>
    </row>
    <row r="29" spans="1:8">
      <c r="A29" t="str">
        <f>ToResult(特性!A29)</f>
        <v/>
      </c>
      <c r="B29" t="str">
        <f>ToResult(特性!B29)</f>
        <v/>
      </c>
      <c r="C29" t="str">
        <f>ToFeatureMode(特性!C29)</f>
        <v/>
      </c>
      <c r="D29" t="str">
        <f>ToResult(特性!D29)</f>
        <v/>
      </c>
      <c r="E29" t="str">
        <f>ToResult(特性!E29)</f>
        <v/>
      </c>
      <c r="F29" t="str">
        <f>ToResult(特性!F29)</f>
        <v/>
      </c>
      <c r="G29" t="str">
        <f>ToResult(特性!G29)</f>
        <v/>
      </c>
      <c r="H29" t="str">
        <f>ToResult(特性!H29)</f>
        <v/>
      </c>
    </row>
    <row r="30" spans="1:8">
      <c r="A30" t="str">
        <f>ToResult(特性!A30)</f>
        <v/>
      </c>
      <c r="B30" t="str">
        <f>ToResult(特性!B30)</f>
        <v/>
      </c>
      <c r="C30" t="str">
        <f>ToFeatureMode(特性!C30)</f>
        <v/>
      </c>
      <c r="D30" t="str">
        <f>ToResult(特性!D30)</f>
        <v/>
      </c>
      <c r="E30" t="str">
        <f>ToResult(特性!E30)</f>
        <v/>
      </c>
      <c r="F30" t="str">
        <f>ToResult(特性!F30)</f>
        <v/>
      </c>
      <c r="G30" t="str">
        <f>ToResult(特性!G30)</f>
        <v/>
      </c>
      <c r="H30" t="str">
        <f>ToResult(特性!H30)</f>
        <v/>
      </c>
    </row>
    <row r="31" spans="1:8">
      <c r="A31" t="str">
        <f>ToResult(特性!A31)</f>
        <v/>
      </c>
      <c r="B31" t="str">
        <f>ToResult(特性!B31)</f>
        <v/>
      </c>
      <c r="C31" t="str">
        <f>ToFeatureMode(特性!C31)</f>
        <v/>
      </c>
      <c r="D31" t="str">
        <f>ToResult(特性!D31)</f>
        <v/>
      </c>
      <c r="E31" t="str">
        <f>ToResult(特性!E31)</f>
        <v/>
      </c>
      <c r="F31" t="str">
        <f>ToResult(特性!F31)</f>
        <v/>
      </c>
      <c r="G31" t="str">
        <f>ToResult(特性!G31)</f>
        <v/>
      </c>
      <c r="H31" t="str">
        <f>ToResult(特性!H31)</f>
        <v/>
      </c>
    </row>
    <row r="32" spans="1:8">
      <c r="A32" t="str">
        <f>ToResult(特性!A32)</f>
        <v/>
      </c>
      <c r="B32" t="str">
        <f>ToResult(特性!B32)</f>
        <v/>
      </c>
      <c r="C32" t="str">
        <f>ToFeatureMode(特性!C32)</f>
        <v/>
      </c>
      <c r="D32" t="str">
        <f>ToResult(特性!D32)</f>
        <v/>
      </c>
      <c r="E32" t="str">
        <f>ToResult(特性!E32)</f>
        <v/>
      </c>
      <c r="F32" t="str">
        <f>ToResult(特性!F32)</f>
        <v/>
      </c>
      <c r="G32" t="str">
        <f>ToResult(特性!G32)</f>
        <v/>
      </c>
      <c r="H32" t="str">
        <f>ToResult(特性!H32)</f>
        <v/>
      </c>
    </row>
    <row r="33" spans="1:8">
      <c r="A33" t="str">
        <f>ToResult(特性!A33)</f>
        <v/>
      </c>
      <c r="B33" t="str">
        <f>ToResult(特性!B33)</f>
        <v/>
      </c>
      <c r="C33" t="str">
        <f>ToFeatureMode(特性!C33)</f>
        <v/>
      </c>
      <c r="D33" t="str">
        <f>ToResult(特性!D33)</f>
        <v/>
      </c>
      <c r="E33" t="str">
        <f>ToResult(特性!E33)</f>
        <v/>
      </c>
      <c r="F33" t="str">
        <f>ToResult(特性!F33)</f>
        <v/>
      </c>
      <c r="G33" t="str">
        <f>ToResult(特性!G33)</f>
        <v/>
      </c>
      <c r="H33" t="str">
        <f>ToResult(特性!H33)</f>
        <v/>
      </c>
    </row>
    <row r="34" spans="1:8">
      <c r="A34" t="str">
        <f>ToResult(特性!A34)</f>
        <v/>
      </c>
      <c r="B34" t="str">
        <f>ToResult(特性!B34)</f>
        <v/>
      </c>
      <c r="C34" t="str">
        <f>ToFeatureMode(特性!C34)</f>
        <v/>
      </c>
      <c r="D34" t="str">
        <f>ToResult(特性!D34)</f>
        <v/>
      </c>
      <c r="E34" t="str">
        <f>ToResult(特性!E34)</f>
        <v/>
      </c>
      <c r="F34" t="str">
        <f>ToResult(特性!F34)</f>
        <v/>
      </c>
      <c r="G34" t="str">
        <f>ToResult(特性!G34)</f>
        <v/>
      </c>
      <c r="H34" t="str">
        <f>ToResult(特性!H34)</f>
        <v/>
      </c>
    </row>
    <row r="35" spans="1:8">
      <c r="A35" t="str">
        <f>ToResult(特性!A35)</f>
        <v/>
      </c>
      <c r="B35" t="str">
        <f>ToResult(特性!B35)</f>
        <v/>
      </c>
      <c r="C35" t="str">
        <f>ToFeatureMode(特性!C35)</f>
        <v/>
      </c>
      <c r="D35" t="str">
        <f>ToResult(特性!D35)</f>
        <v/>
      </c>
      <c r="E35" t="str">
        <f>ToResult(特性!E35)</f>
        <v/>
      </c>
      <c r="F35" t="str">
        <f>ToResult(特性!F35)</f>
        <v/>
      </c>
      <c r="G35" t="str">
        <f>ToResult(特性!G35)</f>
        <v/>
      </c>
      <c r="H35" t="str">
        <f>ToResult(特性!H35)</f>
        <v/>
      </c>
    </row>
    <row r="36" spans="1:8">
      <c r="A36" t="str">
        <f>ToResult(特性!A36)</f>
        <v/>
      </c>
      <c r="B36" t="str">
        <f>ToResult(特性!B36)</f>
        <v/>
      </c>
      <c r="C36" t="str">
        <f>ToFeatureMode(特性!C36)</f>
        <v/>
      </c>
      <c r="D36" t="str">
        <f>ToResult(特性!D36)</f>
        <v/>
      </c>
      <c r="E36" t="str">
        <f>ToResult(特性!E36)</f>
        <v/>
      </c>
      <c r="F36" t="str">
        <f>ToResult(特性!F36)</f>
        <v/>
      </c>
      <c r="G36" t="str">
        <f>ToResult(特性!G36)</f>
        <v/>
      </c>
      <c r="H36" t="str">
        <f>ToResult(特性!H36)</f>
        <v/>
      </c>
    </row>
    <row r="37" spans="1:8">
      <c r="A37" t="str">
        <f>ToResult(特性!A37)</f>
        <v/>
      </c>
      <c r="B37" t="str">
        <f>ToResult(特性!B37)</f>
        <v/>
      </c>
      <c r="C37" t="str">
        <f>ToFeatureMode(特性!C37)</f>
        <v/>
      </c>
      <c r="D37" t="str">
        <f>ToResult(特性!D37)</f>
        <v/>
      </c>
      <c r="E37" t="str">
        <f>ToResult(特性!E37)</f>
        <v/>
      </c>
      <c r="F37" t="str">
        <f>ToResult(特性!F37)</f>
        <v/>
      </c>
      <c r="G37" t="str">
        <f>ToResult(特性!G37)</f>
        <v/>
      </c>
      <c r="H37" t="str">
        <f>ToResult(特性!H37)</f>
        <v/>
      </c>
    </row>
    <row r="38" spans="1:8">
      <c r="A38" t="str">
        <f>ToResult(特性!A38)</f>
        <v/>
      </c>
      <c r="B38" t="str">
        <f>ToResult(特性!B38)</f>
        <v/>
      </c>
      <c r="C38" t="str">
        <f>ToFeatureMode(特性!C38)</f>
        <v/>
      </c>
      <c r="D38" t="str">
        <f>ToResult(特性!D38)</f>
        <v/>
      </c>
      <c r="E38" t="str">
        <f>ToResult(特性!E38)</f>
        <v/>
      </c>
      <c r="F38" t="str">
        <f>ToResult(特性!F38)</f>
        <v/>
      </c>
      <c r="G38" t="str">
        <f>ToResult(特性!G38)</f>
        <v/>
      </c>
      <c r="H38" t="str">
        <f>ToResult(特性!H38)</f>
        <v/>
      </c>
    </row>
    <row r="39" spans="1:8">
      <c r="A39" t="str">
        <f>ToResult(特性!A39)</f>
        <v/>
      </c>
      <c r="B39" t="str">
        <f>ToResult(特性!B39)</f>
        <v/>
      </c>
      <c r="C39" t="str">
        <f>ToFeatureMode(特性!C39)</f>
        <v/>
      </c>
      <c r="D39" t="str">
        <f>ToResult(特性!D39)</f>
        <v/>
      </c>
      <c r="E39" t="str">
        <f>ToResult(特性!E39)</f>
        <v/>
      </c>
      <c r="F39" t="str">
        <f>ToResult(特性!F39)</f>
        <v/>
      </c>
      <c r="G39" t="str">
        <f>ToResult(特性!G39)</f>
        <v/>
      </c>
      <c r="H39" t="str">
        <f>ToResult(特性!H39)</f>
        <v/>
      </c>
    </row>
    <row r="40" spans="1:8">
      <c r="A40" t="str">
        <f>ToResult(特性!A40)</f>
        <v/>
      </c>
      <c r="B40" t="str">
        <f>ToResult(特性!B40)</f>
        <v/>
      </c>
      <c r="C40" t="str">
        <f>ToFeatureMode(特性!C40)</f>
        <v/>
      </c>
      <c r="D40" t="str">
        <f>ToResult(特性!D40)</f>
        <v/>
      </c>
      <c r="E40" t="str">
        <f>ToResult(特性!E40)</f>
        <v/>
      </c>
      <c r="F40" t="str">
        <f>ToResult(特性!F40)</f>
        <v/>
      </c>
      <c r="G40" t="str">
        <f>ToResult(特性!G40)</f>
        <v/>
      </c>
      <c r="H40" t="str">
        <f>ToResult(特性!H40)</f>
        <v/>
      </c>
    </row>
    <row r="41" spans="1:8">
      <c r="A41" t="str">
        <f>ToResult(特性!A41)</f>
        <v/>
      </c>
      <c r="B41" t="str">
        <f>ToResult(特性!B41)</f>
        <v/>
      </c>
      <c r="C41" t="str">
        <f>ToFeatureMode(特性!C41)</f>
        <v/>
      </c>
      <c r="D41" t="str">
        <f>ToResult(特性!D41)</f>
        <v/>
      </c>
      <c r="E41" t="str">
        <f>ToResult(特性!E41)</f>
        <v/>
      </c>
      <c r="F41" t="str">
        <f>ToResult(特性!F41)</f>
        <v/>
      </c>
      <c r="G41" t="str">
        <f>ToResult(特性!G41)</f>
        <v/>
      </c>
      <c r="H41" t="str">
        <f>ToResult(特性!H41)</f>
        <v/>
      </c>
    </row>
    <row r="42" spans="1:8">
      <c r="A42" t="str">
        <f>ToResult(特性!A42)</f>
        <v/>
      </c>
      <c r="B42" t="str">
        <f>ToResult(特性!B42)</f>
        <v/>
      </c>
      <c r="C42" t="str">
        <f>ToFeatureMode(特性!C42)</f>
        <v/>
      </c>
      <c r="D42" t="str">
        <f>ToResult(特性!D42)</f>
        <v/>
      </c>
      <c r="E42" t="str">
        <f>ToResult(特性!E42)</f>
        <v/>
      </c>
      <c r="F42" t="str">
        <f>ToResult(特性!F42)</f>
        <v/>
      </c>
      <c r="G42" t="str">
        <f>ToResult(特性!G42)</f>
        <v/>
      </c>
      <c r="H42" t="str">
        <f>ToResult(特性!H42)</f>
        <v/>
      </c>
    </row>
    <row r="43" spans="1:8">
      <c r="A43" t="str">
        <f>ToResult(特性!A43)</f>
        <v/>
      </c>
      <c r="B43" t="str">
        <f>ToResult(特性!B43)</f>
        <v/>
      </c>
      <c r="C43" t="str">
        <f>ToFeatureMode(特性!C43)</f>
        <v/>
      </c>
      <c r="D43" t="str">
        <f>ToResult(特性!D43)</f>
        <v/>
      </c>
      <c r="E43" t="str">
        <f>ToResult(特性!E43)</f>
        <v/>
      </c>
      <c r="F43" t="str">
        <f>ToResult(特性!F43)</f>
        <v/>
      </c>
      <c r="G43" t="str">
        <f>ToResult(特性!G43)</f>
        <v/>
      </c>
      <c r="H43" t="str">
        <f>ToResult(特性!H43)</f>
        <v/>
      </c>
    </row>
    <row r="44" spans="1:8">
      <c r="A44" t="str">
        <f>ToResult(特性!A44)</f>
        <v/>
      </c>
      <c r="B44" t="str">
        <f>ToResult(特性!B44)</f>
        <v/>
      </c>
      <c r="C44" t="str">
        <f>ToFeatureMode(特性!C44)</f>
        <v/>
      </c>
      <c r="D44" t="str">
        <f>ToResult(特性!D44)</f>
        <v/>
      </c>
      <c r="E44" t="str">
        <f>ToResult(特性!E44)</f>
        <v/>
      </c>
      <c r="F44" t="str">
        <f>ToResult(特性!F44)</f>
        <v/>
      </c>
      <c r="G44" t="str">
        <f>ToResult(特性!G44)</f>
        <v/>
      </c>
      <c r="H44" t="str">
        <f>ToResult(特性!H44)</f>
        <v/>
      </c>
    </row>
    <row r="45" spans="1:8">
      <c r="A45" t="str">
        <f>ToResult(特性!A45)</f>
        <v/>
      </c>
      <c r="B45" t="str">
        <f>ToResult(特性!B45)</f>
        <v/>
      </c>
      <c r="C45" t="str">
        <f>ToFeatureMode(特性!C45)</f>
        <v/>
      </c>
      <c r="D45" t="str">
        <f>ToResult(特性!D45)</f>
        <v/>
      </c>
      <c r="E45" t="str">
        <f>ToResult(特性!E45)</f>
        <v/>
      </c>
      <c r="F45" t="str">
        <f>ToResult(特性!F45)</f>
        <v/>
      </c>
      <c r="G45" t="str">
        <f>ToResult(特性!G45)</f>
        <v/>
      </c>
      <c r="H45" t="str">
        <f>ToResult(特性!H45)</f>
        <v/>
      </c>
    </row>
    <row r="46" spans="1:8">
      <c r="A46" t="str">
        <f>ToResult(特性!A46)</f>
        <v/>
      </c>
      <c r="B46" t="str">
        <f>ToResult(特性!B46)</f>
        <v/>
      </c>
      <c r="C46" t="str">
        <f>ToFeatureMode(特性!C46)</f>
        <v/>
      </c>
      <c r="D46" t="str">
        <f>ToResult(特性!D46)</f>
        <v/>
      </c>
      <c r="E46" t="str">
        <f>ToResult(特性!E46)</f>
        <v/>
      </c>
      <c r="F46" t="str">
        <f>ToResult(特性!F46)</f>
        <v/>
      </c>
      <c r="G46" t="str">
        <f>ToResult(特性!G46)</f>
        <v/>
      </c>
      <c r="H46" t="str">
        <f>ToResult(特性!H46)</f>
        <v/>
      </c>
    </row>
    <row r="47" spans="1:8">
      <c r="A47" t="str">
        <f>ToResult(特性!A47)</f>
        <v/>
      </c>
      <c r="B47" t="str">
        <f>ToResult(特性!B47)</f>
        <v/>
      </c>
      <c r="C47" t="str">
        <f>ToFeatureMode(特性!C47)</f>
        <v/>
      </c>
      <c r="D47" t="str">
        <f>ToResult(特性!D47)</f>
        <v/>
      </c>
      <c r="E47" t="str">
        <f>ToResult(特性!E47)</f>
        <v/>
      </c>
      <c r="F47" t="str">
        <f>ToResult(特性!F47)</f>
        <v/>
      </c>
      <c r="G47" t="str">
        <f>ToResult(特性!G47)</f>
        <v/>
      </c>
      <c r="H47" t="str">
        <f>ToResult(特性!H47)</f>
        <v/>
      </c>
    </row>
    <row r="48" spans="1:8">
      <c r="A48" t="str">
        <f>ToResult(特性!A48)</f>
        <v/>
      </c>
      <c r="B48" t="str">
        <f>ToResult(特性!B48)</f>
        <v/>
      </c>
      <c r="C48" t="str">
        <f>ToFeatureMode(特性!C48)</f>
        <v/>
      </c>
      <c r="D48" t="str">
        <f>ToResult(特性!D48)</f>
        <v/>
      </c>
      <c r="E48" t="str">
        <f>ToResult(特性!E48)</f>
        <v/>
      </c>
      <c r="F48" t="str">
        <f>ToResult(特性!F48)</f>
        <v/>
      </c>
      <c r="G48" t="str">
        <f>ToResult(特性!G48)</f>
        <v/>
      </c>
      <c r="H48" t="str">
        <f>ToResult(特性!H48)</f>
        <v/>
      </c>
    </row>
    <row r="49" spans="1:8">
      <c r="A49" t="str">
        <f>ToResult(特性!A49)</f>
        <v/>
      </c>
      <c r="B49" t="str">
        <f>ToResult(特性!B49)</f>
        <v/>
      </c>
      <c r="C49" t="str">
        <f>ToFeatureMode(特性!C49)</f>
        <v/>
      </c>
      <c r="D49" t="str">
        <f>ToResult(特性!D49)</f>
        <v/>
      </c>
      <c r="E49" t="str">
        <f>ToResult(特性!E49)</f>
        <v/>
      </c>
      <c r="F49" t="str">
        <f>ToResult(特性!F49)</f>
        <v/>
      </c>
      <c r="G49" t="str">
        <f>ToResult(特性!G49)</f>
        <v/>
      </c>
      <c r="H49" t="str">
        <f>ToResult(特性!H49)</f>
        <v/>
      </c>
    </row>
    <row r="50" spans="1:8">
      <c r="A50" t="str">
        <f>ToResult(特性!A50)</f>
        <v/>
      </c>
      <c r="B50" t="str">
        <f>ToResult(特性!B50)</f>
        <v/>
      </c>
      <c r="C50" t="str">
        <f>ToFeatureMode(特性!C50)</f>
        <v/>
      </c>
      <c r="D50" t="str">
        <f>ToResult(特性!D50)</f>
        <v/>
      </c>
      <c r="E50" t="str">
        <f>ToResult(特性!E50)</f>
        <v/>
      </c>
      <c r="F50" t="str">
        <f>ToResult(特性!F50)</f>
        <v/>
      </c>
      <c r="G50" t="str">
        <f>ToResult(特性!G50)</f>
        <v/>
      </c>
      <c r="H50" t="str">
        <f>ToResult(特性!H50)</f>
        <v/>
      </c>
    </row>
    <row r="51" spans="1:8">
      <c r="A51" t="str">
        <f>ToResult(特性!A51)</f>
        <v/>
      </c>
      <c r="B51" t="str">
        <f>ToResult(特性!B51)</f>
        <v/>
      </c>
      <c r="C51" t="str">
        <f>ToFeatureMode(特性!C51)</f>
        <v/>
      </c>
      <c r="D51" t="str">
        <f>ToResult(特性!D51)</f>
        <v/>
      </c>
      <c r="E51" t="str">
        <f>ToResult(特性!E51)</f>
        <v/>
      </c>
      <c r="F51" t="str">
        <f>ToResult(特性!F51)</f>
        <v/>
      </c>
      <c r="G51" t="str">
        <f>ToResult(特性!G51)</f>
        <v/>
      </c>
      <c r="H51" t="str">
        <f>ToResult(特性!H51)</f>
        <v/>
      </c>
    </row>
    <row r="52" spans="1:8">
      <c r="A52" t="str">
        <f>ToResult(特性!A52)</f>
        <v/>
      </c>
      <c r="B52" t="str">
        <f>ToResult(特性!B52)</f>
        <v/>
      </c>
      <c r="C52" t="str">
        <f>ToFeatureMode(特性!C52)</f>
        <v/>
      </c>
      <c r="D52" t="str">
        <f>ToResult(特性!D52)</f>
        <v/>
      </c>
      <c r="E52" t="str">
        <f>ToResult(特性!E52)</f>
        <v/>
      </c>
      <c r="F52" t="str">
        <f>ToResult(特性!F52)</f>
        <v/>
      </c>
      <c r="G52" t="str">
        <f>ToResult(特性!G52)</f>
        <v/>
      </c>
      <c r="H52" t="str">
        <f>ToResult(特性!H52)</f>
        <v/>
      </c>
    </row>
    <row r="53" spans="1:8">
      <c r="A53" t="str">
        <f>ToResult(特性!A53)</f>
        <v/>
      </c>
      <c r="B53" t="str">
        <f>ToResult(特性!B53)</f>
        <v/>
      </c>
      <c r="C53" t="str">
        <f>ToFeatureMode(特性!C53)</f>
        <v/>
      </c>
      <c r="D53" t="str">
        <f>ToResult(特性!D53)</f>
        <v/>
      </c>
      <c r="E53" t="str">
        <f>ToResult(特性!E53)</f>
        <v/>
      </c>
      <c r="F53" t="str">
        <f>ToResult(特性!F53)</f>
        <v/>
      </c>
      <c r="G53" t="str">
        <f>ToResult(特性!G53)</f>
        <v/>
      </c>
      <c r="H53" t="str">
        <f>ToResult(特性!H53)</f>
        <v/>
      </c>
    </row>
    <row r="54" spans="1:8">
      <c r="A54" t="str">
        <f>ToResult(特性!A54)</f>
        <v/>
      </c>
      <c r="B54" t="str">
        <f>ToResult(特性!B54)</f>
        <v/>
      </c>
      <c r="C54" t="str">
        <f>ToFeatureMode(特性!C54)</f>
        <v/>
      </c>
      <c r="D54" t="str">
        <f>ToResult(特性!D54)</f>
        <v/>
      </c>
      <c r="E54" t="str">
        <f>ToResult(特性!E54)</f>
        <v/>
      </c>
      <c r="F54" t="str">
        <f>ToResult(特性!F54)</f>
        <v/>
      </c>
      <c r="G54" t="str">
        <f>ToResult(特性!G54)</f>
        <v/>
      </c>
      <c r="H54" t="str">
        <f>ToResult(特性!H54)</f>
        <v/>
      </c>
    </row>
    <row r="55" spans="1:8">
      <c r="A55" t="str">
        <f>ToResult(特性!A55)</f>
        <v/>
      </c>
      <c r="B55" t="str">
        <f>ToResult(特性!B55)</f>
        <v/>
      </c>
      <c r="C55" t="str">
        <f>ToFeatureMode(特性!C55)</f>
        <v/>
      </c>
      <c r="D55" t="str">
        <f>ToResult(特性!D55)</f>
        <v/>
      </c>
      <c r="E55" t="str">
        <f>ToResult(特性!E55)</f>
        <v/>
      </c>
      <c r="F55" t="str">
        <f>ToResult(特性!F55)</f>
        <v/>
      </c>
      <c r="G55" t="str">
        <f>ToResult(特性!G55)</f>
        <v/>
      </c>
      <c r="H55" t="str">
        <f>ToResult(特性!H55)</f>
        <v/>
      </c>
    </row>
    <row r="56" spans="1:8">
      <c r="A56" t="str">
        <f>ToResult(特性!A56)</f>
        <v/>
      </c>
      <c r="B56" t="str">
        <f>ToResult(特性!B56)</f>
        <v/>
      </c>
      <c r="C56" t="str">
        <f>ToFeatureMode(特性!C56)</f>
        <v/>
      </c>
      <c r="D56" t="str">
        <f>ToResult(特性!D56)</f>
        <v/>
      </c>
      <c r="E56" t="str">
        <f>ToResult(特性!E56)</f>
        <v/>
      </c>
      <c r="F56" t="str">
        <f>ToResult(特性!F56)</f>
        <v/>
      </c>
      <c r="G56" t="str">
        <f>ToResult(特性!G56)</f>
        <v/>
      </c>
      <c r="H56" t="str">
        <f>ToResult(特性!H56)</f>
        <v/>
      </c>
    </row>
    <row r="57" spans="1:8">
      <c r="A57" t="str">
        <f>ToResult(特性!A57)</f>
        <v/>
      </c>
      <c r="B57" t="str">
        <f>ToResult(特性!B57)</f>
        <v/>
      </c>
      <c r="C57" t="str">
        <f>ToFeatureMode(特性!C57)</f>
        <v/>
      </c>
      <c r="D57" t="str">
        <f>ToResult(特性!D57)</f>
        <v/>
      </c>
      <c r="E57" t="str">
        <f>ToResult(特性!E57)</f>
        <v/>
      </c>
      <c r="F57" t="str">
        <f>ToResult(特性!F57)</f>
        <v/>
      </c>
      <c r="G57" t="str">
        <f>ToResult(特性!G57)</f>
        <v/>
      </c>
      <c r="H57" t="str">
        <f>ToResult(特性!H57)</f>
        <v/>
      </c>
    </row>
    <row r="58" spans="1:8">
      <c r="A58" t="str">
        <f>ToResult(特性!A58)</f>
        <v/>
      </c>
      <c r="B58" t="str">
        <f>ToResult(特性!B58)</f>
        <v/>
      </c>
      <c r="C58" t="str">
        <f>ToFeatureMode(特性!C58)</f>
        <v/>
      </c>
      <c r="D58" t="str">
        <f>ToResult(特性!D58)</f>
        <v/>
      </c>
      <c r="E58" t="str">
        <f>ToResult(特性!E58)</f>
        <v/>
      </c>
      <c r="F58" t="str">
        <f>ToResult(特性!F58)</f>
        <v/>
      </c>
      <c r="G58" t="str">
        <f>ToResult(特性!G58)</f>
        <v/>
      </c>
      <c r="H58" t="str">
        <f>ToResult(特性!H58)</f>
        <v/>
      </c>
    </row>
    <row r="59" spans="1:8">
      <c r="A59" t="str">
        <f>ToResult(特性!A59)</f>
        <v/>
      </c>
      <c r="B59" t="str">
        <f>ToResult(特性!B59)</f>
        <v/>
      </c>
      <c r="C59" t="str">
        <f>ToFeatureMode(特性!C59)</f>
        <v/>
      </c>
      <c r="D59" t="str">
        <f>ToResult(特性!D59)</f>
        <v/>
      </c>
      <c r="E59" t="str">
        <f>ToResult(特性!E59)</f>
        <v/>
      </c>
      <c r="F59" t="str">
        <f>ToResult(特性!F59)</f>
        <v/>
      </c>
      <c r="G59" t="str">
        <f>ToResult(特性!G59)</f>
        <v/>
      </c>
      <c r="H59" t="str">
        <f>ToResult(特性!H59)</f>
        <v/>
      </c>
    </row>
    <row r="60" spans="1:8">
      <c r="A60" t="str">
        <f>ToResult(特性!A60)</f>
        <v/>
      </c>
      <c r="B60" t="str">
        <f>ToResult(特性!B60)</f>
        <v/>
      </c>
      <c r="C60" t="str">
        <f>ToFeatureMode(特性!C60)</f>
        <v/>
      </c>
      <c r="D60" t="str">
        <f>ToResult(特性!D60)</f>
        <v/>
      </c>
      <c r="E60" t="str">
        <f>ToResult(特性!E60)</f>
        <v/>
      </c>
      <c r="F60" t="str">
        <f>ToResult(特性!F60)</f>
        <v/>
      </c>
      <c r="G60" t="str">
        <f>ToResult(特性!G60)</f>
        <v/>
      </c>
      <c r="H60" t="str">
        <f>ToResult(特性!H60)</f>
        <v/>
      </c>
    </row>
    <row r="61" spans="1:8">
      <c r="A61" t="str">
        <f>ToResult(特性!A61)</f>
        <v/>
      </c>
      <c r="B61" t="str">
        <f>ToResult(特性!B61)</f>
        <v/>
      </c>
      <c r="C61" t="str">
        <f>ToFeatureMode(特性!C61)</f>
        <v/>
      </c>
      <c r="D61" t="str">
        <f>ToResult(特性!D61)</f>
        <v/>
      </c>
      <c r="E61" t="str">
        <f>ToResult(特性!E61)</f>
        <v/>
      </c>
      <c r="F61" t="str">
        <f>ToResult(特性!F61)</f>
        <v/>
      </c>
      <c r="G61" t="str">
        <f>ToResult(特性!G61)</f>
        <v/>
      </c>
      <c r="H61" t="str">
        <f>ToResult(特性!H61)</f>
        <v/>
      </c>
    </row>
    <row r="62" spans="1:8">
      <c r="A62" t="str">
        <f>ToResult(特性!A62)</f>
        <v/>
      </c>
      <c r="B62" t="str">
        <f>ToResult(特性!B62)</f>
        <v/>
      </c>
      <c r="C62" t="str">
        <f>ToFeatureMode(特性!C62)</f>
        <v/>
      </c>
      <c r="D62" t="str">
        <f>ToResult(特性!D62)</f>
        <v/>
      </c>
      <c r="E62" t="str">
        <f>ToResult(特性!E62)</f>
        <v/>
      </c>
      <c r="F62" t="str">
        <f>ToResult(特性!F62)</f>
        <v/>
      </c>
      <c r="G62" t="str">
        <f>ToResult(特性!G62)</f>
        <v/>
      </c>
      <c r="H62" t="str">
        <f>ToResult(特性!H62)</f>
        <v/>
      </c>
    </row>
    <row r="63" spans="1:8">
      <c r="A63" t="str">
        <f>ToResult(特性!A63)</f>
        <v/>
      </c>
      <c r="B63" t="str">
        <f>ToResult(特性!B63)</f>
        <v/>
      </c>
      <c r="C63" t="str">
        <f>ToFeatureMode(特性!C63)</f>
        <v/>
      </c>
      <c r="D63" t="str">
        <f>ToResult(特性!D63)</f>
        <v/>
      </c>
      <c r="E63" t="str">
        <f>ToResult(特性!E63)</f>
        <v/>
      </c>
      <c r="F63" t="str">
        <f>ToResult(特性!F63)</f>
        <v/>
      </c>
      <c r="G63" t="str">
        <f>ToResult(特性!G63)</f>
        <v/>
      </c>
      <c r="H63" t="str">
        <f>ToResult(特性!H63)</f>
        <v/>
      </c>
    </row>
    <row r="64" spans="1:8">
      <c r="A64" t="str">
        <f>ToResult(特性!A64)</f>
        <v/>
      </c>
      <c r="B64" t="str">
        <f>ToResult(特性!B64)</f>
        <v/>
      </c>
      <c r="C64" t="str">
        <f>ToFeatureMode(特性!C64)</f>
        <v/>
      </c>
      <c r="D64" t="str">
        <f>ToResult(特性!D64)</f>
        <v/>
      </c>
      <c r="E64" t="str">
        <f>ToResult(特性!E64)</f>
        <v/>
      </c>
      <c r="F64" t="str">
        <f>ToResult(特性!F64)</f>
        <v/>
      </c>
      <c r="G64" t="str">
        <f>ToResult(特性!G64)</f>
        <v/>
      </c>
      <c r="H64" t="str">
        <f>ToResult(特性!H64)</f>
        <v/>
      </c>
    </row>
    <row r="65" spans="1:8">
      <c r="A65" t="str">
        <f>ToResult(特性!A65)</f>
        <v/>
      </c>
      <c r="B65" t="str">
        <f>ToResult(特性!B65)</f>
        <v/>
      </c>
      <c r="C65" t="str">
        <f>ToFeatureMode(特性!C65)</f>
        <v/>
      </c>
      <c r="D65" t="str">
        <f>ToResult(特性!D65)</f>
        <v/>
      </c>
      <c r="E65" t="str">
        <f>ToResult(特性!E65)</f>
        <v/>
      </c>
      <c r="F65" t="str">
        <f>ToResult(特性!F65)</f>
        <v/>
      </c>
      <c r="G65" t="str">
        <f>ToResult(特性!G65)</f>
        <v/>
      </c>
      <c r="H65" t="str">
        <f>ToResult(特性!H65)</f>
        <v/>
      </c>
    </row>
    <row r="66" spans="1:8">
      <c r="A66" t="str">
        <f>ToResult(特性!A66)</f>
        <v/>
      </c>
      <c r="B66" t="str">
        <f>ToResult(特性!B66)</f>
        <v/>
      </c>
      <c r="C66" t="str">
        <f>ToFeatureMode(特性!C66)</f>
        <v/>
      </c>
      <c r="D66" t="str">
        <f>ToResult(特性!D66)</f>
        <v/>
      </c>
      <c r="E66" t="str">
        <f>ToResult(特性!E66)</f>
        <v/>
      </c>
      <c r="F66" t="str">
        <f>ToResult(特性!F66)</f>
        <v/>
      </c>
      <c r="G66" t="str">
        <f>ToResult(特性!G66)</f>
        <v/>
      </c>
      <c r="H66" t="str">
        <f>ToResult(特性!H66)</f>
        <v/>
      </c>
    </row>
    <row r="67" spans="1:8">
      <c r="A67" t="str">
        <f>ToResult(特性!A67)</f>
        <v/>
      </c>
      <c r="B67" t="str">
        <f>ToResult(特性!B67)</f>
        <v/>
      </c>
      <c r="C67" t="str">
        <f>ToFeatureMode(特性!C67)</f>
        <v/>
      </c>
      <c r="D67" t="str">
        <f>ToResult(特性!D67)</f>
        <v/>
      </c>
      <c r="E67" t="str">
        <f>ToResult(特性!E67)</f>
        <v/>
      </c>
      <c r="F67" t="str">
        <f>ToResult(特性!F67)</f>
        <v/>
      </c>
      <c r="G67" t="str">
        <f>ToResult(特性!G67)</f>
        <v/>
      </c>
      <c r="H67" t="str">
        <f>ToResult(特性!H67)</f>
        <v/>
      </c>
    </row>
    <row r="68" spans="1:8">
      <c r="A68" t="str">
        <f>ToResult(特性!A68)</f>
        <v/>
      </c>
      <c r="B68" t="str">
        <f>ToResult(特性!B68)</f>
        <v/>
      </c>
      <c r="C68" t="str">
        <f>ToFeatureMode(特性!C68)</f>
        <v/>
      </c>
      <c r="D68" t="str">
        <f>ToResult(特性!D68)</f>
        <v/>
      </c>
      <c r="E68" t="str">
        <f>ToResult(特性!E68)</f>
        <v/>
      </c>
      <c r="F68" t="str">
        <f>ToResult(特性!F68)</f>
        <v/>
      </c>
      <c r="G68" t="str">
        <f>ToResult(特性!G68)</f>
        <v/>
      </c>
      <c r="H68" t="str">
        <f>ToResult(特性!H68)</f>
        <v/>
      </c>
    </row>
    <row r="69" spans="1:8">
      <c r="A69" t="str">
        <f>ToResult(特性!A69)</f>
        <v/>
      </c>
      <c r="B69" t="str">
        <f>ToResult(特性!B69)</f>
        <v/>
      </c>
      <c r="C69" t="str">
        <f>ToFeatureMode(特性!C69)</f>
        <v/>
      </c>
      <c r="D69" t="str">
        <f>ToResult(特性!D69)</f>
        <v/>
      </c>
      <c r="E69" t="str">
        <f>ToResult(特性!E69)</f>
        <v/>
      </c>
      <c r="F69" t="str">
        <f>ToResult(特性!F69)</f>
        <v/>
      </c>
      <c r="G69" t="str">
        <f>ToResult(特性!G69)</f>
        <v/>
      </c>
      <c r="H69" t="str">
        <f>ToResult(特性!H69)</f>
        <v/>
      </c>
    </row>
    <row r="70" spans="1:8">
      <c r="A70" t="str">
        <f>ToResult(特性!A70)</f>
        <v/>
      </c>
      <c r="B70" t="str">
        <f>ToResult(特性!B70)</f>
        <v/>
      </c>
      <c r="C70" t="str">
        <f>ToFeatureMode(特性!C70)</f>
        <v/>
      </c>
      <c r="D70" t="str">
        <f>ToResult(特性!D70)</f>
        <v/>
      </c>
      <c r="E70" t="str">
        <f>ToResult(特性!E70)</f>
        <v/>
      </c>
      <c r="F70" t="str">
        <f>ToResult(特性!F70)</f>
        <v/>
      </c>
      <c r="G70" t="str">
        <f>ToResult(特性!G70)</f>
        <v/>
      </c>
      <c r="H70" t="str">
        <f>ToResult(特性!H70)</f>
        <v/>
      </c>
    </row>
    <row r="71" spans="1:8">
      <c r="A71" t="str">
        <f>ToResult(特性!A71)</f>
        <v/>
      </c>
      <c r="B71" t="str">
        <f>ToResult(特性!B71)</f>
        <v/>
      </c>
      <c r="C71" t="str">
        <f>ToFeatureMode(特性!C71)</f>
        <v/>
      </c>
      <c r="D71" t="str">
        <f>ToResult(特性!D71)</f>
        <v/>
      </c>
      <c r="E71" t="str">
        <f>ToResult(特性!E71)</f>
        <v/>
      </c>
      <c r="F71" t="str">
        <f>ToResult(特性!F71)</f>
        <v/>
      </c>
      <c r="G71" t="str">
        <f>ToResult(特性!G71)</f>
        <v/>
      </c>
      <c r="H71" t="str">
        <f>ToResult(特性!H71)</f>
        <v/>
      </c>
    </row>
    <row r="72" spans="1:8">
      <c r="A72" t="str">
        <f>ToResult(特性!A72)</f>
        <v/>
      </c>
      <c r="B72" t="str">
        <f>ToResult(特性!B72)</f>
        <v/>
      </c>
      <c r="C72" t="str">
        <f>ToFeatureMode(特性!C72)</f>
        <v/>
      </c>
      <c r="D72" t="str">
        <f>ToResult(特性!D72)</f>
        <v/>
      </c>
      <c r="E72" t="str">
        <f>ToResult(特性!E72)</f>
        <v/>
      </c>
      <c r="F72" t="str">
        <f>ToResult(特性!F72)</f>
        <v/>
      </c>
      <c r="G72" t="str">
        <f>ToResult(特性!G72)</f>
        <v/>
      </c>
      <c r="H72" t="str">
        <f>ToResult(特性!H72)</f>
        <v/>
      </c>
    </row>
    <row r="73" spans="1:8">
      <c r="A73" t="str">
        <f>ToResult(特性!A73)</f>
        <v/>
      </c>
      <c r="B73" t="str">
        <f>ToResult(特性!B73)</f>
        <v/>
      </c>
      <c r="C73" t="str">
        <f>ToFeatureMode(特性!C73)</f>
        <v/>
      </c>
      <c r="D73" t="str">
        <f>ToResult(特性!D73)</f>
        <v/>
      </c>
      <c r="E73" t="str">
        <f>ToResult(特性!E73)</f>
        <v/>
      </c>
      <c r="F73" t="str">
        <f>ToResult(特性!F73)</f>
        <v/>
      </c>
      <c r="G73" t="str">
        <f>ToResult(特性!G73)</f>
        <v/>
      </c>
      <c r="H73" t="str">
        <f>ToResult(特性!H73)</f>
        <v/>
      </c>
    </row>
    <row r="74" spans="1:8">
      <c r="A74" t="str">
        <f>ToResult(特性!A74)</f>
        <v/>
      </c>
      <c r="B74" t="str">
        <f>ToResult(特性!B74)</f>
        <v/>
      </c>
      <c r="C74" t="str">
        <f>ToFeatureMode(特性!C74)</f>
        <v/>
      </c>
      <c r="D74" t="str">
        <f>ToResult(特性!D74)</f>
        <v/>
      </c>
      <c r="E74" t="str">
        <f>ToResult(特性!E74)</f>
        <v/>
      </c>
      <c r="F74" t="str">
        <f>ToResult(特性!F74)</f>
        <v/>
      </c>
      <c r="G74" t="str">
        <f>ToResult(特性!G74)</f>
        <v/>
      </c>
      <c r="H74" t="str">
        <f>ToResult(特性!H74)</f>
        <v/>
      </c>
    </row>
    <row r="75" spans="1:8">
      <c r="A75" t="str">
        <f>ToResult(特性!A75)</f>
        <v/>
      </c>
      <c r="B75" t="str">
        <f>ToResult(特性!B75)</f>
        <v/>
      </c>
      <c r="C75" t="str">
        <f>ToFeatureMode(特性!C75)</f>
        <v/>
      </c>
      <c r="D75" t="str">
        <f>ToResult(特性!D75)</f>
        <v/>
      </c>
      <c r="E75" t="str">
        <f>ToResult(特性!E75)</f>
        <v/>
      </c>
      <c r="F75" t="str">
        <f>ToResult(特性!F75)</f>
        <v/>
      </c>
      <c r="G75" t="str">
        <f>ToResult(特性!G75)</f>
        <v/>
      </c>
      <c r="H75" t="str">
        <f>ToResult(特性!H75)</f>
        <v/>
      </c>
    </row>
    <row r="76" spans="1:8">
      <c r="A76" t="str">
        <f>ToResult(特性!A76)</f>
        <v/>
      </c>
      <c r="B76" t="str">
        <f>ToResult(特性!B76)</f>
        <v/>
      </c>
      <c r="C76" t="str">
        <f>ToFeatureMode(特性!C76)</f>
        <v/>
      </c>
      <c r="D76" t="str">
        <f>ToResult(特性!D76)</f>
        <v/>
      </c>
      <c r="E76" t="str">
        <f>ToResult(特性!E76)</f>
        <v/>
      </c>
      <c r="F76" t="str">
        <f>ToResult(特性!F76)</f>
        <v/>
      </c>
      <c r="G76" t="str">
        <f>ToResult(特性!G76)</f>
        <v/>
      </c>
      <c r="H76" t="str">
        <f>ToResult(特性!H76)</f>
        <v/>
      </c>
    </row>
    <row r="77" spans="1:8">
      <c r="A77" t="str">
        <f>ToResult(特性!A77)</f>
        <v/>
      </c>
      <c r="B77" t="str">
        <f>ToResult(特性!B77)</f>
        <v/>
      </c>
      <c r="C77" t="str">
        <f>ToFeatureMode(特性!C77)</f>
        <v/>
      </c>
      <c r="D77" t="str">
        <f>ToResult(特性!D77)</f>
        <v/>
      </c>
      <c r="E77" t="str">
        <f>ToResult(特性!E77)</f>
        <v/>
      </c>
      <c r="F77" t="str">
        <f>ToResult(特性!F77)</f>
        <v/>
      </c>
      <c r="G77" t="str">
        <f>ToResult(特性!G77)</f>
        <v/>
      </c>
      <c r="H77" t="str">
        <f>ToResult(特性!H77)</f>
        <v/>
      </c>
    </row>
    <row r="78" spans="1:8">
      <c r="A78" t="str">
        <f>ToResult(特性!A78)</f>
        <v/>
      </c>
      <c r="B78" t="str">
        <f>ToResult(特性!B78)</f>
        <v/>
      </c>
      <c r="C78" t="str">
        <f>ToFeatureMode(特性!C78)</f>
        <v/>
      </c>
      <c r="D78" t="str">
        <f>ToResult(特性!D78)</f>
        <v/>
      </c>
      <c r="E78" t="str">
        <f>ToResult(特性!E78)</f>
        <v/>
      </c>
      <c r="F78" t="str">
        <f>ToResult(特性!F78)</f>
        <v/>
      </c>
      <c r="G78" t="str">
        <f>ToResult(特性!G78)</f>
        <v/>
      </c>
      <c r="H78" t="str">
        <f>ToResult(特性!H78)</f>
        <v/>
      </c>
    </row>
    <row r="79" spans="1:8">
      <c r="A79" t="str">
        <f>ToResult(特性!A79)</f>
        <v/>
      </c>
      <c r="B79" t="str">
        <f>ToResult(特性!B79)</f>
        <v/>
      </c>
      <c r="C79" t="str">
        <f>ToFeatureMode(特性!C79)</f>
        <v/>
      </c>
      <c r="D79" t="str">
        <f>ToResult(特性!D79)</f>
        <v/>
      </c>
      <c r="E79" t="str">
        <f>ToResult(特性!E79)</f>
        <v/>
      </c>
      <c r="F79" t="str">
        <f>ToResult(特性!F79)</f>
        <v/>
      </c>
      <c r="G79" t="str">
        <f>ToResult(特性!G79)</f>
        <v/>
      </c>
      <c r="H79" t="str">
        <f>ToResult(特性!H79)</f>
        <v/>
      </c>
    </row>
    <row r="80" spans="1:8">
      <c r="A80" t="str">
        <f>ToResult(特性!A80)</f>
        <v/>
      </c>
      <c r="B80" t="str">
        <f>ToResult(特性!B80)</f>
        <v/>
      </c>
      <c r="C80" t="str">
        <f>ToFeatureMode(特性!C80)</f>
        <v/>
      </c>
      <c r="D80" t="str">
        <f>ToResult(特性!D80)</f>
        <v/>
      </c>
      <c r="E80" t="str">
        <f>ToResult(特性!E80)</f>
        <v/>
      </c>
      <c r="F80" t="str">
        <f>ToResult(特性!F80)</f>
        <v/>
      </c>
      <c r="G80" t="str">
        <f>ToResult(特性!G80)</f>
        <v/>
      </c>
      <c r="H80" t="str">
        <f>ToResult(特性!H80)</f>
        <v/>
      </c>
    </row>
    <row r="81" spans="1:8">
      <c r="A81" t="str">
        <f>ToResult(特性!A81)</f>
        <v/>
      </c>
      <c r="B81" t="str">
        <f>ToResult(特性!B81)</f>
        <v/>
      </c>
      <c r="C81" t="str">
        <f>ToFeatureMode(特性!C81)</f>
        <v/>
      </c>
      <c r="D81" t="str">
        <f>ToResult(特性!D81)</f>
        <v/>
      </c>
      <c r="E81" t="str">
        <f>ToResult(特性!E81)</f>
        <v/>
      </c>
      <c r="F81" t="str">
        <f>ToResult(特性!F81)</f>
        <v/>
      </c>
      <c r="G81" t="str">
        <f>ToResult(特性!G81)</f>
        <v/>
      </c>
      <c r="H81" t="str">
        <f>ToResult(特性!H81)</f>
        <v/>
      </c>
    </row>
    <row r="82" spans="1:8">
      <c r="A82" t="str">
        <f>ToResult(特性!A82)</f>
        <v/>
      </c>
      <c r="B82" t="str">
        <f>ToResult(特性!B82)</f>
        <v/>
      </c>
      <c r="C82" t="str">
        <f>ToFeatureMode(特性!C82)</f>
        <v/>
      </c>
      <c r="D82" t="str">
        <f>ToResult(特性!D82)</f>
        <v/>
      </c>
      <c r="E82" t="str">
        <f>ToResult(特性!E82)</f>
        <v/>
      </c>
      <c r="F82" t="str">
        <f>ToResult(特性!F82)</f>
        <v/>
      </c>
      <c r="G82" t="str">
        <f>ToResult(特性!G82)</f>
        <v/>
      </c>
      <c r="H82" t="str">
        <f>ToResult(特性!H82)</f>
        <v/>
      </c>
    </row>
    <row r="83" spans="1:8">
      <c r="A83" t="str">
        <f>ToResult(特性!A83)</f>
        <v/>
      </c>
      <c r="B83" t="str">
        <f>ToResult(特性!B83)</f>
        <v/>
      </c>
      <c r="C83" t="str">
        <f>ToFeatureMode(特性!C83)</f>
        <v/>
      </c>
      <c r="D83" t="str">
        <f>ToResult(特性!D83)</f>
        <v/>
      </c>
      <c r="E83" t="str">
        <f>ToResult(特性!E83)</f>
        <v/>
      </c>
      <c r="F83" t="str">
        <f>ToResult(特性!F83)</f>
        <v/>
      </c>
      <c r="G83" t="str">
        <f>ToResult(特性!G83)</f>
        <v/>
      </c>
      <c r="H83" t="str">
        <f>ToResult(特性!H83)</f>
        <v/>
      </c>
    </row>
    <row r="84" spans="1:8">
      <c r="A84" t="str">
        <f>ToResult(特性!A84)</f>
        <v/>
      </c>
      <c r="B84" t="str">
        <f>ToResult(特性!B84)</f>
        <v/>
      </c>
      <c r="C84" t="str">
        <f>ToFeatureMode(特性!C84)</f>
        <v/>
      </c>
      <c r="D84" t="str">
        <f>ToResult(特性!D84)</f>
        <v/>
      </c>
      <c r="E84" t="str">
        <f>ToResult(特性!E84)</f>
        <v/>
      </c>
      <c r="F84" t="str">
        <f>ToResult(特性!F84)</f>
        <v/>
      </c>
      <c r="G84" t="str">
        <f>ToResult(特性!G84)</f>
        <v/>
      </c>
      <c r="H84" t="str">
        <f>ToResult(特性!H84)</f>
        <v/>
      </c>
    </row>
    <row r="85" spans="1:8">
      <c r="A85" t="str">
        <f>ToResult(特性!A85)</f>
        <v/>
      </c>
      <c r="B85" t="str">
        <f>ToResult(特性!B85)</f>
        <v/>
      </c>
      <c r="C85" t="str">
        <f>ToFeatureMode(特性!C85)</f>
        <v/>
      </c>
      <c r="D85" t="str">
        <f>ToResult(特性!D85)</f>
        <v/>
      </c>
      <c r="E85" t="str">
        <f>ToResult(特性!E85)</f>
        <v/>
      </c>
      <c r="F85" t="str">
        <f>ToResult(特性!F85)</f>
        <v/>
      </c>
      <c r="G85" t="str">
        <f>ToResult(特性!G85)</f>
        <v/>
      </c>
      <c r="H85" t="str">
        <f>ToResult(特性!H85)</f>
        <v/>
      </c>
    </row>
    <row r="86" spans="1:8">
      <c r="A86" t="str">
        <f>ToResult(特性!A86)</f>
        <v/>
      </c>
      <c r="B86" t="str">
        <f>ToResult(特性!B86)</f>
        <v/>
      </c>
      <c r="C86" t="str">
        <f>ToFeatureMode(特性!C86)</f>
        <v/>
      </c>
      <c r="D86" t="str">
        <f>ToResult(特性!D86)</f>
        <v/>
      </c>
      <c r="E86" t="str">
        <f>ToResult(特性!E86)</f>
        <v/>
      </c>
      <c r="F86" t="str">
        <f>ToResult(特性!F86)</f>
        <v/>
      </c>
      <c r="G86" t="str">
        <f>ToResult(特性!G86)</f>
        <v/>
      </c>
      <c r="H86" t="str">
        <f>ToResult(特性!H86)</f>
        <v/>
      </c>
    </row>
    <row r="87" spans="1:8">
      <c r="A87" t="str">
        <f>ToResult(特性!A87)</f>
        <v/>
      </c>
      <c r="B87" t="str">
        <f>ToResult(特性!B87)</f>
        <v/>
      </c>
      <c r="C87" t="str">
        <f>ToFeatureMode(特性!C87)</f>
        <v/>
      </c>
      <c r="D87" t="str">
        <f>ToResult(特性!D87)</f>
        <v/>
      </c>
      <c r="E87" t="str">
        <f>ToResult(特性!E87)</f>
        <v/>
      </c>
      <c r="F87" t="str">
        <f>ToResult(特性!F87)</f>
        <v/>
      </c>
      <c r="G87" t="str">
        <f>ToResult(特性!G87)</f>
        <v/>
      </c>
      <c r="H87" t="str">
        <f>ToResult(特性!H87)</f>
        <v/>
      </c>
    </row>
    <row r="88" spans="1:8">
      <c r="A88" t="str">
        <f>ToResult(特性!A88)</f>
        <v/>
      </c>
      <c r="B88" t="str">
        <f>ToResult(特性!B88)</f>
        <v/>
      </c>
      <c r="C88" t="str">
        <f>ToFeatureMode(特性!C88)</f>
        <v/>
      </c>
      <c r="D88" t="str">
        <f>ToResult(特性!D88)</f>
        <v/>
      </c>
      <c r="E88" t="str">
        <f>ToResult(特性!E88)</f>
        <v/>
      </c>
      <c r="F88" t="str">
        <f>ToResult(特性!F88)</f>
        <v/>
      </c>
      <c r="G88" t="str">
        <f>ToResult(特性!G88)</f>
        <v/>
      </c>
      <c r="H88" t="str">
        <f>ToResult(特性!H88)</f>
        <v/>
      </c>
    </row>
    <row r="89" spans="1:8">
      <c r="A89" t="str">
        <f>ToResult(特性!A89)</f>
        <v/>
      </c>
      <c r="B89" t="str">
        <f>ToResult(特性!B89)</f>
        <v/>
      </c>
      <c r="C89" t="str">
        <f>ToFeatureMode(特性!C89)</f>
        <v/>
      </c>
      <c r="D89" t="str">
        <f>ToResult(特性!D89)</f>
        <v/>
      </c>
      <c r="E89" t="str">
        <f>ToResult(特性!E89)</f>
        <v/>
      </c>
      <c r="F89" t="str">
        <f>ToResult(特性!F89)</f>
        <v/>
      </c>
      <c r="G89" t="str">
        <f>ToResult(特性!G89)</f>
        <v/>
      </c>
      <c r="H89" t="str">
        <f>ToResult(特性!H89)</f>
        <v/>
      </c>
    </row>
    <row r="90" spans="1:8">
      <c r="A90" t="str">
        <f>ToResult(特性!A90)</f>
        <v/>
      </c>
      <c r="B90" t="str">
        <f>ToResult(特性!B90)</f>
        <v/>
      </c>
      <c r="C90" t="str">
        <f>ToFeatureMode(特性!C90)</f>
        <v/>
      </c>
      <c r="D90" t="str">
        <f>ToResult(特性!D90)</f>
        <v/>
      </c>
      <c r="E90" t="str">
        <f>ToResult(特性!E90)</f>
        <v/>
      </c>
      <c r="F90" t="str">
        <f>ToResult(特性!F90)</f>
        <v/>
      </c>
      <c r="G90" t="str">
        <f>ToResult(特性!G90)</f>
        <v/>
      </c>
      <c r="H90" t="str">
        <f>ToResult(特性!H90)</f>
        <v/>
      </c>
    </row>
    <row r="91" spans="1:8">
      <c r="A91" t="str">
        <f>ToResult(特性!A91)</f>
        <v/>
      </c>
      <c r="B91" t="str">
        <f>ToResult(特性!B91)</f>
        <v/>
      </c>
      <c r="C91" t="str">
        <f>ToFeatureMode(特性!C91)</f>
        <v/>
      </c>
      <c r="D91" t="str">
        <f>ToResult(特性!D91)</f>
        <v/>
      </c>
      <c r="E91" t="str">
        <f>ToResult(特性!E91)</f>
        <v/>
      </c>
      <c r="F91" t="str">
        <f>ToResult(特性!F91)</f>
        <v/>
      </c>
      <c r="G91" t="str">
        <f>ToResult(特性!G91)</f>
        <v/>
      </c>
      <c r="H91" t="str">
        <f>ToResult(特性!H91)</f>
        <v/>
      </c>
    </row>
    <row r="92" spans="1:8">
      <c r="A92" t="str">
        <f>ToResult(特性!A92)</f>
        <v/>
      </c>
      <c r="B92" t="str">
        <f>ToResult(特性!B92)</f>
        <v/>
      </c>
      <c r="C92" t="str">
        <f>ToFeatureMode(特性!C92)</f>
        <v/>
      </c>
      <c r="D92" t="str">
        <f>ToResult(特性!D92)</f>
        <v/>
      </c>
      <c r="E92" t="str">
        <f>ToResult(特性!E92)</f>
        <v/>
      </c>
      <c r="F92" t="str">
        <f>ToResult(特性!F92)</f>
        <v/>
      </c>
      <c r="G92" t="str">
        <f>ToResult(特性!G92)</f>
        <v/>
      </c>
      <c r="H92" t="str">
        <f>ToResult(特性!H92)</f>
        <v/>
      </c>
    </row>
    <row r="93" spans="1:8">
      <c r="A93" t="str">
        <f>ToResult(特性!A93)</f>
        <v/>
      </c>
      <c r="B93" t="str">
        <f>ToResult(特性!B93)</f>
        <v/>
      </c>
      <c r="C93" t="str">
        <f>ToFeatureMode(特性!C93)</f>
        <v/>
      </c>
      <c r="D93" t="str">
        <f>ToResult(特性!D93)</f>
        <v/>
      </c>
      <c r="E93" t="str">
        <f>ToResult(特性!E93)</f>
        <v/>
      </c>
      <c r="F93" t="str">
        <f>ToResult(特性!F93)</f>
        <v/>
      </c>
      <c r="G93" t="str">
        <f>ToResult(特性!G93)</f>
        <v/>
      </c>
      <c r="H93" t="str">
        <f>ToResult(特性!H93)</f>
        <v/>
      </c>
    </row>
    <row r="94" spans="1:8">
      <c r="A94" t="str">
        <f>ToResult(特性!A94)</f>
        <v/>
      </c>
      <c r="B94" t="str">
        <f>ToResult(特性!B94)</f>
        <v/>
      </c>
      <c r="C94" t="str">
        <f>ToFeatureMode(特性!C94)</f>
        <v/>
      </c>
      <c r="D94" t="str">
        <f>ToResult(特性!D94)</f>
        <v/>
      </c>
      <c r="E94" t="str">
        <f>ToResult(特性!E94)</f>
        <v/>
      </c>
      <c r="F94" t="str">
        <f>ToResult(特性!F94)</f>
        <v/>
      </c>
      <c r="G94" t="str">
        <f>ToResult(特性!G94)</f>
        <v/>
      </c>
      <c r="H94" t="str">
        <f>ToResult(特性!H94)</f>
        <v/>
      </c>
    </row>
    <row r="95" spans="1:8">
      <c r="A95" t="str">
        <f>ToResult(特性!A95)</f>
        <v/>
      </c>
      <c r="B95" t="str">
        <f>ToResult(特性!B95)</f>
        <v/>
      </c>
      <c r="C95" t="str">
        <f>ToFeatureMode(特性!C95)</f>
        <v/>
      </c>
      <c r="D95" t="str">
        <f>ToResult(特性!D95)</f>
        <v/>
      </c>
      <c r="E95" t="str">
        <f>ToResult(特性!E95)</f>
        <v/>
      </c>
      <c r="F95" t="str">
        <f>ToResult(特性!F95)</f>
        <v/>
      </c>
      <c r="G95" t="str">
        <f>ToResult(特性!G95)</f>
        <v/>
      </c>
      <c r="H95" t="str">
        <f>ToResult(特性!H95)</f>
        <v/>
      </c>
    </row>
    <row r="96" spans="1:8">
      <c r="A96" t="str">
        <f>ToResult(特性!A96)</f>
        <v/>
      </c>
      <c r="B96" t="str">
        <f>ToResult(特性!B96)</f>
        <v/>
      </c>
      <c r="C96" t="str">
        <f>ToFeatureMode(特性!C96)</f>
        <v/>
      </c>
      <c r="D96" t="str">
        <f>ToResult(特性!D96)</f>
        <v/>
      </c>
      <c r="E96" t="str">
        <f>ToResult(特性!E96)</f>
        <v/>
      </c>
      <c r="F96" t="str">
        <f>ToResult(特性!F96)</f>
        <v/>
      </c>
      <c r="G96" t="str">
        <f>ToResult(特性!G96)</f>
        <v/>
      </c>
      <c r="H96" t="str">
        <f>ToResult(特性!H96)</f>
        <v/>
      </c>
    </row>
    <row r="97" spans="1:8">
      <c r="A97" t="str">
        <f>ToResult(特性!A97)</f>
        <v/>
      </c>
      <c r="B97" t="str">
        <f>ToResult(特性!B97)</f>
        <v/>
      </c>
      <c r="C97" t="str">
        <f>ToFeatureMode(特性!C97)</f>
        <v/>
      </c>
      <c r="D97" t="str">
        <f>ToResult(特性!D97)</f>
        <v/>
      </c>
      <c r="E97" t="str">
        <f>ToResult(特性!E97)</f>
        <v/>
      </c>
      <c r="F97" t="str">
        <f>ToResult(特性!F97)</f>
        <v/>
      </c>
      <c r="G97" t="str">
        <f>ToResult(特性!G97)</f>
        <v/>
      </c>
      <c r="H97" t="str">
        <f>ToResult(特性!H97)</f>
        <v/>
      </c>
    </row>
    <row r="98" spans="1:8">
      <c r="A98" t="str">
        <f>ToResult(特性!A98)</f>
        <v/>
      </c>
      <c r="B98" t="str">
        <f>ToResult(特性!B98)</f>
        <v/>
      </c>
      <c r="C98" t="str">
        <f>ToFeatureMode(特性!C98)</f>
        <v/>
      </c>
      <c r="D98" t="str">
        <f>ToResult(特性!D98)</f>
        <v/>
      </c>
      <c r="E98" t="str">
        <f>ToResult(特性!E98)</f>
        <v/>
      </c>
      <c r="F98" t="str">
        <f>ToResult(特性!F98)</f>
        <v/>
      </c>
      <c r="G98" t="str">
        <f>ToResult(特性!G98)</f>
        <v/>
      </c>
      <c r="H98" t="str">
        <f>ToResult(特性!H98)</f>
        <v/>
      </c>
    </row>
    <row r="99" spans="1:8">
      <c r="A99" t="str">
        <f>ToResult(特性!A99)</f>
        <v/>
      </c>
      <c r="B99" t="str">
        <f>ToResult(特性!B99)</f>
        <v/>
      </c>
      <c r="C99" t="str">
        <f>ToFeatureMode(特性!C99)</f>
        <v/>
      </c>
      <c r="D99" t="str">
        <f>ToResult(特性!D99)</f>
        <v/>
      </c>
      <c r="E99" t="str">
        <f>ToResult(特性!E99)</f>
        <v/>
      </c>
      <c r="F99" t="str">
        <f>ToResult(特性!F99)</f>
        <v/>
      </c>
      <c r="G99" t="str">
        <f>ToResult(特性!G99)</f>
        <v/>
      </c>
      <c r="H99" t="str">
        <f>ToResult(特性!H99)</f>
        <v/>
      </c>
    </row>
    <row r="100" spans="1:8">
      <c r="A100" t="str">
        <f>ToResult(特性!A100)</f>
        <v/>
      </c>
      <c r="B100" t="str">
        <f>ToResult(特性!B100)</f>
        <v/>
      </c>
      <c r="C100" t="str">
        <f>ToFeatureMode(特性!C100)</f>
        <v/>
      </c>
      <c r="D100" t="str">
        <f>ToResult(特性!D100)</f>
        <v/>
      </c>
      <c r="E100" t="str">
        <f>ToResult(特性!E100)</f>
        <v/>
      </c>
      <c r="F100" t="str">
        <f>ToResult(特性!F100)</f>
        <v/>
      </c>
      <c r="G100" t="str">
        <f>ToResult(特性!G100)</f>
        <v/>
      </c>
      <c r="H100" t="str">
        <f>ToResult(特性!H100)</f>
        <v/>
      </c>
    </row>
  </sheetData>
  <phoneticPr fontId="1" type="noConversion"/>
  <pageMargins left="0.7" right="0.7" top="0.75" bottom="0.75" header="0.3" footer="0.3"/>
  <pageSetup paperSize="9" orientation="portrait" r:id="rId1"/>
  <ignoredErrors>
    <ignoredError sqref="H15 H16:H99" formula="1"/>
  </ignoredError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G100"/>
  <sheetViews>
    <sheetView workbookViewId="0">
      <selection activeCell="E7" sqref="E7"/>
    </sheetView>
  </sheetViews>
  <sheetFormatPr defaultRowHeight="16.5"/>
  <cols>
    <col min="1" max="7" width="15.625" customWidth="1"/>
  </cols>
  <sheetData>
    <row r="1" spans="1:7" s="5" customFormat="1">
      <c r="A1" s="5" t="str">
        <f>怪物!A1</f>
        <v>GUID</v>
      </c>
      <c r="B1" s="29" t="str">
        <f>怪物!B1</f>
        <v>Mode</v>
      </c>
      <c r="C1" s="29" t="str">
        <f>怪物!C1</f>
        <v>Threat</v>
      </c>
      <c r="D1" s="29" t="str">
        <f>怪物!D1</f>
        <v>StageID</v>
      </c>
      <c r="E1" s="29" t="str">
        <f>怪物!E1</f>
        <v>Enegry</v>
      </c>
      <c r="F1" s="29" t="str">
        <f>怪物!F1</f>
        <v>HP</v>
      </c>
      <c r="G1" s="29" t="str">
        <f>怪物!G1</f>
        <v>MoveSpeed</v>
      </c>
    </row>
    <row r="2" spans="1:7">
      <c r="A2" t="str">
        <f>ToResult(怪物!A2)</f>
        <v>1</v>
      </c>
      <c r="B2" t="str">
        <f>ToMonsterMode(怪物!B2)</f>
        <v>1</v>
      </c>
      <c r="C2" t="str">
        <f>ToResult(怪物!C2)</f>
        <v>1</v>
      </c>
      <c r="D2" t="str">
        <f>ToResult(怪物!D2)</f>
        <v>1</v>
      </c>
      <c r="E2" t="str">
        <f>ToResult(怪物!E2)</f>
        <v>1</v>
      </c>
      <c r="F2" t="str">
        <f>ToResult(怪物!F2)</f>
        <v>30</v>
      </c>
      <c r="G2" t="str">
        <f>ToResult(怪物!G2)</f>
        <v>0.28</v>
      </c>
    </row>
    <row r="3" spans="1:7">
      <c r="A3" t="str">
        <f>ToResult(怪物!A3)</f>
        <v>2</v>
      </c>
      <c r="B3" t="str">
        <f>ToMonsterMode(怪物!B3)</f>
        <v>1</v>
      </c>
      <c r="C3" t="str">
        <f>ToResult(怪物!C3)</f>
        <v>1</v>
      </c>
      <c r="D3" t="str">
        <f>ToResult(怪物!D3)</f>
        <v>5</v>
      </c>
      <c r="E3" t="str">
        <f>ToResult(怪物!E3)</f>
        <v>2</v>
      </c>
      <c r="F3" t="str">
        <f>ToResult(怪物!F3)</f>
        <v>60</v>
      </c>
      <c r="G3" t="str">
        <f>ToResult(怪物!G3)</f>
        <v>0.28</v>
      </c>
    </row>
    <row r="4" spans="1:7">
      <c r="A4" t="str">
        <f>ToResult(怪物!A4)</f>
        <v>3</v>
      </c>
      <c r="B4" t="str">
        <f>ToMonsterMode(怪物!B4)</f>
        <v>1</v>
      </c>
      <c r="C4" t="str">
        <f>ToResult(怪物!C4)</f>
        <v>1</v>
      </c>
      <c r="D4" t="str">
        <f>ToResult(怪物!D4)</f>
        <v>11</v>
      </c>
      <c r="E4" t="str">
        <f>ToResult(怪物!E4)</f>
        <v>3</v>
      </c>
      <c r="F4" t="str">
        <f>ToResult(怪物!F4)</f>
        <v>90</v>
      </c>
      <c r="G4" t="str">
        <f>ToResult(怪物!G4)</f>
        <v>0.28</v>
      </c>
    </row>
    <row r="5" spans="1:7">
      <c r="A5" t="str">
        <f>ToResult(怪物!A5)</f>
        <v>4</v>
      </c>
      <c r="B5" t="str">
        <f>ToMonsterMode(怪物!B5)</f>
        <v>1</v>
      </c>
      <c r="C5" t="str">
        <f>ToResult(怪物!C5)</f>
        <v>1</v>
      </c>
      <c r="D5" t="str">
        <f>ToResult(怪物!D5)</f>
        <v>15</v>
      </c>
      <c r="E5" t="str">
        <f>ToResult(怪物!E5)</f>
        <v>4</v>
      </c>
      <c r="F5" t="str">
        <f>ToResult(怪物!F5)</f>
        <v>120</v>
      </c>
      <c r="G5" t="str">
        <f>ToResult(怪物!G5)</f>
        <v>0.28</v>
      </c>
    </row>
    <row r="6" spans="1:7">
      <c r="A6" t="str">
        <f>ToResult(怪物!A6)</f>
        <v>5</v>
      </c>
      <c r="B6" t="str">
        <f>ToMonsterMode(怪物!B6)</f>
        <v>1</v>
      </c>
      <c r="C6" t="str">
        <f>ToResult(怪物!C6)</f>
        <v>1</v>
      </c>
      <c r="D6" t="str">
        <f>ToResult(怪物!D6)</f>
        <v>19</v>
      </c>
      <c r="E6" t="str">
        <f>ToResult(怪物!E6)</f>
        <v>5</v>
      </c>
      <c r="F6" t="str">
        <f>ToResult(怪物!F6)</f>
        <v>150</v>
      </c>
      <c r="G6" t="str">
        <f>ToResult(怪物!G6)</f>
        <v>0.28</v>
      </c>
    </row>
    <row r="7" spans="1:7">
      <c r="A7" t="str">
        <f>ToResult(怪物!A7)</f>
        <v>11</v>
      </c>
      <c r="B7" t="str">
        <f>ToMonsterMode(怪物!B7)</f>
        <v>1</v>
      </c>
      <c r="C7" t="str">
        <f>ToResult(怪物!C7)</f>
        <v>3</v>
      </c>
      <c r="D7" t="str">
        <f>ToResult(怪物!D7)</f>
        <v>2</v>
      </c>
      <c r="E7" t="str">
        <f>ToResult(怪物!E7)</f>
        <v>2</v>
      </c>
      <c r="F7" t="str">
        <f>ToResult(怪物!F7)</f>
        <v>50</v>
      </c>
      <c r="G7" t="str">
        <f>ToResult(怪物!G7)</f>
        <v>0.22</v>
      </c>
    </row>
    <row r="8" spans="1:7">
      <c r="A8" t="str">
        <f>ToResult(怪物!A8)</f>
        <v>12</v>
      </c>
      <c r="B8" t="str">
        <f>ToMonsterMode(怪物!B8)</f>
        <v>1</v>
      </c>
      <c r="C8" t="str">
        <f>ToResult(怪物!C8)</f>
        <v>3</v>
      </c>
      <c r="D8" t="str">
        <f>ToResult(怪物!D8)</f>
        <v>6</v>
      </c>
      <c r="E8" t="str">
        <f>ToResult(怪物!E8)</f>
        <v>3</v>
      </c>
      <c r="F8" t="str">
        <f>ToResult(怪物!F8)</f>
        <v>90</v>
      </c>
      <c r="G8" t="str">
        <f>ToResult(怪物!G8)</f>
        <v>0.22</v>
      </c>
    </row>
    <row r="9" spans="1:7">
      <c r="A9" t="str">
        <f>ToResult(怪物!A9)</f>
        <v>13</v>
      </c>
      <c r="B9" t="str">
        <f>ToMonsterMode(怪物!B9)</f>
        <v>1</v>
      </c>
      <c r="C9" t="str">
        <f>ToResult(怪物!C9)</f>
        <v>3</v>
      </c>
      <c r="D9" t="str">
        <f>ToResult(怪物!D9)</f>
        <v>12</v>
      </c>
      <c r="E9" t="str">
        <f>ToResult(怪物!E9)</f>
        <v>4</v>
      </c>
      <c r="F9" t="str">
        <f>ToResult(怪物!F9)</f>
        <v>130</v>
      </c>
      <c r="G9" t="str">
        <f>ToResult(怪物!G9)</f>
        <v>0.22</v>
      </c>
    </row>
    <row r="10" spans="1:7">
      <c r="A10" t="str">
        <f>ToResult(怪物!A10)</f>
        <v>14</v>
      </c>
      <c r="B10" t="str">
        <f>ToMonsterMode(怪物!B10)</f>
        <v>1</v>
      </c>
      <c r="C10" t="str">
        <f>ToResult(怪物!C10)</f>
        <v>3</v>
      </c>
      <c r="D10" t="str">
        <f>ToResult(怪物!D10)</f>
        <v>16</v>
      </c>
      <c r="E10" t="str">
        <f>ToResult(怪物!E10)</f>
        <v>5</v>
      </c>
      <c r="F10" t="str">
        <f>ToResult(怪物!F10)</f>
        <v>170</v>
      </c>
      <c r="G10" t="str">
        <f>ToResult(怪物!G10)</f>
        <v>0.22</v>
      </c>
    </row>
    <row r="11" spans="1:7">
      <c r="A11" t="str">
        <f>ToResult(怪物!A11)</f>
        <v>15</v>
      </c>
      <c r="B11" t="str">
        <f>ToMonsterMode(怪物!B11)</f>
        <v>1</v>
      </c>
      <c r="C11" t="str">
        <f>ToResult(怪物!C11)</f>
        <v>3</v>
      </c>
      <c r="D11" t="str">
        <f>ToResult(怪物!D11)</f>
        <v>20</v>
      </c>
      <c r="E11" t="str">
        <f>ToResult(怪物!E11)</f>
        <v>6</v>
      </c>
      <c r="F11" t="str">
        <f>ToResult(怪物!F11)</f>
        <v>210</v>
      </c>
      <c r="G11" t="str">
        <f>ToResult(怪物!G11)</f>
        <v>0.22</v>
      </c>
    </row>
    <row r="12" spans="1:7">
      <c r="A12" t="str">
        <f>ToResult(怪物!A12)</f>
        <v>21</v>
      </c>
      <c r="B12" t="str">
        <f>ToMonsterMode(怪物!B12)</f>
        <v>1</v>
      </c>
      <c r="C12" t="str">
        <f>ToResult(怪物!C12)</f>
        <v>2</v>
      </c>
      <c r="D12" t="str">
        <f>ToResult(怪物!D12)</f>
        <v>3</v>
      </c>
      <c r="E12" t="str">
        <f>ToResult(怪物!E12)</f>
        <v>2</v>
      </c>
      <c r="F12" t="str">
        <f>ToResult(怪物!F12)</f>
        <v>60</v>
      </c>
      <c r="G12" t="str">
        <f>ToResult(怪物!G12)</f>
        <v>0.6</v>
      </c>
    </row>
    <row r="13" spans="1:7">
      <c r="A13" t="str">
        <f>ToResult(怪物!A13)</f>
        <v>22</v>
      </c>
      <c r="B13" t="str">
        <f>ToMonsterMode(怪物!B13)</f>
        <v>1</v>
      </c>
      <c r="C13" t="str">
        <f>ToResult(怪物!C13)</f>
        <v>2</v>
      </c>
      <c r="D13" t="str">
        <f>ToResult(怪物!D13)</f>
        <v>7</v>
      </c>
      <c r="E13" t="str">
        <f>ToResult(怪物!E13)</f>
        <v>3</v>
      </c>
      <c r="F13" t="str">
        <f>ToResult(怪物!F13)</f>
        <v>80</v>
      </c>
      <c r="G13" t="str">
        <f>ToResult(怪物!G13)</f>
        <v>0.6</v>
      </c>
    </row>
    <row r="14" spans="1:7">
      <c r="A14" t="str">
        <f>ToResult(怪物!A14)</f>
        <v>23</v>
      </c>
      <c r="B14" t="str">
        <f>ToMonsterMode(怪物!B14)</f>
        <v>1</v>
      </c>
      <c r="C14" t="str">
        <f>ToResult(怪物!C14)</f>
        <v>2</v>
      </c>
      <c r="D14" t="str">
        <f>ToResult(怪物!D14)</f>
        <v>13</v>
      </c>
      <c r="E14" t="str">
        <f>ToResult(怪物!E14)</f>
        <v>4</v>
      </c>
      <c r="F14" t="str">
        <f>ToResult(怪物!F14)</f>
        <v>100</v>
      </c>
      <c r="G14" t="str">
        <f>ToResult(怪物!G14)</f>
        <v>0.6</v>
      </c>
    </row>
    <row r="15" spans="1:7">
      <c r="A15" t="str">
        <f>ToResult(怪物!A15)</f>
        <v>24</v>
      </c>
      <c r="B15" t="str">
        <f>ToMonsterMode(怪物!B15)</f>
        <v>1</v>
      </c>
      <c r="C15" t="str">
        <f>ToResult(怪物!C15)</f>
        <v>2</v>
      </c>
      <c r="D15" t="str">
        <f>ToResult(怪物!D15)</f>
        <v>17</v>
      </c>
      <c r="E15" t="str">
        <f>ToResult(怪物!E15)</f>
        <v>5</v>
      </c>
      <c r="F15" t="str">
        <f>ToResult(怪物!F15)</f>
        <v>120</v>
      </c>
      <c r="G15" t="str">
        <f>ToResult(怪物!G15)</f>
        <v>0.6</v>
      </c>
    </row>
    <row r="16" spans="1:7">
      <c r="A16" t="str">
        <f>ToResult(怪物!A16)</f>
        <v>25</v>
      </c>
      <c r="B16" t="str">
        <f>ToMonsterMode(怪物!B16)</f>
        <v>1</v>
      </c>
      <c r="C16" t="str">
        <f>ToResult(怪物!C16)</f>
        <v>2</v>
      </c>
      <c r="D16" t="str">
        <f>ToResult(怪物!D16)</f>
        <v>21</v>
      </c>
      <c r="E16" t="str">
        <f>ToResult(怪物!E16)</f>
        <v>6</v>
      </c>
      <c r="F16" t="str">
        <f>ToResult(怪物!F16)</f>
        <v>140</v>
      </c>
      <c r="G16" t="str">
        <f>ToResult(怪物!G16)</f>
        <v>0.6</v>
      </c>
    </row>
    <row r="17" spans="1:7">
      <c r="A17" t="str">
        <f>ToResult(怪物!A17)</f>
        <v>31</v>
      </c>
      <c r="B17" t="str">
        <f>ToMonsterMode(怪物!B17)</f>
        <v>2</v>
      </c>
      <c r="C17" t="str">
        <f>ToResult(怪物!C17)</f>
        <v>1</v>
      </c>
      <c r="D17" t="str">
        <f>ToResult(怪物!D17)</f>
        <v>9</v>
      </c>
      <c r="E17" t="str">
        <f>ToResult(怪物!E17)</f>
        <v>6</v>
      </c>
      <c r="F17" t="str">
        <f>ToResult(怪物!F17)</f>
        <v>150</v>
      </c>
      <c r="G17" t="str">
        <f>ToResult(怪物!G17)</f>
        <v>0.5</v>
      </c>
    </row>
    <row r="18" spans="1:7">
      <c r="A18" t="str">
        <f>ToResult(怪物!A18)</f>
        <v>32</v>
      </c>
      <c r="B18" t="str">
        <f>ToMonsterMode(怪物!B18)</f>
        <v>2</v>
      </c>
      <c r="C18" t="str">
        <f>ToResult(怪物!C18)</f>
        <v>1</v>
      </c>
      <c r="D18" t="str">
        <f>ToResult(怪物!D18)</f>
        <v>23</v>
      </c>
      <c r="E18" t="str">
        <f>ToResult(怪物!E18)</f>
        <v>8</v>
      </c>
      <c r="F18" t="str">
        <f>ToResult(怪物!F18)</f>
        <v>300</v>
      </c>
      <c r="G18" t="str">
        <f>ToResult(怪物!G18)</f>
        <v>0.5</v>
      </c>
    </row>
    <row r="19" spans="1:7">
      <c r="A19" t="str">
        <f>ToResult(怪物!A19)</f>
        <v>41</v>
      </c>
      <c r="B19" t="str">
        <f>ToMonsterMode(怪物!B19)</f>
        <v>1</v>
      </c>
      <c r="C19" t="str">
        <f>ToResult(怪物!C19)</f>
        <v>4</v>
      </c>
      <c r="D19" t="str">
        <f>ToResult(怪物!D19)</f>
        <v>99</v>
      </c>
      <c r="E19" t="str">
        <f>ToResult(怪物!E19)</f>
        <v>6</v>
      </c>
      <c r="F19" t="str">
        <f>ToResult(怪物!F19)</f>
        <v>150</v>
      </c>
      <c r="G19" t="str">
        <f>ToResult(怪物!G19)</f>
        <v>0.3</v>
      </c>
    </row>
    <row r="20" spans="1:7">
      <c r="A20" t="str">
        <f>ToResult(怪物!A20)</f>
        <v>42</v>
      </c>
      <c r="B20" t="str">
        <f>ToMonsterMode(怪物!B20)</f>
        <v>1</v>
      </c>
      <c r="C20" t="str">
        <f>ToResult(怪物!C20)</f>
        <v>4</v>
      </c>
      <c r="D20" t="str">
        <f>ToResult(怪物!D20)</f>
        <v>99</v>
      </c>
      <c r="E20" t="str">
        <f>ToResult(怪物!E20)</f>
        <v>6</v>
      </c>
      <c r="F20" t="str">
        <f>ToResult(怪物!F20)</f>
        <v>150</v>
      </c>
      <c r="G20" t="str">
        <f>ToResult(怪物!G20)</f>
        <v>0.3</v>
      </c>
    </row>
    <row r="21" spans="1:7">
      <c r="A21" t="str">
        <f>ToResult(怪物!A21)</f>
        <v>43</v>
      </c>
      <c r="B21" t="str">
        <f>ToMonsterMode(怪物!B21)</f>
        <v>1</v>
      </c>
      <c r="C21" t="str">
        <f>ToResult(怪物!C21)</f>
        <v>4</v>
      </c>
      <c r="D21" t="str">
        <f>ToResult(怪物!D21)</f>
        <v>99</v>
      </c>
      <c r="E21" t="str">
        <f>ToResult(怪物!E21)</f>
        <v>6</v>
      </c>
      <c r="F21" t="str">
        <f>ToResult(怪物!F21)</f>
        <v>150</v>
      </c>
      <c r="G21" t="str">
        <f>ToResult(怪物!G21)</f>
        <v>0.3</v>
      </c>
    </row>
    <row r="22" spans="1:7">
      <c r="A22" t="str">
        <f>ToResult(怪物!A22)</f>
        <v>44</v>
      </c>
      <c r="B22" t="str">
        <f>ToMonsterMode(怪物!B22)</f>
        <v>1</v>
      </c>
      <c r="C22" t="str">
        <f>ToResult(怪物!C22)</f>
        <v>4</v>
      </c>
      <c r="D22" t="str">
        <f>ToResult(怪物!D22)</f>
        <v>99</v>
      </c>
      <c r="E22" t="str">
        <f>ToResult(怪物!E22)</f>
        <v>6</v>
      </c>
      <c r="F22" t="str">
        <f>ToResult(怪物!F22)</f>
        <v>150</v>
      </c>
      <c r="G22" t="str">
        <f>ToResult(怪物!G22)</f>
        <v>0.3</v>
      </c>
    </row>
    <row r="23" spans="1:7">
      <c r="A23" t="str">
        <f>ToResult(怪物!A23)</f>
        <v>45</v>
      </c>
      <c r="B23" t="str">
        <f>ToMonsterMode(怪物!B23)</f>
        <v>1</v>
      </c>
      <c r="C23" t="str">
        <f>ToResult(怪物!C23)</f>
        <v>4</v>
      </c>
      <c r="D23" t="str">
        <f>ToResult(怪物!D23)</f>
        <v>99</v>
      </c>
      <c r="E23" t="str">
        <f>ToResult(怪物!E23)</f>
        <v>6</v>
      </c>
      <c r="F23" t="str">
        <f>ToResult(怪物!F23)</f>
        <v>150</v>
      </c>
      <c r="G23" t="str">
        <f>ToResult(怪物!G23)</f>
        <v>0.3</v>
      </c>
    </row>
    <row r="24" spans="1:7">
      <c r="A24" t="str">
        <f>ToResult(怪物!A24)</f>
        <v/>
      </c>
      <c r="B24" t="str">
        <f>ToMonsterMode(怪物!B24)</f>
        <v/>
      </c>
      <c r="C24" t="str">
        <f>ToResult(怪物!C24)</f>
        <v/>
      </c>
      <c r="D24" t="str">
        <f>ToResult(怪物!D24)</f>
        <v/>
      </c>
      <c r="E24" t="str">
        <f>ToResult(怪物!E24)</f>
        <v/>
      </c>
      <c r="F24" t="str">
        <f>ToResult(怪物!F24)</f>
        <v/>
      </c>
      <c r="G24" t="str">
        <f>ToResult(怪物!G24)</f>
        <v/>
      </c>
    </row>
    <row r="25" spans="1:7">
      <c r="A25" t="str">
        <f>ToResult(怪物!A25)</f>
        <v/>
      </c>
      <c r="B25" t="str">
        <f>ToMonsterMode(怪物!B25)</f>
        <v/>
      </c>
      <c r="C25" t="str">
        <f>ToResult(怪物!C25)</f>
        <v/>
      </c>
      <c r="D25" t="str">
        <f>ToResult(怪物!D25)</f>
        <v/>
      </c>
      <c r="E25" t="str">
        <f>ToResult(怪物!E25)</f>
        <v/>
      </c>
      <c r="F25" t="str">
        <f>ToResult(怪物!F25)</f>
        <v/>
      </c>
      <c r="G25" t="str">
        <f>ToResult(怪物!G25)</f>
        <v/>
      </c>
    </row>
    <row r="26" spans="1:7">
      <c r="A26" t="str">
        <f>ToResult(怪物!A26)</f>
        <v/>
      </c>
      <c r="B26" t="str">
        <f>ToMonsterMode(怪物!B26)</f>
        <v/>
      </c>
      <c r="C26" t="str">
        <f>ToResult(怪物!C26)</f>
        <v/>
      </c>
      <c r="D26" t="str">
        <f>ToResult(怪物!D26)</f>
        <v/>
      </c>
      <c r="E26" t="str">
        <f>ToResult(怪物!E26)</f>
        <v/>
      </c>
      <c r="F26" t="str">
        <f>ToResult(怪物!F26)</f>
        <v/>
      </c>
      <c r="G26" t="str">
        <f>ToResult(怪物!G26)</f>
        <v/>
      </c>
    </row>
    <row r="27" spans="1:7">
      <c r="A27" t="str">
        <f>ToResult(怪物!A27)</f>
        <v/>
      </c>
      <c r="B27" t="str">
        <f>ToMonsterMode(怪物!B27)</f>
        <v/>
      </c>
      <c r="C27" t="str">
        <f>ToResult(怪物!C27)</f>
        <v/>
      </c>
      <c r="D27" t="str">
        <f>ToResult(怪物!D27)</f>
        <v/>
      </c>
      <c r="E27" t="str">
        <f>ToResult(怪物!E27)</f>
        <v/>
      </c>
      <c r="F27" t="str">
        <f>ToResult(怪物!F27)</f>
        <v/>
      </c>
      <c r="G27" t="str">
        <f>ToResult(怪物!G27)</f>
        <v/>
      </c>
    </row>
    <row r="28" spans="1:7">
      <c r="A28" t="str">
        <f>ToResult(怪物!A28)</f>
        <v/>
      </c>
      <c r="B28" t="str">
        <f>ToMonsterMode(怪物!B28)</f>
        <v/>
      </c>
      <c r="C28" t="str">
        <f>ToResult(怪物!C28)</f>
        <v/>
      </c>
      <c r="D28" t="str">
        <f>ToResult(怪物!D28)</f>
        <v/>
      </c>
      <c r="E28" t="str">
        <f>ToResult(怪物!E28)</f>
        <v/>
      </c>
      <c r="F28" t="str">
        <f>ToResult(怪物!F28)</f>
        <v/>
      </c>
      <c r="G28" t="str">
        <f>ToResult(怪物!G28)</f>
        <v/>
      </c>
    </row>
    <row r="29" spans="1:7">
      <c r="A29" t="str">
        <f>ToResult(怪物!A29)</f>
        <v/>
      </c>
      <c r="B29" t="str">
        <f>ToMonsterMode(怪物!B29)</f>
        <v/>
      </c>
      <c r="C29" t="str">
        <f>ToResult(怪物!C29)</f>
        <v/>
      </c>
      <c r="D29" t="str">
        <f>ToResult(怪物!D29)</f>
        <v/>
      </c>
      <c r="E29" t="str">
        <f>ToResult(怪物!E29)</f>
        <v/>
      </c>
      <c r="F29" t="str">
        <f>ToResult(怪物!F29)</f>
        <v/>
      </c>
      <c r="G29" t="str">
        <f>ToResult(怪物!G29)</f>
        <v/>
      </c>
    </row>
    <row r="30" spans="1:7">
      <c r="A30" t="str">
        <f>ToResult(怪物!A30)</f>
        <v/>
      </c>
      <c r="B30" t="str">
        <f>ToMonsterMode(怪物!B30)</f>
        <v/>
      </c>
      <c r="C30" t="str">
        <f>ToResult(怪物!C30)</f>
        <v/>
      </c>
      <c r="D30" t="str">
        <f>ToResult(怪物!D30)</f>
        <v/>
      </c>
      <c r="E30" t="str">
        <f>ToResult(怪物!E30)</f>
        <v/>
      </c>
      <c r="F30" t="str">
        <f>ToResult(怪物!F30)</f>
        <v/>
      </c>
      <c r="G30" t="str">
        <f>ToResult(怪物!G30)</f>
        <v/>
      </c>
    </row>
    <row r="31" spans="1:7">
      <c r="A31" t="str">
        <f>ToResult(怪物!A31)</f>
        <v/>
      </c>
      <c r="B31" t="str">
        <f>ToMonsterMode(怪物!B31)</f>
        <v/>
      </c>
      <c r="C31" t="str">
        <f>ToResult(怪物!C31)</f>
        <v/>
      </c>
      <c r="D31" t="str">
        <f>ToResult(怪物!D31)</f>
        <v/>
      </c>
      <c r="E31" t="str">
        <f>ToResult(怪物!E31)</f>
        <v/>
      </c>
      <c r="F31" t="str">
        <f>ToResult(怪物!F31)</f>
        <v/>
      </c>
      <c r="G31" t="str">
        <f>ToResult(怪物!G31)</f>
        <v/>
      </c>
    </row>
    <row r="32" spans="1:7">
      <c r="A32" t="str">
        <f>ToResult(怪物!A32)</f>
        <v/>
      </c>
      <c r="B32" t="str">
        <f>ToMonsterMode(怪物!B32)</f>
        <v/>
      </c>
      <c r="C32" t="str">
        <f>ToResult(怪物!C32)</f>
        <v/>
      </c>
      <c r="D32" t="str">
        <f>ToResult(怪物!D32)</f>
        <v/>
      </c>
      <c r="E32" t="str">
        <f>ToResult(怪物!E32)</f>
        <v/>
      </c>
      <c r="F32" t="str">
        <f>ToResult(怪物!F32)</f>
        <v/>
      </c>
      <c r="G32" t="str">
        <f>ToResult(怪物!G32)</f>
        <v/>
      </c>
    </row>
    <row r="33" spans="1:7">
      <c r="A33" t="str">
        <f>ToResult(怪物!A33)</f>
        <v/>
      </c>
      <c r="B33" t="str">
        <f>ToMonsterMode(怪物!B33)</f>
        <v/>
      </c>
      <c r="C33" t="str">
        <f>ToResult(怪物!C33)</f>
        <v/>
      </c>
      <c r="D33" t="str">
        <f>ToResult(怪物!D33)</f>
        <v/>
      </c>
      <c r="E33" t="str">
        <f>ToResult(怪物!E33)</f>
        <v/>
      </c>
      <c r="F33" t="str">
        <f>ToResult(怪物!F33)</f>
        <v/>
      </c>
      <c r="G33" t="str">
        <f>ToResult(怪物!G33)</f>
        <v/>
      </c>
    </row>
    <row r="34" spans="1:7">
      <c r="A34" t="str">
        <f>ToResult(怪物!A34)</f>
        <v/>
      </c>
      <c r="B34" t="str">
        <f>ToMonsterMode(怪物!B34)</f>
        <v/>
      </c>
      <c r="C34" t="str">
        <f>ToResult(怪物!C34)</f>
        <v/>
      </c>
      <c r="D34" t="str">
        <f>ToResult(怪物!D34)</f>
        <v/>
      </c>
      <c r="E34" t="str">
        <f>ToResult(怪物!E34)</f>
        <v/>
      </c>
      <c r="F34" t="str">
        <f>ToResult(怪物!F34)</f>
        <v/>
      </c>
      <c r="G34" t="str">
        <f>ToResult(怪物!G34)</f>
        <v/>
      </c>
    </row>
    <row r="35" spans="1:7">
      <c r="A35" t="str">
        <f>ToResult(怪物!A35)</f>
        <v/>
      </c>
      <c r="B35" t="str">
        <f>ToMonsterMode(怪物!B35)</f>
        <v/>
      </c>
      <c r="C35" t="str">
        <f>ToResult(怪物!C35)</f>
        <v/>
      </c>
      <c r="D35" t="str">
        <f>ToResult(怪物!D35)</f>
        <v/>
      </c>
      <c r="E35" t="str">
        <f>ToResult(怪物!E35)</f>
        <v/>
      </c>
      <c r="F35" t="str">
        <f>ToResult(怪物!F35)</f>
        <v/>
      </c>
      <c r="G35" t="str">
        <f>ToResult(怪物!G35)</f>
        <v/>
      </c>
    </row>
    <row r="36" spans="1:7">
      <c r="A36" t="str">
        <f>ToResult(怪物!A36)</f>
        <v/>
      </c>
      <c r="B36" t="str">
        <f>ToMonsterMode(怪物!B36)</f>
        <v/>
      </c>
      <c r="C36" t="str">
        <f>ToResult(怪物!C36)</f>
        <v/>
      </c>
      <c r="D36" t="str">
        <f>ToResult(怪物!D36)</f>
        <v/>
      </c>
      <c r="E36" t="str">
        <f>ToResult(怪物!E36)</f>
        <v/>
      </c>
      <c r="F36" t="str">
        <f>ToResult(怪物!F36)</f>
        <v/>
      </c>
      <c r="G36" t="str">
        <f>ToResult(怪物!G36)</f>
        <v/>
      </c>
    </row>
    <row r="37" spans="1:7">
      <c r="A37" t="str">
        <f>ToResult(怪物!A37)</f>
        <v/>
      </c>
      <c r="B37" t="str">
        <f>ToMonsterMode(怪物!B37)</f>
        <v/>
      </c>
      <c r="C37" t="str">
        <f>ToResult(怪物!C37)</f>
        <v/>
      </c>
      <c r="D37" t="str">
        <f>ToResult(怪物!D37)</f>
        <v/>
      </c>
      <c r="E37" t="str">
        <f>ToResult(怪物!E37)</f>
        <v/>
      </c>
      <c r="F37" t="str">
        <f>ToResult(怪物!F37)</f>
        <v/>
      </c>
      <c r="G37" t="str">
        <f>ToResult(怪物!G37)</f>
        <v/>
      </c>
    </row>
    <row r="38" spans="1:7">
      <c r="A38" t="str">
        <f>ToResult(怪物!A38)</f>
        <v/>
      </c>
      <c r="B38" t="str">
        <f>ToMonsterMode(怪物!B38)</f>
        <v/>
      </c>
      <c r="C38" t="str">
        <f>ToResult(怪物!C38)</f>
        <v/>
      </c>
      <c r="D38" t="str">
        <f>ToResult(怪物!D38)</f>
        <v/>
      </c>
      <c r="E38" t="str">
        <f>ToResult(怪物!E38)</f>
        <v/>
      </c>
      <c r="F38" t="str">
        <f>ToResult(怪物!F38)</f>
        <v/>
      </c>
      <c r="G38" t="str">
        <f>ToResult(怪物!G38)</f>
        <v/>
      </c>
    </row>
    <row r="39" spans="1:7">
      <c r="A39" t="str">
        <f>ToResult(怪物!A39)</f>
        <v/>
      </c>
      <c r="B39" t="str">
        <f>ToMonsterMode(怪物!B39)</f>
        <v/>
      </c>
      <c r="C39" t="str">
        <f>ToResult(怪物!C39)</f>
        <v/>
      </c>
      <c r="D39" t="str">
        <f>ToResult(怪物!D39)</f>
        <v/>
      </c>
      <c r="E39" t="str">
        <f>ToResult(怪物!E39)</f>
        <v/>
      </c>
      <c r="F39" t="str">
        <f>ToResult(怪物!F39)</f>
        <v/>
      </c>
      <c r="G39" t="str">
        <f>ToResult(怪物!G39)</f>
        <v/>
      </c>
    </row>
    <row r="40" spans="1:7">
      <c r="A40" t="str">
        <f>ToResult(怪物!A40)</f>
        <v/>
      </c>
      <c r="B40" t="str">
        <f>ToMonsterMode(怪物!B40)</f>
        <v/>
      </c>
      <c r="C40" t="str">
        <f>ToResult(怪物!C40)</f>
        <v/>
      </c>
      <c r="D40" t="str">
        <f>ToResult(怪物!D40)</f>
        <v/>
      </c>
      <c r="E40" t="str">
        <f>ToResult(怪物!E40)</f>
        <v/>
      </c>
      <c r="F40" t="str">
        <f>ToResult(怪物!F40)</f>
        <v/>
      </c>
      <c r="G40" t="str">
        <f>ToResult(怪物!G40)</f>
        <v/>
      </c>
    </row>
    <row r="41" spans="1:7">
      <c r="A41" t="str">
        <f>ToResult(怪物!A41)</f>
        <v/>
      </c>
      <c r="B41" t="str">
        <f>ToMonsterMode(怪物!B41)</f>
        <v/>
      </c>
      <c r="C41" t="str">
        <f>ToResult(怪物!C41)</f>
        <v/>
      </c>
      <c r="D41" t="str">
        <f>ToResult(怪物!D41)</f>
        <v/>
      </c>
      <c r="E41" t="str">
        <f>ToResult(怪物!E41)</f>
        <v/>
      </c>
      <c r="F41" t="str">
        <f>ToResult(怪物!F41)</f>
        <v/>
      </c>
      <c r="G41" t="str">
        <f>ToResult(怪物!G41)</f>
        <v/>
      </c>
    </row>
    <row r="42" spans="1:7">
      <c r="A42" t="str">
        <f>ToResult(怪物!A42)</f>
        <v/>
      </c>
      <c r="B42" t="str">
        <f>ToMonsterMode(怪物!B42)</f>
        <v/>
      </c>
      <c r="C42" t="str">
        <f>ToResult(怪物!C42)</f>
        <v/>
      </c>
      <c r="D42" t="str">
        <f>ToResult(怪物!D42)</f>
        <v/>
      </c>
      <c r="E42" t="str">
        <f>ToResult(怪物!E42)</f>
        <v/>
      </c>
      <c r="F42" t="str">
        <f>ToResult(怪物!F42)</f>
        <v/>
      </c>
      <c r="G42" t="str">
        <f>ToResult(怪物!G42)</f>
        <v/>
      </c>
    </row>
    <row r="43" spans="1:7">
      <c r="A43" t="str">
        <f>ToResult(怪物!A43)</f>
        <v/>
      </c>
      <c r="B43" t="str">
        <f>ToMonsterMode(怪物!B43)</f>
        <v/>
      </c>
      <c r="C43" t="str">
        <f>ToResult(怪物!C43)</f>
        <v/>
      </c>
      <c r="D43" t="str">
        <f>ToResult(怪物!D43)</f>
        <v/>
      </c>
      <c r="E43" t="str">
        <f>ToResult(怪物!E43)</f>
        <v/>
      </c>
      <c r="F43" t="str">
        <f>ToResult(怪物!F43)</f>
        <v/>
      </c>
      <c r="G43" t="str">
        <f>ToResult(怪物!G43)</f>
        <v/>
      </c>
    </row>
    <row r="44" spans="1:7">
      <c r="A44" t="str">
        <f>ToResult(怪物!A44)</f>
        <v/>
      </c>
      <c r="B44" t="str">
        <f>ToMonsterMode(怪物!B44)</f>
        <v/>
      </c>
      <c r="C44" t="str">
        <f>ToResult(怪物!C44)</f>
        <v/>
      </c>
      <c r="D44" t="str">
        <f>ToResult(怪物!D44)</f>
        <v/>
      </c>
      <c r="E44" t="str">
        <f>ToResult(怪物!E44)</f>
        <v/>
      </c>
      <c r="F44" t="str">
        <f>ToResult(怪物!F44)</f>
        <v/>
      </c>
      <c r="G44" t="str">
        <f>ToResult(怪物!G44)</f>
        <v/>
      </c>
    </row>
    <row r="45" spans="1:7">
      <c r="A45" t="str">
        <f>ToResult(怪物!A45)</f>
        <v/>
      </c>
      <c r="B45" t="str">
        <f>ToMonsterMode(怪物!B45)</f>
        <v/>
      </c>
      <c r="C45" t="str">
        <f>ToResult(怪物!C45)</f>
        <v/>
      </c>
      <c r="D45" t="str">
        <f>ToResult(怪物!D45)</f>
        <v/>
      </c>
      <c r="E45" t="str">
        <f>ToResult(怪物!E45)</f>
        <v/>
      </c>
      <c r="F45" t="str">
        <f>ToResult(怪物!F45)</f>
        <v/>
      </c>
      <c r="G45" t="str">
        <f>ToResult(怪物!G45)</f>
        <v/>
      </c>
    </row>
    <row r="46" spans="1:7">
      <c r="A46" t="str">
        <f>ToResult(怪物!A46)</f>
        <v/>
      </c>
      <c r="B46" t="str">
        <f>ToMonsterMode(怪物!B46)</f>
        <v/>
      </c>
      <c r="C46" t="str">
        <f>ToResult(怪物!C46)</f>
        <v/>
      </c>
      <c r="D46" t="str">
        <f>ToResult(怪物!D46)</f>
        <v/>
      </c>
      <c r="E46" t="str">
        <f>ToResult(怪物!E46)</f>
        <v/>
      </c>
      <c r="F46" t="str">
        <f>ToResult(怪物!F46)</f>
        <v/>
      </c>
      <c r="G46" t="str">
        <f>ToResult(怪物!G46)</f>
        <v/>
      </c>
    </row>
    <row r="47" spans="1:7">
      <c r="A47" t="str">
        <f>ToResult(怪物!A47)</f>
        <v/>
      </c>
      <c r="B47" t="str">
        <f>ToMonsterMode(怪物!B47)</f>
        <v/>
      </c>
      <c r="C47" t="str">
        <f>ToResult(怪物!C47)</f>
        <v/>
      </c>
      <c r="D47" t="str">
        <f>ToResult(怪物!D47)</f>
        <v/>
      </c>
      <c r="E47" t="str">
        <f>ToResult(怪物!E47)</f>
        <v/>
      </c>
      <c r="F47" t="str">
        <f>ToResult(怪物!F47)</f>
        <v/>
      </c>
      <c r="G47" t="str">
        <f>ToResult(怪物!G47)</f>
        <v/>
      </c>
    </row>
    <row r="48" spans="1:7">
      <c r="A48" t="str">
        <f>ToResult(怪物!A48)</f>
        <v/>
      </c>
      <c r="B48" t="str">
        <f>ToMonsterMode(怪物!B48)</f>
        <v/>
      </c>
      <c r="C48" t="str">
        <f>ToResult(怪物!C48)</f>
        <v/>
      </c>
      <c r="D48" t="str">
        <f>ToResult(怪物!D48)</f>
        <v/>
      </c>
      <c r="E48" t="str">
        <f>ToResult(怪物!E48)</f>
        <v/>
      </c>
      <c r="F48" t="str">
        <f>ToResult(怪物!F48)</f>
        <v/>
      </c>
      <c r="G48" t="str">
        <f>ToResult(怪物!G48)</f>
        <v/>
      </c>
    </row>
    <row r="49" spans="1:7">
      <c r="A49" t="str">
        <f>ToResult(怪物!A49)</f>
        <v/>
      </c>
      <c r="B49" t="str">
        <f>ToMonsterMode(怪物!B49)</f>
        <v/>
      </c>
      <c r="C49" t="str">
        <f>ToResult(怪物!C49)</f>
        <v/>
      </c>
      <c r="D49" t="str">
        <f>ToResult(怪物!D49)</f>
        <v/>
      </c>
      <c r="E49" t="str">
        <f>ToResult(怪物!E49)</f>
        <v/>
      </c>
      <c r="F49" t="str">
        <f>ToResult(怪物!F49)</f>
        <v/>
      </c>
      <c r="G49" t="str">
        <f>ToResult(怪物!G49)</f>
        <v/>
      </c>
    </row>
    <row r="50" spans="1:7">
      <c r="A50" t="str">
        <f>ToResult(怪物!A50)</f>
        <v/>
      </c>
      <c r="B50" t="str">
        <f>ToMonsterMode(怪物!B50)</f>
        <v/>
      </c>
      <c r="C50" t="str">
        <f>ToResult(怪物!C50)</f>
        <v/>
      </c>
      <c r="D50" t="str">
        <f>ToResult(怪物!D50)</f>
        <v/>
      </c>
      <c r="E50" t="str">
        <f>ToResult(怪物!E50)</f>
        <v/>
      </c>
      <c r="F50" t="str">
        <f>ToResult(怪物!F50)</f>
        <v/>
      </c>
      <c r="G50" t="str">
        <f>ToResult(怪物!G50)</f>
        <v/>
      </c>
    </row>
    <row r="51" spans="1:7">
      <c r="A51" t="str">
        <f>ToResult(怪物!A51)</f>
        <v/>
      </c>
      <c r="B51" t="str">
        <f>ToMonsterMode(怪物!B51)</f>
        <v/>
      </c>
      <c r="C51" t="str">
        <f>ToResult(怪物!C51)</f>
        <v/>
      </c>
      <c r="D51" t="str">
        <f>ToResult(怪物!D51)</f>
        <v/>
      </c>
      <c r="E51" t="str">
        <f>ToResult(怪物!E51)</f>
        <v/>
      </c>
      <c r="F51" t="str">
        <f>ToResult(怪物!F51)</f>
        <v/>
      </c>
      <c r="G51" t="str">
        <f>ToResult(怪物!G51)</f>
        <v/>
      </c>
    </row>
    <row r="52" spans="1:7">
      <c r="A52" t="str">
        <f>ToResult(怪物!A52)</f>
        <v/>
      </c>
      <c r="B52" t="str">
        <f>ToMonsterMode(怪物!B52)</f>
        <v/>
      </c>
      <c r="C52" t="str">
        <f>ToResult(怪物!C52)</f>
        <v/>
      </c>
      <c r="D52" t="str">
        <f>ToResult(怪物!D52)</f>
        <v/>
      </c>
      <c r="E52" t="str">
        <f>ToResult(怪物!E52)</f>
        <v/>
      </c>
      <c r="F52" t="str">
        <f>ToResult(怪物!F52)</f>
        <v/>
      </c>
      <c r="G52" t="str">
        <f>ToResult(怪物!G52)</f>
        <v/>
      </c>
    </row>
    <row r="53" spans="1:7">
      <c r="A53" t="str">
        <f>ToResult(怪物!A53)</f>
        <v/>
      </c>
      <c r="B53" t="str">
        <f>ToMonsterMode(怪物!B53)</f>
        <v/>
      </c>
      <c r="C53" t="str">
        <f>ToResult(怪物!C53)</f>
        <v/>
      </c>
      <c r="D53" t="str">
        <f>ToResult(怪物!D53)</f>
        <v/>
      </c>
      <c r="E53" t="str">
        <f>ToResult(怪物!E53)</f>
        <v/>
      </c>
      <c r="F53" t="str">
        <f>ToResult(怪物!F53)</f>
        <v/>
      </c>
      <c r="G53" t="str">
        <f>ToResult(怪物!G53)</f>
        <v/>
      </c>
    </row>
    <row r="54" spans="1:7">
      <c r="A54" t="str">
        <f>ToResult(怪物!A54)</f>
        <v/>
      </c>
      <c r="B54" t="str">
        <f>ToMonsterMode(怪物!B54)</f>
        <v/>
      </c>
      <c r="C54" t="str">
        <f>ToResult(怪物!C54)</f>
        <v/>
      </c>
      <c r="D54" t="str">
        <f>ToResult(怪物!D54)</f>
        <v/>
      </c>
      <c r="E54" t="str">
        <f>ToResult(怪物!E54)</f>
        <v/>
      </c>
      <c r="F54" t="str">
        <f>ToResult(怪物!F54)</f>
        <v/>
      </c>
      <c r="G54" t="str">
        <f>ToResult(怪物!G54)</f>
        <v/>
      </c>
    </row>
    <row r="55" spans="1:7">
      <c r="A55" t="str">
        <f>ToResult(怪物!A55)</f>
        <v/>
      </c>
      <c r="B55" t="str">
        <f>ToMonsterMode(怪物!B55)</f>
        <v/>
      </c>
      <c r="C55" t="str">
        <f>ToResult(怪物!C55)</f>
        <v/>
      </c>
      <c r="D55" t="str">
        <f>ToResult(怪物!D55)</f>
        <v/>
      </c>
      <c r="E55" t="str">
        <f>ToResult(怪物!E55)</f>
        <v/>
      </c>
      <c r="F55" t="str">
        <f>ToResult(怪物!F55)</f>
        <v/>
      </c>
      <c r="G55" t="str">
        <f>ToResult(怪物!G55)</f>
        <v/>
      </c>
    </row>
    <row r="56" spans="1:7">
      <c r="A56" t="str">
        <f>ToResult(怪物!A56)</f>
        <v/>
      </c>
      <c r="B56" t="str">
        <f>ToMonsterMode(怪物!B56)</f>
        <v/>
      </c>
      <c r="C56" t="str">
        <f>ToResult(怪物!C56)</f>
        <v/>
      </c>
      <c r="D56" t="str">
        <f>ToResult(怪物!D56)</f>
        <v/>
      </c>
      <c r="E56" t="str">
        <f>ToResult(怪物!E56)</f>
        <v/>
      </c>
      <c r="F56" t="str">
        <f>ToResult(怪物!F56)</f>
        <v/>
      </c>
      <c r="G56" t="str">
        <f>ToResult(怪物!G56)</f>
        <v/>
      </c>
    </row>
    <row r="57" spans="1:7">
      <c r="A57" t="str">
        <f>ToResult(怪物!A57)</f>
        <v/>
      </c>
      <c r="B57" t="str">
        <f>ToMonsterMode(怪物!B57)</f>
        <v/>
      </c>
      <c r="C57" t="str">
        <f>ToResult(怪物!C57)</f>
        <v/>
      </c>
      <c r="D57" t="str">
        <f>ToResult(怪物!D57)</f>
        <v/>
      </c>
      <c r="E57" t="str">
        <f>ToResult(怪物!E57)</f>
        <v/>
      </c>
      <c r="F57" t="str">
        <f>ToResult(怪物!F57)</f>
        <v/>
      </c>
      <c r="G57" t="str">
        <f>ToResult(怪物!G57)</f>
        <v/>
      </c>
    </row>
    <row r="58" spans="1:7">
      <c r="A58" t="str">
        <f>ToResult(怪物!A58)</f>
        <v/>
      </c>
      <c r="B58" t="str">
        <f>ToMonsterMode(怪物!B58)</f>
        <v/>
      </c>
      <c r="C58" t="str">
        <f>ToResult(怪物!C58)</f>
        <v/>
      </c>
      <c r="D58" t="str">
        <f>ToResult(怪物!D58)</f>
        <v/>
      </c>
      <c r="E58" t="str">
        <f>ToResult(怪物!E58)</f>
        <v/>
      </c>
      <c r="F58" t="str">
        <f>ToResult(怪物!F58)</f>
        <v/>
      </c>
      <c r="G58" t="str">
        <f>ToResult(怪物!G58)</f>
        <v/>
      </c>
    </row>
    <row r="59" spans="1:7">
      <c r="A59" t="str">
        <f>ToResult(怪物!A59)</f>
        <v/>
      </c>
      <c r="B59" t="str">
        <f>ToMonsterMode(怪物!B59)</f>
        <v/>
      </c>
      <c r="C59" t="str">
        <f>ToResult(怪物!C59)</f>
        <v/>
      </c>
      <c r="D59" t="str">
        <f>ToResult(怪物!D59)</f>
        <v/>
      </c>
      <c r="E59" t="str">
        <f>ToResult(怪物!E59)</f>
        <v/>
      </c>
      <c r="F59" t="str">
        <f>ToResult(怪物!F59)</f>
        <v/>
      </c>
      <c r="G59" t="str">
        <f>ToResult(怪物!G59)</f>
        <v/>
      </c>
    </row>
    <row r="60" spans="1:7">
      <c r="A60" t="str">
        <f>ToResult(怪物!A60)</f>
        <v/>
      </c>
      <c r="B60" t="str">
        <f>ToMonsterMode(怪物!B60)</f>
        <v/>
      </c>
      <c r="C60" t="str">
        <f>ToResult(怪物!C60)</f>
        <v/>
      </c>
      <c r="D60" t="str">
        <f>ToResult(怪物!D60)</f>
        <v/>
      </c>
      <c r="E60" t="str">
        <f>ToResult(怪物!E60)</f>
        <v/>
      </c>
      <c r="F60" t="str">
        <f>ToResult(怪物!F60)</f>
        <v/>
      </c>
      <c r="G60" t="str">
        <f>ToResult(怪物!G60)</f>
        <v/>
      </c>
    </row>
    <row r="61" spans="1:7">
      <c r="A61" t="str">
        <f>ToResult(怪物!A61)</f>
        <v/>
      </c>
      <c r="B61" t="str">
        <f>ToMonsterMode(怪物!B61)</f>
        <v/>
      </c>
      <c r="C61" t="str">
        <f>ToResult(怪物!C61)</f>
        <v/>
      </c>
      <c r="D61" t="str">
        <f>ToResult(怪物!D61)</f>
        <v/>
      </c>
      <c r="E61" t="str">
        <f>ToResult(怪物!E61)</f>
        <v/>
      </c>
      <c r="F61" t="str">
        <f>ToResult(怪物!F61)</f>
        <v/>
      </c>
      <c r="G61" t="str">
        <f>ToResult(怪物!G61)</f>
        <v/>
      </c>
    </row>
    <row r="62" spans="1:7">
      <c r="A62" t="str">
        <f>ToResult(怪物!A62)</f>
        <v/>
      </c>
      <c r="B62" t="str">
        <f>ToMonsterMode(怪物!B62)</f>
        <v/>
      </c>
      <c r="C62" t="str">
        <f>ToResult(怪物!C62)</f>
        <v/>
      </c>
      <c r="D62" t="str">
        <f>ToResult(怪物!D62)</f>
        <v/>
      </c>
      <c r="E62" t="str">
        <f>ToResult(怪物!E62)</f>
        <v/>
      </c>
      <c r="F62" t="str">
        <f>ToResult(怪物!F62)</f>
        <v/>
      </c>
      <c r="G62" t="str">
        <f>ToResult(怪物!G62)</f>
        <v/>
      </c>
    </row>
    <row r="63" spans="1:7">
      <c r="A63" t="str">
        <f>ToResult(怪物!A63)</f>
        <v/>
      </c>
      <c r="B63" t="str">
        <f>ToMonsterMode(怪物!B63)</f>
        <v/>
      </c>
      <c r="C63" t="str">
        <f>ToResult(怪物!C63)</f>
        <v/>
      </c>
      <c r="D63" t="str">
        <f>ToResult(怪物!D63)</f>
        <v/>
      </c>
      <c r="E63" t="str">
        <f>ToResult(怪物!E63)</f>
        <v/>
      </c>
      <c r="F63" t="str">
        <f>ToResult(怪物!F63)</f>
        <v/>
      </c>
      <c r="G63" t="str">
        <f>ToResult(怪物!G63)</f>
        <v/>
      </c>
    </row>
    <row r="64" spans="1:7">
      <c r="A64" t="str">
        <f>ToResult(怪物!A64)</f>
        <v/>
      </c>
      <c r="B64" t="str">
        <f>ToMonsterMode(怪物!B64)</f>
        <v/>
      </c>
      <c r="C64" t="str">
        <f>ToResult(怪物!C64)</f>
        <v/>
      </c>
      <c r="D64" t="str">
        <f>ToResult(怪物!D64)</f>
        <v/>
      </c>
      <c r="E64" t="str">
        <f>ToResult(怪物!E64)</f>
        <v/>
      </c>
      <c r="F64" t="str">
        <f>ToResult(怪物!F64)</f>
        <v/>
      </c>
      <c r="G64" t="str">
        <f>ToResult(怪物!G64)</f>
        <v/>
      </c>
    </row>
    <row r="65" spans="1:7">
      <c r="A65" t="str">
        <f>ToResult(怪物!A65)</f>
        <v/>
      </c>
      <c r="B65" t="str">
        <f>ToMonsterMode(怪物!B65)</f>
        <v/>
      </c>
      <c r="C65" t="str">
        <f>ToResult(怪物!C65)</f>
        <v/>
      </c>
      <c r="D65" t="str">
        <f>ToResult(怪物!D65)</f>
        <v/>
      </c>
      <c r="E65" t="str">
        <f>ToResult(怪物!E65)</f>
        <v/>
      </c>
      <c r="F65" t="str">
        <f>ToResult(怪物!F65)</f>
        <v/>
      </c>
      <c r="G65" t="str">
        <f>ToResult(怪物!G65)</f>
        <v/>
      </c>
    </row>
    <row r="66" spans="1:7">
      <c r="A66" t="str">
        <f>ToResult(怪物!A66)</f>
        <v/>
      </c>
      <c r="B66" t="str">
        <f>ToMonsterMode(怪物!B66)</f>
        <v/>
      </c>
      <c r="C66" t="str">
        <f>ToResult(怪物!C66)</f>
        <v/>
      </c>
      <c r="D66" t="str">
        <f>ToResult(怪物!D66)</f>
        <v/>
      </c>
      <c r="E66" t="str">
        <f>ToResult(怪物!E66)</f>
        <v/>
      </c>
      <c r="F66" t="str">
        <f>ToResult(怪物!F66)</f>
        <v/>
      </c>
      <c r="G66" t="str">
        <f>ToResult(怪物!G66)</f>
        <v/>
      </c>
    </row>
    <row r="67" spans="1:7">
      <c r="A67" t="str">
        <f>ToResult(怪物!A67)</f>
        <v/>
      </c>
      <c r="B67" t="str">
        <f>ToMonsterMode(怪物!B67)</f>
        <v/>
      </c>
      <c r="C67" t="str">
        <f>ToResult(怪物!C67)</f>
        <v/>
      </c>
      <c r="D67" t="str">
        <f>ToResult(怪物!D67)</f>
        <v/>
      </c>
      <c r="E67" t="str">
        <f>ToResult(怪物!E67)</f>
        <v/>
      </c>
      <c r="F67" t="str">
        <f>ToResult(怪物!F67)</f>
        <v/>
      </c>
      <c r="G67" t="str">
        <f>ToResult(怪物!G67)</f>
        <v/>
      </c>
    </row>
    <row r="68" spans="1:7">
      <c r="A68" t="str">
        <f>ToResult(怪物!A68)</f>
        <v/>
      </c>
      <c r="B68" t="str">
        <f>ToMonsterMode(怪物!B68)</f>
        <v/>
      </c>
      <c r="C68" t="str">
        <f>ToResult(怪物!C68)</f>
        <v/>
      </c>
      <c r="D68" t="str">
        <f>ToResult(怪物!D68)</f>
        <v/>
      </c>
      <c r="E68" t="str">
        <f>ToResult(怪物!E68)</f>
        <v/>
      </c>
      <c r="F68" t="str">
        <f>ToResult(怪物!F68)</f>
        <v/>
      </c>
      <c r="G68" t="str">
        <f>ToResult(怪物!G68)</f>
        <v/>
      </c>
    </row>
    <row r="69" spans="1:7">
      <c r="A69" t="str">
        <f>ToResult(怪物!A69)</f>
        <v/>
      </c>
      <c r="B69" t="str">
        <f>ToMonsterMode(怪物!B69)</f>
        <v/>
      </c>
      <c r="C69" t="str">
        <f>ToResult(怪物!C69)</f>
        <v/>
      </c>
      <c r="D69" t="str">
        <f>ToResult(怪物!D69)</f>
        <v/>
      </c>
      <c r="E69" t="str">
        <f>ToResult(怪物!E69)</f>
        <v/>
      </c>
      <c r="F69" t="str">
        <f>ToResult(怪物!F69)</f>
        <v/>
      </c>
      <c r="G69" t="str">
        <f>ToResult(怪物!G69)</f>
        <v/>
      </c>
    </row>
    <row r="70" spans="1:7">
      <c r="A70" t="str">
        <f>ToResult(怪物!A70)</f>
        <v/>
      </c>
      <c r="B70" t="str">
        <f>ToMonsterMode(怪物!B70)</f>
        <v/>
      </c>
      <c r="C70" t="str">
        <f>ToResult(怪物!C70)</f>
        <v/>
      </c>
      <c r="D70" t="str">
        <f>ToResult(怪物!D70)</f>
        <v/>
      </c>
      <c r="E70" t="str">
        <f>ToResult(怪物!E70)</f>
        <v/>
      </c>
      <c r="F70" t="str">
        <f>ToResult(怪物!F70)</f>
        <v/>
      </c>
      <c r="G70" t="str">
        <f>ToResult(怪物!G70)</f>
        <v/>
      </c>
    </row>
    <row r="71" spans="1:7">
      <c r="A71" t="str">
        <f>ToResult(怪物!A71)</f>
        <v/>
      </c>
      <c r="B71" t="str">
        <f>ToMonsterMode(怪物!B71)</f>
        <v/>
      </c>
      <c r="C71" t="str">
        <f>ToResult(怪物!C71)</f>
        <v/>
      </c>
      <c r="D71" t="str">
        <f>ToResult(怪物!D71)</f>
        <v/>
      </c>
      <c r="E71" t="str">
        <f>ToResult(怪物!E71)</f>
        <v/>
      </c>
      <c r="F71" t="str">
        <f>ToResult(怪物!F71)</f>
        <v/>
      </c>
      <c r="G71" t="str">
        <f>ToResult(怪物!G71)</f>
        <v/>
      </c>
    </row>
    <row r="72" spans="1:7">
      <c r="A72" t="str">
        <f>ToResult(怪物!A72)</f>
        <v/>
      </c>
      <c r="B72" t="str">
        <f>ToMonsterMode(怪物!B72)</f>
        <v/>
      </c>
      <c r="C72" t="str">
        <f>ToResult(怪物!C72)</f>
        <v/>
      </c>
      <c r="D72" t="str">
        <f>ToResult(怪物!D72)</f>
        <v/>
      </c>
      <c r="E72" t="str">
        <f>ToResult(怪物!E72)</f>
        <v/>
      </c>
      <c r="F72" t="str">
        <f>ToResult(怪物!F72)</f>
        <v/>
      </c>
      <c r="G72" t="str">
        <f>ToResult(怪物!G72)</f>
        <v/>
      </c>
    </row>
    <row r="73" spans="1:7">
      <c r="A73" t="str">
        <f>ToResult(怪物!A73)</f>
        <v/>
      </c>
      <c r="B73" t="str">
        <f>ToMonsterMode(怪物!B73)</f>
        <v/>
      </c>
      <c r="C73" t="str">
        <f>ToResult(怪物!C73)</f>
        <v/>
      </c>
      <c r="D73" t="str">
        <f>ToResult(怪物!D73)</f>
        <v/>
      </c>
      <c r="E73" t="str">
        <f>ToResult(怪物!E73)</f>
        <v/>
      </c>
      <c r="F73" t="str">
        <f>ToResult(怪物!F73)</f>
        <v/>
      </c>
      <c r="G73" t="str">
        <f>ToResult(怪物!G73)</f>
        <v/>
      </c>
    </row>
    <row r="74" spans="1:7">
      <c r="A74" t="str">
        <f>ToResult(怪物!A74)</f>
        <v/>
      </c>
      <c r="B74" t="str">
        <f>ToMonsterMode(怪物!B74)</f>
        <v/>
      </c>
      <c r="C74" t="str">
        <f>ToResult(怪物!C74)</f>
        <v/>
      </c>
      <c r="D74" t="str">
        <f>ToResult(怪物!D74)</f>
        <v/>
      </c>
      <c r="E74" t="str">
        <f>ToResult(怪物!E74)</f>
        <v/>
      </c>
      <c r="F74" t="str">
        <f>ToResult(怪物!F74)</f>
        <v/>
      </c>
      <c r="G74" t="str">
        <f>ToResult(怪物!G74)</f>
        <v/>
      </c>
    </row>
    <row r="75" spans="1:7">
      <c r="A75" t="str">
        <f>ToResult(怪物!A75)</f>
        <v/>
      </c>
      <c r="B75" t="str">
        <f>ToMonsterMode(怪物!B75)</f>
        <v/>
      </c>
      <c r="C75" t="str">
        <f>ToResult(怪物!C75)</f>
        <v/>
      </c>
      <c r="D75" t="str">
        <f>ToResult(怪物!D75)</f>
        <v/>
      </c>
      <c r="E75" t="str">
        <f>ToResult(怪物!E75)</f>
        <v/>
      </c>
      <c r="F75" t="str">
        <f>ToResult(怪物!F75)</f>
        <v/>
      </c>
      <c r="G75" t="str">
        <f>ToResult(怪物!G75)</f>
        <v/>
      </c>
    </row>
    <row r="76" spans="1:7">
      <c r="A76" t="str">
        <f>ToResult(怪物!A76)</f>
        <v/>
      </c>
      <c r="B76" t="str">
        <f>ToMonsterMode(怪物!B76)</f>
        <v/>
      </c>
      <c r="C76" t="str">
        <f>ToResult(怪物!C76)</f>
        <v/>
      </c>
      <c r="D76" t="str">
        <f>ToResult(怪物!D76)</f>
        <v/>
      </c>
      <c r="E76" t="str">
        <f>ToResult(怪物!E76)</f>
        <v/>
      </c>
      <c r="F76" t="str">
        <f>ToResult(怪物!F76)</f>
        <v/>
      </c>
      <c r="G76" t="str">
        <f>ToResult(怪物!G76)</f>
        <v/>
      </c>
    </row>
    <row r="77" spans="1:7">
      <c r="A77" t="str">
        <f>ToResult(怪物!A77)</f>
        <v/>
      </c>
      <c r="B77" t="str">
        <f>ToMonsterMode(怪物!B77)</f>
        <v/>
      </c>
      <c r="C77" t="str">
        <f>ToResult(怪物!C77)</f>
        <v/>
      </c>
      <c r="D77" t="str">
        <f>ToResult(怪物!D77)</f>
        <v/>
      </c>
      <c r="E77" t="str">
        <f>ToResult(怪物!E77)</f>
        <v/>
      </c>
      <c r="F77" t="str">
        <f>ToResult(怪物!F77)</f>
        <v/>
      </c>
      <c r="G77" t="str">
        <f>ToResult(怪物!G77)</f>
        <v/>
      </c>
    </row>
    <row r="78" spans="1:7">
      <c r="A78" t="str">
        <f>ToResult(怪物!A78)</f>
        <v/>
      </c>
      <c r="B78" t="str">
        <f>ToMonsterMode(怪物!B78)</f>
        <v/>
      </c>
      <c r="C78" t="str">
        <f>ToResult(怪物!C78)</f>
        <v/>
      </c>
      <c r="D78" t="str">
        <f>ToResult(怪物!D78)</f>
        <v/>
      </c>
      <c r="E78" t="str">
        <f>ToResult(怪物!E78)</f>
        <v/>
      </c>
      <c r="F78" t="str">
        <f>ToResult(怪物!F78)</f>
        <v/>
      </c>
      <c r="G78" t="str">
        <f>ToResult(怪物!G78)</f>
        <v/>
      </c>
    </row>
    <row r="79" spans="1:7">
      <c r="A79" t="str">
        <f>ToResult(怪物!A79)</f>
        <v/>
      </c>
      <c r="B79" t="str">
        <f>ToMonsterMode(怪物!B79)</f>
        <v/>
      </c>
      <c r="C79" t="str">
        <f>ToResult(怪物!C79)</f>
        <v/>
      </c>
      <c r="D79" t="str">
        <f>ToResult(怪物!D79)</f>
        <v/>
      </c>
      <c r="E79" t="str">
        <f>ToResult(怪物!E79)</f>
        <v/>
      </c>
      <c r="F79" t="str">
        <f>ToResult(怪物!F79)</f>
        <v/>
      </c>
      <c r="G79" t="str">
        <f>ToResult(怪物!G79)</f>
        <v/>
      </c>
    </row>
    <row r="80" spans="1:7">
      <c r="A80" t="str">
        <f>ToResult(怪物!A80)</f>
        <v/>
      </c>
      <c r="B80" t="str">
        <f>ToMonsterMode(怪物!B80)</f>
        <v/>
      </c>
      <c r="C80" t="str">
        <f>ToResult(怪物!C80)</f>
        <v/>
      </c>
      <c r="D80" t="str">
        <f>ToResult(怪物!D80)</f>
        <v/>
      </c>
      <c r="E80" t="str">
        <f>ToResult(怪物!E80)</f>
        <v/>
      </c>
      <c r="F80" t="str">
        <f>ToResult(怪物!F80)</f>
        <v/>
      </c>
      <c r="G80" t="str">
        <f>ToResult(怪物!G80)</f>
        <v/>
      </c>
    </row>
    <row r="81" spans="1:7">
      <c r="A81" t="str">
        <f>ToResult(怪物!A81)</f>
        <v/>
      </c>
      <c r="B81" t="str">
        <f>ToMonsterMode(怪物!B81)</f>
        <v/>
      </c>
      <c r="C81" t="str">
        <f>ToResult(怪物!C81)</f>
        <v/>
      </c>
      <c r="D81" t="str">
        <f>ToResult(怪物!D81)</f>
        <v/>
      </c>
      <c r="E81" t="str">
        <f>ToResult(怪物!E81)</f>
        <v/>
      </c>
      <c r="F81" t="str">
        <f>ToResult(怪物!F81)</f>
        <v/>
      </c>
      <c r="G81" t="str">
        <f>ToResult(怪物!G81)</f>
        <v/>
      </c>
    </row>
    <row r="82" spans="1:7">
      <c r="A82" t="str">
        <f>ToResult(怪物!A82)</f>
        <v/>
      </c>
      <c r="B82" t="str">
        <f>ToMonsterMode(怪物!B82)</f>
        <v/>
      </c>
      <c r="C82" t="str">
        <f>ToResult(怪物!C82)</f>
        <v/>
      </c>
      <c r="D82" t="str">
        <f>ToResult(怪物!D82)</f>
        <v/>
      </c>
      <c r="E82" t="str">
        <f>ToResult(怪物!E82)</f>
        <v/>
      </c>
      <c r="F82" t="str">
        <f>ToResult(怪物!F82)</f>
        <v/>
      </c>
      <c r="G82" t="str">
        <f>ToResult(怪物!G82)</f>
        <v/>
      </c>
    </row>
    <row r="83" spans="1:7">
      <c r="A83" t="str">
        <f>ToResult(怪物!A83)</f>
        <v/>
      </c>
      <c r="B83" t="str">
        <f>ToMonsterMode(怪物!B83)</f>
        <v/>
      </c>
      <c r="C83" t="str">
        <f>ToResult(怪物!C83)</f>
        <v/>
      </c>
      <c r="D83" t="str">
        <f>ToResult(怪物!D83)</f>
        <v/>
      </c>
      <c r="E83" t="str">
        <f>ToResult(怪物!E83)</f>
        <v/>
      </c>
      <c r="F83" t="str">
        <f>ToResult(怪物!F83)</f>
        <v/>
      </c>
      <c r="G83" t="str">
        <f>ToResult(怪物!G83)</f>
        <v/>
      </c>
    </row>
    <row r="84" spans="1:7">
      <c r="A84" t="str">
        <f>ToResult(怪物!A84)</f>
        <v/>
      </c>
      <c r="B84" t="str">
        <f>ToMonsterMode(怪物!B84)</f>
        <v/>
      </c>
      <c r="C84" t="str">
        <f>ToResult(怪物!C84)</f>
        <v/>
      </c>
      <c r="D84" t="str">
        <f>ToResult(怪物!D84)</f>
        <v/>
      </c>
      <c r="E84" t="str">
        <f>ToResult(怪物!E84)</f>
        <v/>
      </c>
      <c r="F84" t="str">
        <f>ToResult(怪物!F84)</f>
        <v/>
      </c>
      <c r="G84" t="str">
        <f>ToResult(怪物!G84)</f>
        <v/>
      </c>
    </row>
    <row r="85" spans="1:7">
      <c r="A85" t="str">
        <f>ToResult(怪物!A85)</f>
        <v/>
      </c>
      <c r="B85" t="str">
        <f>ToMonsterMode(怪物!B85)</f>
        <v/>
      </c>
      <c r="C85" t="str">
        <f>ToResult(怪物!C85)</f>
        <v/>
      </c>
      <c r="D85" t="str">
        <f>ToResult(怪物!D85)</f>
        <v/>
      </c>
      <c r="E85" t="str">
        <f>ToResult(怪物!E85)</f>
        <v/>
      </c>
      <c r="F85" t="str">
        <f>ToResult(怪物!F85)</f>
        <v/>
      </c>
      <c r="G85" t="str">
        <f>ToResult(怪物!G85)</f>
        <v/>
      </c>
    </row>
    <row r="86" spans="1:7">
      <c r="A86" t="str">
        <f>ToResult(怪物!A86)</f>
        <v/>
      </c>
      <c r="B86" t="str">
        <f>ToMonsterMode(怪物!B86)</f>
        <v/>
      </c>
      <c r="C86" t="str">
        <f>ToResult(怪物!C86)</f>
        <v/>
      </c>
      <c r="D86" t="str">
        <f>ToResult(怪物!D86)</f>
        <v/>
      </c>
      <c r="E86" t="str">
        <f>ToResult(怪物!E86)</f>
        <v/>
      </c>
      <c r="F86" t="str">
        <f>ToResult(怪物!F86)</f>
        <v/>
      </c>
      <c r="G86" t="str">
        <f>ToResult(怪物!G86)</f>
        <v/>
      </c>
    </row>
    <row r="87" spans="1:7">
      <c r="A87" t="str">
        <f>ToResult(怪物!A87)</f>
        <v/>
      </c>
      <c r="B87" t="str">
        <f>ToMonsterMode(怪物!B87)</f>
        <v/>
      </c>
      <c r="C87" t="str">
        <f>ToResult(怪物!C87)</f>
        <v/>
      </c>
      <c r="D87" t="str">
        <f>ToResult(怪物!D87)</f>
        <v/>
      </c>
      <c r="E87" t="str">
        <f>ToResult(怪物!E87)</f>
        <v/>
      </c>
      <c r="F87" t="str">
        <f>ToResult(怪物!F87)</f>
        <v/>
      </c>
      <c r="G87" t="str">
        <f>ToResult(怪物!G87)</f>
        <v/>
      </c>
    </row>
    <row r="88" spans="1:7">
      <c r="A88" t="str">
        <f>ToResult(怪物!A88)</f>
        <v/>
      </c>
      <c r="B88" t="str">
        <f>ToMonsterMode(怪物!B88)</f>
        <v/>
      </c>
      <c r="C88" t="str">
        <f>ToResult(怪物!C88)</f>
        <v/>
      </c>
      <c r="D88" t="str">
        <f>ToResult(怪物!D88)</f>
        <v/>
      </c>
      <c r="E88" t="str">
        <f>ToResult(怪物!E88)</f>
        <v/>
      </c>
      <c r="F88" t="str">
        <f>ToResult(怪物!F88)</f>
        <v/>
      </c>
      <c r="G88" t="str">
        <f>ToResult(怪物!G88)</f>
        <v/>
      </c>
    </row>
    <row r="89" spans="1:7">
      <c r="A89" t="str">
        <f>ToResult(怪物!A89)</f>
        <v/>
      </c>
      <c r="B89" t="str">
        <f>ToMonsterMode(怪物!B89)</f>
        <v/>
      </c>
      <c r="C89" t="str">
        <f>ToResult(怪物!C89)</f>
        <v/>
      </c>
      <c r="D89" t="str">
        <f>ToResult(怪物!D89)</f>
        <v/>
      </c>
      <c r="E89" t="str">
        <f>ToResult(怪物!E89)</f>
        <v/>
      </c>
      <c r="F89" t="str">
        <f>ToResult(怪物!F89)</f>
        <v/>
      </c>
      <c r="G89" t="str">
        <f>ToResult(怪物!G89)</f>
        <v/>
      </c>
    </row>
    <row r="90" spans="1:7">
      <c r="A90" t="str">
        <f>ToResult(怪物!A90)</f>
        <v/>
      </c>
      <c r="B90" t="str">
        <f>ToMonsterMode(怪物!B90)</f>
        <v/>
      </c>
      <c r="C90" t="str">
        <f>ToResult(怪物!C90)</f>
        <v/>
      </c>
      <c r="D90" t="str">
        <f>ToResult(怪物!D90)</f>
        <v/>
      </c>
      <c r="E90" t="str">
        <f>ToResult(怪物!E90)</f>
        <v/>
      </c>
      <c r="F90" t="str">
        <f>ToResult(怪物!F90)</f>
        <v/>
      </c>
      <c r="G90" t="str">
        <f>ToResult(怪物!G90)</f>
        <v/>
      </c>
    </row>
    <row r="91" spans="1:7">
      <c r="A91" t="str">
        <f>ToResult(怪物!A91)</f>
        <v/>
      </c>
      <c r="B91" t="str">
        <f>ToMonsterMode(怪物!B91)</f>
        <v/>
      </c>
      <c r="C91" t="str">
        <f>ToResult(怪物!C91)</f>
        <v/>
      </c>
      <c r="D91" t="str">
        <f>ToResult(怪物!D91)</f>
        <v/>
      </c>
      <c r="E91" t="str">
        <f>ToResult(怪物!E91)</f>
        <v/>
      </c>
      <c r="F91" t="str">
        <f>ToResult(怪物!F91)</f>
        <v/>
      </c>
      <c r="G91" t="str">
        <f>ToResult(怪物!G91)</f>
        <v/>
      </c>
    </row>
    <row r="92" spans="1:7">
      <c r="A92" t="str">
        <f>ToResult(怪物!A92)</f>
        <v/>
      </c>
      <c r="B92" t="str">
        <f>ToMonsterMode(怪物!B92)</f>
        <v/>
      </c>
      <c r="C92" t="str">
        <f>ToResult(怪物!C92)</f>
        <v/>
      </c>
      <c r="D92" t="str">
        <f>ToResult(怪物!D92)</f>
        <v/>
      </c>
      <c r="E92" t="str">
        <f>ToResult(怪物!E92)</f>
        <v/>
      </c>
      <c r="F92" t="str">
        <f>ToResult(怪物!F92)</f>
        <v/>
      </c>
      <c r="G92" t="str">
        <f>ToResult(怪物!G92)</f>
        <v/>
      </c>
    </row>
    <row r="93" spans="1:7">
      <c r="A93" t="str">
        <f>ToResult(怪物!A93)</f>
        <v/>
      </c>
      <c r="B93" t="str">
        <f>ToMonsterMode(怪物!B93)</f>
        <v/>
      </c>
      <c r="C93" t="str">
        <f>ToResult(怪物!C93)</f>
        <v/>
      </c>
      <c r="D93" t="str">
        <f>ToResult(怪物!D93)</f>
        <v/>
      </c>
      <c r="E93" t="str">
        <f>ToResult(怪物!E93)</f>
        <v/>
      </c>
      <c r="F93" t="str">
        <f>ToResult(怪物!F93)</f>
        <v/>
      </c>
      <c r="G93" t="str">
        <f>ToResult(怪物!G93)</f>
        <v/>
      </c>
    </row>
    <row r="94" spans="1:7">
      <c r="A94" t="str">
        <f>ToResult(怪物!A94)</f>
        <v/>
      </c>
      <c r="B94" t="str">
        <f>ToMonsterMode(怪物!B94)</f>
        <v/>
      </c>
      <c r="C94" t="str">
        <f>ToResult(怪物!C94)</f>
        <v/>
      </c>
      <c r="D94" t="str">
        <f>ToResult(怪物!D94)</f>
        <v/>
      </c>
      <c r="E94" t="str">
        <f>ToResult(怪物!E94)</f>
        <v/>
      </c>
      <c r="F94" t="str">
        <f>ToResult(怪物!F94)</f>
        <v/>
      </c>
      <c r="G94" t="str">
        <f>ToResult(怪物!G94)</f>
        <v/>
      </c>
    </row>
    <row r="95" spans="1:7">
      <c r="A95" t="str">
        <f>ToResult(怪物!A95)</f>
        <v/>
      </c>
      <c r="B95" t="str">
        <f>ToMonsterMode(怪物!B95)</f>
        <v/>
      </c>
      <c r="C95" t="str">
        <f>ToResult(怪物!C95)</f>
        <v/>
      </c>
      <c r="D95" t="str">
        <f>ToResult(怪物!D95)</f>
        <v/>
      </c>
      <c r="E95" t="str">
        <f>ToResult(怪物!E95)</f>
        <v/>
      </c>
      <c r="F95" t="str">
        <f>ToResult(怪物!F95)</f>
        <v/>
      </c>
      <c r="G95" t="str">
        <f>ToResult(怪物!G95)</f>
        <v/>
      </c>
    </row>
    <row r="96" spans="1:7">
      <c r="A96" t="str">
        <f>ToResult(怪物!A96)</f>
        <v/>
      </c>
      <c r="B96" t="str">
        <f>ToMonsterMode(怪物!B96)</f>
        <v/>
      </c>
      <c r="C96" t="str">
        <f>ToResult(怪物!C96)</f>
        <v/>
      </c>
      <c r="D96" t="str">
        <f>ToResult(怪物!D96)</f>
        <v/>
      </c>
      <c r="E96" t="str">
        <f>ToResult(怪物!E96)</f>
        <v/>
      </c>
      <c r="F96" t="str">
        <f>ToResult(怪物!F96)</f>
        <v/>
      </c>
      <c r="G96" t="str">
        <f>ToResult(怪物!G96)</f>
        <v/>
      </c>
    </row>
    <row r="97" spans="1:7">
      <c r="A97" t="str">
        <f>ToResult(怪物!A97)</f>
        <v/>
      </c>
      <c r="B97" t="str">
        <f>ToMonsterMode(怪物!B97)</f>
        <v/>
      </c>
      <c r="C97" t="str">
        <f>ToResult(怪物!C97)</f>
        <v/>
      </c>
      <c r="D97" t="str">
        <f>ToResult(怪物!D97)</f>
        <v/>
      </c>
      <c r="E97" t="str">
        <f>ToResult(怪物!E97)</f>
        <v/>
      </c>
      <c r="F97" t="str">
        <f>ToResult(怪物!F97)</f>
        <v/>
      </c>
      <c r="G97" t="str">
        <f>ToResult(怪物!G97)</f>
        <v/>
      </c>
    </row>
    <row r="98" spans="1:7">
      <c r="A98" t="str">
        <f>ToResult(怪物!A98)</f>
        <v/>
      </c>
      <c r="B98" t="str">
        <f>ToMonsterMode(怪物!B98)</f>
        <v/>
      </c>
      <c r="C98" t="str">
        <f>ToResult(怪物!C98)</f>
        <v/>
      </c>
      <c r="D98" t="str">
        <f>ToResult(怪物!D98)</f>
        <v/>
      </c>
      <c r="E98" t="str">
        <f>ToResult(怪物!E98)</f>
        <v/>
      </c>
      <c r="F98" t="str">
        <f>ToResult(怪物!F98)</f>
        <v/>
      </c>
      <c r="G98" t="str">
        <f>ToResult(怪物!G98)</f>
        <v/>
      </c>
    </row>
    <row r="99" spans="1:7">
      <c r="A99" t="str">
        <f>ToResult(怪物!A99)</f>
        <v/>
      </c>
      <c r="B99" t="str">
        <f>ToMonsterMode(怪物!B99)</f>
        <v/>
      </c>
      <c r="C99" t="str">
        <f>ToResult(怪物!C99)</f>
        <v/>
      </c>
      <c r="D99" t="str">
        <f>ToResult(怪物!D99)</f>
        <v/>
      </c>
      <c r="E99" t="str">
        <f>ToResult(怪物!E99)</f>
        <v/>
      </c>
      <c r="F99" t="str">
        <f>ToResult(怪物!F99)</f>
        <v/>
      </c>
      <c r="G99" t="str">
        <f>ToResult(怪物!G99)</f>
        <v/>
      </c>
    </row>
    <row r="100" spans="1:7">
      <c r="A100" t="str">
        <f>ToResult(怪物!A100)</f>
        <v/>
      </c>
      <c r="B100" t="str">
        <f>ToMonsterMode(怪物!B100)</f>
        <v/>
      </c>
      <c r="C100" t="str">
        <f>ToResult(怪物!C100)</f>
        <v/>
      </c>
      <c r="D100" t="str">
        <f>ToResult(怪物!D100)</f>
        <v/>
      </c>
      <c r="E100" t="str">
        <f>ToResult(怪物!E100)</f>
        <v/>
      </c>
      <c r="F100" t="str">
        <f>ToResult(怪物!F100)</f>
        <v/>
      </c>
      <c r="G100" t="str">
        <f>ToResult(怪物!G100)</f>
        <v/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Main</vt:lpstr>
      <vt:lpstr>語言列表</vt:lpstr>
      <vt:lpstr>裝備</vt:lpstr>
      <vt:lpstr>特性</vt:lpstr>
      <vt:lpstr>怪物</vt:lpstr>
      <vt:lpstr>選項清單</vt:lpstr>
      <vt:lpstr>Language</vt:lpstr>
      <vt:lpstr>Equip</vt:lpstr>
      <vt:lpstr>Feature</vt:lpstr>
      <vt:lpstr>Monster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yinweli</dc:creator>
  <cp:lastModifiedBy>yinweli</cp:lastModifiedBy>
  <dcterms:created xsi:type="dcterms:W3CDTF">2015-03-30T03:05:32Z</dcterms:created>
  <dcterms:modified xsi:type="dcterms:W3CDTF">2015-05-29T09:15:45Z</dcterms:modified>
</cp:coreProperties>
</file>