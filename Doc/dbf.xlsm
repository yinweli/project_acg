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638" activeTab="3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選項清單" sheetId="5" r:id="rId6"/>
    <sheet name="Language" sheetId="7" r:id="rId7"/>
    <sheet name="Equip" sheetId="8" r:id="rId8"/>
    <sheet name="Feature" sheetId="9" r:id="rId9"/>
    <sheet name="Monster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C3" i="8"/>
  <c r="I4" i="8"/>
  <c r="E6" i="8"/>
  <c r="A8" i="8"/>
  <c r="G9" i="8"/>
  <c r="C11" i="8"/>
  <c r="I12" i="8"/>
  <c r="E14" i="8"/>
  <c r="A16" i="8"/>
  <c r="G17" i="8"/>
  <c r="C19" i="8"/>
  <c r="I20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A24" i="8"/>
  <c r="G24" i="8"/>
  <c r="B25" i="8"/>
  <c r="G25" i="8"/>
  <c r="C26" i="8"/>
  <c r="H26" i="8"/>
  <c r="C27" i="8"/>
  <c r="I27" i="8"/>
  <c r="D28" i="8"/>
  <c r="I28" i="8"/>
  <c r="E29" i="8"/>
  <c r="J29" i="8"/>
  <c r="E30" i="8"/>
  <c r="A31" i="8"/>
  <c r="F31" i="8"/>
  <c r="A32" i="8"/>
  <c r="G32" i="8"/>
  <c r="B33" i="8"/>
  <c r="G33" i="8"/>
  <c r="C34" i="8"/>
  <c r="H34" i="8"/>
  <c r="C35" i="8"/>
  <c r="I35" i="8"/>
  <c r="D36" i="8"/>
  <c r="I36" i="8"/>
  <c r="E37" i="8"/>
  <c r="J37" i="8"/>
  <c r="E38" i="8"/>
  <c r="A39" i="8"/>
  <c r="F39" i="8"/>
  <c r="A40" i="8"/>
  <c r="G40" i="8"/>
  <c r="B41" i="8"/>
  <c r="G41" i="8"/>
  <c r="C42" i="8"/>
  <c r="H42" i="8"/>
  <c r="C43" i="8"/>
  <c r="I43" i="8"/>
  <c r="D44" i="8"/>
  <c r="I44" i="8"/>
  <c r="E45" i="8"/>
  <c r="J45" i="8"/>
  <c r="E46" i="8"/>
  <c r="A47" i="8"/>
  <c r="F47" i="8"/>
  <c r="A48" i="8"/>
  <c r="G48" i="8"/>
  <c r="B49" i="8"/>
  <c r="G49" i="8"/>
  <c r="C50" i="8"/>
  <c r="H50" i="8"/>
  <c r="C51" i="8"/>
  <c r="I51" i="8"/>
  <c r="D52" i="8"/>
  <c r="I52" i="8"/>
  <c r="E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D70" i="8"/>
  <c r="H70" i="8"/>
  <c r="B71" i="8"/>
  <c r="F71" i="8"/>
  <c r="J71" i="8"/>
  <c r="D72" i="8"/>
  <c r="H72" i="8"/>
  <c r="B73" i="8"/>
  <c r="F73" i="8"/>
  <c r="J73" i="8"/>
  <c r="D74" i="8"/>
  <c r="H74" i="8"/>
  <c r="B75" i="8"/>
  <c r="F75" i="8"/>
  <c r="J75" i="8"/>
  <c r="D76" i="8"/>
  <c r="H76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A4" i="8"/>
  <c r="E10" i="8"/>
  <c r="I16" i="8"/>
  <c r="E22" i="8"/>
  <c r="E24" i="8"/>
  <c r="F25" i="8"/>
  <c r="G26" i="8"/>
  <c r="G27" i="8"/>
  <c r="H28" i="8"/>
  <c r="I29" i="8"/>
  <c r="I30" i="8"/>
  <c r="J31" i="8"/>
  <c r="A33" i="8"/>
  <c r="A34" i="8"/>
  <c r="B35" i="8"/>
  <c r="C36" i="8"/>
  <c r="C37" i="8"/>
  <c r="D38" i="8"/>
  <c r="E39" i="8"/>
  <c r="E40" i="8"/>
  <c r="F41" i="8"/>
  <c r="G42" i="8"/>
  <c r="G43" i="8"/>
  <c r="H44" i="8"/>
  <c r="I45" i="8"/>
  <c r="I46" i="8"/>
  <c r="J47" i="8"/>
  <c r="A49" i="8"/>
  <c r="A50" i="8"/>
  <c r="B51" i="8"/>
  <c r="C52" i="8"/>
  <c r="C53" i="8"/>
  <c r="C54" i="8"/>
  <c r="A55" i="8"/>
  <c r="I55" i="8"/>
  <c r="G56" i="8"/>
  <c r="E57" i="8"/>
  <c r="C58" i="8"/>
  <c r="A59" i="8"/>
  <c r="I59" i="8"/>
  <c r="G60" i="8"/>
  <c r="E61" i="8"/>
  <c r="C62" i="8"/>
  <c r="A63" i="8"/>
  <c r="I63" i="8"/>
  <c r="G64" i="8"/>
  <c r="E65" i="8"/>
  <c r="C66" i="8"/>
  <c r="A67" i="8"/>
  <c r="I67" i="8"/>
  <c r="G68" i="8"/>
  <c r="E69" i="8"/>
  <c r="C70" i="8"/>
  <c r="A71" i="8"/>
  <c r="I71" i="8"/>
  <c r="G72" i="8"/>
  <c r="E73" i="8"/>
  <c r="C74" i="8"/>
  <c r="A75" i="8"/>
  <c r="I75" i="8"/>
  <c r="G76" i="8"/>
  <c r="C77" i="8"/>
  <c r="I77" i="8"/>
  <c r="D78" i="8"/>
  <c r="I78" i="8"/>
  <c r="E79" i="8"/>
  <c r="J79" i="8"/>
  <c r="E80" i="8"/>
  <c r="A81" i="8"/>
  <c r="F81" i="8"/>
  <c r="A82" i="8"/>
  <c r="G82" i="8"/>
  <c r="B83" i="8"/>
  <c r="G83" i="8"/>
  <c r="C84" i="8"/>
  <c r="H84" i="8"/>
  <c r="C85" i="8"/>
  <c r="I85" i="8"/>
  <c r="D86" i="8"/>
  <c r="I86" i="8"/>
  <c r="E87" i="8"/>
  <c r="J87" i="8"/>
  <c r="E88" i="8"/>
  <c r="A89" i="8"/>
  <c r="F89" i="8"/>
  <c r="A90" i="8"/>
  <c r="G90" i="8"/>
  <c r="B91" i="8"/>
  <c r="G91" i="8"/>
  <c r="C92" i="8"/>
  <c r="H92" i="8"/>
  <c r="C93" i="8"/>
  <c r="I93" i="8"/>
  <c r="D94" i="8"/>
  <c r="I94" i="8"/>
  <c r="E95" i="8"/>
  <c r="J95" i="8"/>
  <c r="E96" i="8"/>
  <c r="A97" i="8"/>
  <c r="F97" i="8"/>
  <c r="A98" i="8"/>
  <c r="G98" i="8"/>
  <c r="B99" i="8"/>
  <c r="G99" i="8"/>
  <c r="C100" i="8"/>
  <c r="H100" i="8"/>
  <c r="D92" i="8"/>
  <c r="E94" i="8"/>
  <c r="F95" i="8"/>
  <c r="G96" i="8"/>
  <c r="C98" i="8"/>
  <c r="I99" i="8"/>
  <c r="I100" i="8"/>
  <c r="G13" i="8"/>
  <c r="J23" i="8"/>
  <c r="C28" i="8"/>
  <c r="E31" i="8"/>
  <c r="G35" i="8"/>
  <c r="I38" i="8"/>
  <c r="A42" i="8"/>
  <c r="C45" i="8"/>
  <c r="E48" i="8"/>
  <c r="G51" i="8"/>
  <c r="G54" i="8"/>
  <c r="A57" i="8"/>
  <c r="E59" i="8"/>
  <c r="I61" i="8"/>
  <c r="G5" i="8"/>
  <c r="A12" i="8"/>
  <c r="E18" i="8"/>
  <c r="C23" i="8"/>
  <c r="H24" i="8"/>
  <c r="I25" i="8"/>
  <c r="I26" i="8"/>
  <c r="J27" i="8"/>
  <c r="A29" i="8"/>
  <c r="A30" i="8"/>
  <c r="B31" i="8"/>
  <c r="C32" i="8"/>
  <c r="C33" i="8"/>
  <c r="D34" i="8"/>
  <c r="E35" i="8"/>
  <c r="E36" i="8"/>
  <c r="F37" i="8"/>
  <c r="G38" i="8"/>
  <c r="G39" i="8"/>
  <c r="H40" i="8"/>
  <c r="I41" i="8"/>
  <c r="I42" i="8"/>
  <c r="J43" i="8"/>
  <c r="A45" i="8"/>
  <c r="A46" i="8"/>
  <c r="B47" i="8"/>
  <c r="C48" i="8"/>
  <c r="C49" i="8"/>
  <c r="D50" i="8"/>
  <c r="E51" i="8"/>
  <c r="E52" i="8"/>
  <c r="F53" i="8"/>
  <c r="E54" i="8"/>
  <c r="C55" i="8"/>
  <c r="A56" i="8"/>
  <c r="I56" i="8"/>
  <c r="G57" i="8"/>
  <c r="E58" i="8"/>
  <c r="C59" i="8"/>
  <c r="A60" i="8"/>
  <c r="I60" i="8"/>
  <c r="G61" i="8"/>
  <c r="E62" i="8"/>
  <c r="C63" i="8"/>
  <c r="A64" i="8"/>
  <c r="I64" i="8"/>
  <c r="G65" i="8"/>
  <c r="E66" i="8"/>
  <c r="C67" i="8"/>
  <c r="A68" i="8"/>
  <c r="I68" i="8"/>
  <c r="G69" i="8"/>
  <c r="E70" i="8"/>
  <c r="C71" i="8"/>
  <c r="A72" i="8"/>
  <c r="I72" i="8"/>
  <c r="G73" i="8"/>
  <c r="E74" i="8"/>
  <c r="C75" i="8"/>
  <c r="A76" i="8"/>
  <c r="I76" i="8"/>
  <c r="E77" i="8"/>
  <c r="J77" i="8"/>
  <c r="E78" i="8"/>
  <c r="A79" i="8"/>
  <c r="F79" i="8"/>
  <c r="A80" i="8"/>
  <c r="G80" i="8"/>
  <c r="B81" i="8"/>
  <c r="G81" i="8"/>
  <c r="C82" i="8"/>
  <c r="H82" i="8"/>
  <c r="C83" i="8"/>
  <c r="I83" i="8"/>
  <c r="D84" i="8"/>
  <c r="I84" i="8"/>
  <c r="E85" i="8"/>
  <c r="J85" i="8"/>
  <c r="E86" i="8"/>
  <c r="A87" i="8"/>
  <c r="F87" i="8"/>
  <c r="A88" i="8"/>
  <c r="G88" i="8"/>
  <c r="B89" i="8"/>
  <c r="G89" i="8"/>
  <c r="C90" i="8"/>
  <c r="H90" i="8"/>
  <c r="C91" i="8"/>
  <c r="I91" i="8"/>
  <c r="I92" i="8"/>
  <c r="E93" i="8"/>
  <c r="J93" i="8"/>
  <c r="A95" i="8"/>
  <c r="A96" i="8"/>
  <c r="G97" i="8"/>
  <c r="C99" i="8"/>
  <c r="A20" i="8"/>
  <c r="A25" i="8"/>
  <c r="B27" i="8"/>
  <c r="D30" i="8"/>
  <c r="F33" i="8"/>
  <c r="I37" i="8"/>
  <c r="A41" i="8"/>
  <c r="C44" i="8"/>
  <c r="E47" i="8"/>
  <c r="G50" i="8"/>
  <c r="I53" i="8"/>
  <c r="C56" i="8"/>
  <c r="G58" i="8"/>
  <c r="C60" i="8"/>
  <c r="I8" i="8"/>
  <c r="C15" i="8"/>
  <c r="G21" i="8"/>
  <c r="C24" i="8"/>
  <c r="C25" i="8"/>
  <c r="D26" i="8"/>
  <c r="E27" i="8"/>
  <c r="E28" i="8"/>
  <c r="F29" i="8"/>
  <c r="G30" i="8"/>
  <c r="G31" i="8"/>
  <c r="H32" i="8"/>
  <c r="I33" i="8"/>
  <c r="I34" i="8"/>
  <c r="J35" i="8"/>
  <c r="A37" i="8"/>
  <c r="A38" i="8"/>
  <c r="B39" i="8"/>
  <c r="C40" i="8"/>
  <c r="C41" i="8"/>
  <c r="D42" i="8"/>
  <c r="E43" i="8"/>
  <c r="E44" i="8"/>
  <c r="F45" i="8"/>
  <c r="G46" i="8"/>
  <c r="G47" i="8"/>
  <c r="H48" i="8"/>
  <c r="I49" i="8"/>
  <c r="I50" i="8"/>
  <c r="J51" i="8"/>
  <c r="A53" i="8"/>
  <c r="A54" i="8"/>
  <c r="I54" i="8"/>
  <c r="G55" i="8"/>
  <c r="E56" i="8"/>
  <c r="C57" i="8"/>
  <c r="A58" i="8"/>
  <c r="I58" i="8"/>
  <c r="G59" i="8"/>
  <c r="E60" i="8"/>
  <c r="C61" i="8"/>
  <c r="A62" i="8"/>
  <c r="I62" i="8"/>
  <c r="G63" i="8"/>
  <c r="E64" i="8"/>
  <c r="C65" i="8"/>
  <c r="A66" i="8"/>
  <c r="I66" i="8"/>
  <c r="G67" i="8"/>
  <c r="E68" i="8"/>
  <c r="C69" i="8"/>
  <c r="A70" i="8"/>
  <c r="I70" i="8"/>
  <c r="G71" i="8"/>
  <c r="E72" i="8"/>
  <c r="C73" i="8"/>
  <c r="A74" i="8"/>
  <c r="I74" i="8"/>
  <c r="G75" i="8"/>
  <c r="E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B97" i="8"/>
  <c r="H98" i="8"/>
  <c r="D100" i="8"/>
  <c r="C7" i="8"/>
  <c r="A26" i="8"/>
  <c r="C29" i="8"/>
  <c r="E32" i="8"/>
  <c r="G34" i="8"/>
  <c r="H36" i="8"/>
  <c r="J39" i="8"/>
  <c r="B43" i="8"/>
  <c r="D46" i="8"/>
  <c r="F49" i="8"/>
  <c r="H52" i="8"/>
  <c r="E55" i="8"/>
  <c r="I57" i="8"/>
  <c r="A61" i="8"/>
  <c r="G62" i="8"/>
  <c r="I65" i="8"/>
  <c r="A69" i="8"/>
  <c r="C72" i="8"/>
  <c r="E75" i="8"/>
  <c r="A78" i="8"/>
  <c r="C80" i="8"/>
  <c r="D82" i="8"/>
  <c r="E84" i="8"/>
  <c r="G86" i="8"/>
  <c r="H88" i="8"/>
  <c r="I90" i="8"/>
  <c r="A93" i="8"/>
  <c r="B95" i="8"/>
  <c r="C97" i="8"/>
  <c r="E99" i="8"/>
  <c r="E63" i="8"/>
  <c r="I69" i="8"/>
  <c r="C76" i="8"/>
  <c r="I82" i="8"/>
  <c r="B87" i="8"/>
  <c r="E91" i="8"/>
  <c r="G95" i="8"/>
  <c r="J99" i="8"/>
  <c r="E67" i="8"/>
  <c r="G70" i="8"/>
  <c r="A77" i="8"/>
  <c r="C81" i="8"/>
  <c r="F85" i="8"/>
  <c r="I89" i="8"/>
  <c r="A94" i="8"/>
  <c r="D98" i="8"/>
  <c r="A65" i="8"/>
  <c r="C68" i="8"/>
  <c r="E71" i="8"/>
  <c r="G74" i="8"/>
  <c r="F77" i="8"/>
  <c r="G79" i="8"/>
  <c r="I81" i="8"/>
  <c r="J83" i="8"/>
  <c r="A86" i="8"/>
  <c r="C88" i="8"/>
  <c r="D90" i="8"/>
  <c r="E92" i="8"/>
  <c r="G94" i="8"/>
  <c r="H96" i="8"/>
  <c r="I98" i="8"/>
  <c r="G66" i="8"/>
  <c r="A73" i="8"/>
  <c r="G78" i="8"/>
  <c r="H80" i="8"/>
  <c r="A85" i="8"/>
  <c r="C89" i="8"/>
  <c r="F93" i="8"/>
  <c r="I97" i="8"/>
  <c r="C64" i="8"/>
  <c r="I73" i="8"/>
  <c r="B79" i="8"/>
  <c r="E83" i="8"/>
  <c r="G87" i="8"/>
  <c r="J91" i="8"/>
  <c r="C96" i="8"/>
  <c r="E100" i="8"/>
  <c r="D2" i="8"/>
  <c r="F24" i="10"/>
  <c r="E25" i="10"/>
  <c r="D26" i="10"/>
  <c r="C27" i="10"/>
  <c r="G27" i="10"/>
  <c r="F28" i="10"/>
  <c r="E29" i="10"/>
  <c r="D30" i="10"/>
  <c r="C31" i="10"/>
  <c r="G31" i="10"/>
  <c r="F32" i="10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G91" i="10"/>
  <c r="E93" i="10"/>
  <c r="C95" i="10"/>
  <c r="F96" i="10"/>
  <c r="D98" i="10"/>
  <c r="C24" i="10"/>
  <c r="G24" i="10"/>
  <c r="F25" i="10"/>
  <c r="E26" i="10"/>
  <c r="D27" i="10"/>
  <c r="C28" i="10"/>
  <c r="G28" i="10"/>
  <c r="F29" i="10"/>
  <c r="E30" i="10"/>
  <c r="D31" i="10"/>
  <c r="C32" i="10"/>
  <c r="G32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E24" i="10"/>
  <c r="D25" i="10"/>
  <c r="C26" i="10"/>
  <c r="G26" i="10"/>
  <c r="F27" i="10"/>
  <c r="E28" i="10"/>
  <c r="D29" i="10"/>
  <c r="C30" i="10"/>
  <c r="G30" i="10"/>
  <c r="F31" i="10"/>
  <c r="E32" i="10"/>
  <c r="D33" i="10"/>
  <c r="C34" i="10"/>
  <c r="G34" i="10"/>
  <c r="F35" i="10"/>
  <c r="E36" i="10"/>
  <c r="D37" i="10"/>
  <c r="C38" i="10"/>
  <c r="G38" i="10"/>
  <c r="F39" i="10"/>
  <c r="E40" i="10"/>
  <c r="D41" i="10"/>
  <c r="C42" i="10"/>
  <c r="G42" i="10"/>
  <c r="F43" i="10"/>
  <c r="E44" i="10"/>
  <c r="D45" i="10"/>
  <c r="C46" i="10"/>
  <c r="G46" i="10"/>
  <c r="F47" i="10"/>
  <c r="E48" i="10"/>
  <c r="D49" i="10"/>
  <c r="C50" i="10"/>
  <c r="G50" i="10"/>
  <c r="F51" i="10"/>
  <c r="E52" i="10"/>
  <c r="D53" i="10"/>
  <c r="C54" i="10"/>
  <c r="G54" i="10"/>
  <c r="F55" i="10"/>
  <c r="E56" i="10"/>
  <c r="D57" i="10"/>
  <c r="C58" i="10"/>
  <c r="G58" i="10"/>
  <c r="F59" i="10"/>
  <c r="E60" i="10"/>
  <c r="D61" i="10"/>
  <c r="C62" i="10"/>
  <c r="G62" i="10"/>
  <c r="F63" i="10"/>
  <c r="E64" i="10"/>
  <c r="D65" i="10"/>
  <c r="C66" i="10"/>
  <c r="G66" i="10"/>
  <c r="F67" i="10"/>
  <c r="E68" i="10"/>
  <c r="D69" i="10"/>
  <c r="C70" i="10"/>
  <c r="G70" i="10"/>
  <c r="F71" i="10"/>
  <c r="E72" i="10"/>
  <c r="D73" i="10"/>
  <c r="C74" i="10"/>
  <c r="G74" i="10"/>
  <c r="F75" i="10"/>
  <c r="E76" i="10"/>
  <c r="D77" i="10"/>
  <c r="C78" i="10"/>
  <c r="G78" i="10"/>
  <c r="F79" i="10"/>
  <c r="E80" i="10"/>
  <c r="D81" i="10"/>
  <c r="C82" i="10"/>
  <c r="G82" i="10"/>
  <c r="F83" i="10"/>
  <c r="E84" i="10"/>
  <c r="D85" i="10"/>
  <c r="C86" i="10"/>
  <c r="G86" i="10"/>
  <c r="F87" i="10"/>
  <c r="E88" i="10"/>
  <c r="D89" i="10"/>
  <c r="C90" i="10"/>
  <c r="G90" i="10"/>
  <c r="F91" i="10"/>
  <c r="E92" i="10"/>
  <c r="D93" i="10"/>
  <c r="C94" i="10"/>
  <c r="G94" i="10"/>
  <c r="F95" i="10"/>
  <c r="E96" i="10"/>
  <c r="D97" i="10"/>
  <c r="C98" i="10"/>
  <c r="G98" i="10"/>
  <c r="F99" i="10"/>
  <c r="E100" i="10"/>
  <c r="C91" i="10"/>
  <c r="F92" i="10"/>
  <c r="D94" i="10"/>
  <c r="G95" i="10"/>
  <c r="E97" i="10"/>
  <c r="G25" i="10"/>
  <c r="C29" i="10"/>
  <c r="D32" i="10"/>
  <c r="E35" i="10"/>
  <c r="F38" i="10"/>
  <c r="G41" i="10"/>
  <c r="C45" i="10"/>
  <c r="D48" i="10"/>
  <c r="E51" i="10"/>
  <c r="F54" i="10"/>
  <c r="G57" i="10"/>
  <c r="C61" i="10"/>
  <c r="D64" i="10"/>
  <c r="E67" i="10"/>
  <c r="F70" i="10"/>
  <c r="G73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G100" i="10"/>
  <c r="E71" i="10"/>
  <c r="F81" i="10"/>
  <c r="C88" i="10"/>
  <c r="E94" i="10"/>
  <c r="C99" i="10"/>
  <c r="D24" i="10"/>
  <c r="G33" i="10"/>
  <c r="G49" i="10"/>
  <c r="E59" i="10"/>
  <c r="D72" i="10"/>
  <c r="C77" i="10"/>
  <c r="G81" i="10"/>
  <c r="F86" i="10"/>
  <c r="C93" i="10"/>
  <c r="G97" i="10"/>
  <c r="F26" i="10"/>
  <c r="G29" i="10"/>
  <c r="C33" i="10"/>
  <c r="D36" i="10"/>
  <c r="E39" i="10"/>
  <c r="F42" i="10"/>
  <c r="G45" i="10"/>
  <c r="C49" i="10"/>
  <c r="D52" i="10"/>
  <c r="E55" i="10"/>
  <c r="F58" i="10"/>
  <c r="G61" i="10"/>
  <c r="D68" i="10"/>
  <c r="F74" i="10"/>
  <c r="E78" i="10"/>
  <c r="G84" i="10"/>
  <c r="D91" i="10"/>
  <c r="C96" i="10"/>
  <c r="F30" i="10"/>
  <c r="D40" i="10"/>
  <c r="F46" i="10"/>
  <c r="D56" i="10"/>
  <c r="G65" i="10"/>
  <c r="E75" i="10"/>
  <c r="D80" i="10"/>
  <c r="C85" i="10"/>
  <c r="G89" i="10"/>
  <c r="F94" i="10"/>
  <c r="D99" i="10"/>
  <c r="C25" i="10"/>
  <c r="D28" i="10"/>
  <c r="E31" i="10"/>
  <c r="F34" i="10"/>
  <c r="G37" i="10"/>
  <c r="C41" i="10"/>
  <c r="D44" i="10"/>
  <c r="E47" i="10"/>
  <c r="F50" i="10"/>
  <c r="G53" i="10"/>
  <c r="C57" i="10"/>
  <c r="D60" i="10"/>
  <c r="E63" i="10"/>
  <c r="F66" i="10"/>
  <c r="G69" i="10"/>
  <c r="C73" i="10"/>
  <c r="C76" i="10"/>
  <c r="F77" i="10"/>
  <c r="D79" i="10"/>
  <c r="G80" i="10"/>
  <c r="E82" i="10"/>
  <c r="C84" i="10"/>
  <c r="F85" i="10"/>
  <c r="D87" i="10"/>
  <c r="G88" i="10"/>
  <c r="E90" i="10"/>
  <c r="C92" i="10"/>
  <c r="F93" i="10"/>
  <c r="D95" i="10"/>
  <c r="G96" i="10"/>
  <c r="E98" i="10"/>
  <c r="E99" i="10"/>
  <c r="F100" i="10"/>
  <c r="G99" i="10"/>
  <c r="C65" i="10"/>
  <c r="G76" i="10"/>
  <c r="C80" i="10"/>
  <c r="D83" i="10"/>
  <c r="E86" i="10"/>
  <c r="F89" i="10"/>
  <c r="G92" i="10"/>
  <c r="F97" i="10"/>
  <c r="C100" i="10"/>
  <c r="E27" i="10"/>
  <c r="C37" i="10"/>
  <c r="E43" i="10"/>
  <c r="C53" i="10"/>
  <c r="F62" i="10"/>
  <c r="C69" i="10"/>
  <c r="F78" i="10"/>
  <c r="E83" i="10"/>
  <c r="D88" i="10"/>
  <c r="E91" i="10"/>
  <c r="D96" i="10"/>
  <c r="D100" i="10"/>
  <c r="B4" i="9"/>
  <c r="B6" i="9"/>
  <c r="B8" i="9"/>
  <c r="B10" i="9"/>
  <c r="B12" i="9"/>
  <c r="B14" i="9"/>
  <c r="B16" i="9"/>
  <c r="B18" i="9"/>
  <c r="B26" i="9"/>
  <c r="B28" i="9"/>
  <c r="B30" i="9"/>
  <c r="B32" i="9"/>
  <c r="B34" i="9"/>
  <c r="B36" i="9"/>
  <c r="B38" i="9"/>
  <c r="B40" i="9"/>
  <c r="B42" i="9"/>
  <c r="B44" i="9"/>
  <c r="B46" i="9"/>
  <c r="B48" i="9"/>
  <c r="B50" i="9"/>
  <c r="B52" i="9"/>
  <c r="B54" i="9"/>
  <c r="B56" i="9"/>
  <c r="B58" i="9"/>
  <c r="B60" i="9"/>
  <c r="B62" i="9"/>
  <c r="B64" i="9"/>
  <c r="B66" i="9"/>
  <c r="G4" i="9"/>
  <c r="G6" i="9"/>
  <c r="G8" i="9"/>
  <c r="G10" i="9"/>
  <c r="G12" i="9"/>
  <c r="G14" i="9"/>
  <c r="G16" i="9"/>
  <c r="G22" i="9"/>
  <c r="G24" i="9"/>
  <c r="G26" i="9"/>
  <c r="G28" i="9"/>
  <c r="G30" i="9"/>
  <c r="G32" i="9"/>
  <c r="G34" i="9"/>
  <c r="G36" i="9"/>
  <c r="G38" i="9"/>
  <c r="G40" i="9"/>
  <c r="G42" i="9"/>
  <c r="G44" i="9"/>
  <c r="G46" i="9"/>
  <c r="G48" i="9"/>
  <c r="G50" i="9"/>
  <c r="G52" i="9"/>
  <c r="G54" i="9"/>
  <c r="G56" i="9"/>
  <c r="G58" i="9"/>
  <c r="G60" i="9"/>
  <c r="H3" i="9"/>
  <c r="H5" i="9"/>
  <c r="H7" i="9"/>
  <c r="H9" i="9"/>
  <c r="H11" i="9"/>
  <c r="H13" i="9"/>
  <c r="H15" i="9"/>
  <c r="H17" i="9"/>
  <c r="H19" i="9"/>
  <c r="H21" i="9"/>
  <c r="H23" i="9"/>
  <c r="H25" i="9"/>
  <c r="H27" i="9"/>
  <c r="H29" i="9"/>
  <c r="H31" i="9"/>
  <c r="H33" i="9"/>
  <c r="H35" i="9"/>
  <c r="H37" i="9"/>
  <c r="H39" i="9"/>
  <c r="H41" i="9"/>
  <c r="H43" i="9"/>
  <c r="H45" i="9"/>
  <c r="H47" i="9"/>
  <c r="H49" i="9"/>
  <c r="H51" i="9"/>
  <c r="H53" i="9"/>
  <c r="H55" i="9"/>
  <c r="H57" i="9"/>
  <c r="H59" i="9"/>
  <c r="H61" i="9"/>
  <c r="A7" i="9"/>
  <c r="A15" i="9"/>
  <c r="A23" i="9"/>
  <c r="A31" i="9"/>
  <c r="A39" i="9"/>
  <c r="A47" i="9"/>
  <c r="A55" i="9"/>
  <c r="E62" i="9"/>
  <c r="H65" i="9"/>
  <c r="E68" i="9"/>
  <c r="A73" i="9"/>
  <c r="A78" i="9"/>
  <c r="E82" i="9"/>
  <c r="E5" i="9"/>
  <c r="E13" i="9"/>
  <c r="E21" i="9"/>
  <c r="E29" i="9"/>
  <c r="E37" i="9"/>
  <c r="E45" i="9"/>
  <c r="E53" i="9"/>
  <c r="E61" i="9"/>
  <c r="G64" i="9"/>
  <c r="B67" i="9"/>
  <c r="B69" i="9"/>
  <c r="B71" i="9"/>
  <c r="B73" i="9"/>
  <c r="B75" i="9"/>
  <c r="B77" i="9"/>
  <c r="B79" i="9"/>
  <c r="B81" i="9"/>
  <c r="B83" i="9"/>
  <c r="B85" i="9"/>
  <c r="B87" i="9"/>
  <c r="B89" i="9"/>
  <c r="B91" i="9"/>
  <c r="B93" i="9"/>
  <c r="B3" i="9"/>
  <c r="B5" i="9"/>
  <c r="B7" i="9"/>
  <c r="B9" i="9"/>
  <c r="B11" i="9"/>
  <c r="B13" i="9"/>
  <c r="B15" i="9"/>
  <c r="B17" i="9"/>
  <c r="B19" i="9"/>
  <c r="B25" i="9"/>
  <c r="B27" i="9"/>
  <c r="B29" i="9"/>
  <c r="B31" i="9"/>
  <c r="B33" i="9"/>
  <c r="B35" i="9"/>
  <c r="B37" i="9"/>
  <c r="B39" i="9"/>
  <c r="B41" i="9"/>
  <c r="B43" i="9"/>
  <c r="B45" i="9"/>
  <c r="B47" i="9"/>
  <c r="B49" i="9"/>
  <c r="B51" i="9"/>
  <c r="B53" i="9"/>
  <c r="B55" i="9"/>
  <c r="B57" i="9"/>
  <c r="B59" i="9"/>
  <c r="B61" i="9"/>
  <c r="B63" i="9"/>
  <c r="B65" i="9"/>
  <c r="G3" i="9"/>
  <c r="G5" i="9"/>
  <c r="G7" i="9"/>
  <c r="G9" i="9"/>
  <c r="G11" i="9"/>
  <c r="G13" i="9"/>
  <c r="G15" i="9"/>
  <c r="G17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H4" i="9"/>
  <c r="H6" i="9"/>
  <c r="H8" i="9"/>
  <c r="H10" i="9"/>
  <c r="H12" i="9"/>
  <c r="H14" i="9"/>
  <c r="H16" i="9"/>
  <c r="H18" i="9"/>
  <c r="H20" i="9"/>
  <c r="H22" i="9"/>
  <c r="H24" i="9"/>
  <c r="H26" i="9"/>
  <c r="H28" i="9"/>
  <c r="H30" i="9"/>
  <c r="H32" i="9"/>
  <c r="H34" i="9"/>
  <c r="H36" i="9"/>
  <c r="H38" i="9"/>
  <c r="H40" i="9"/>
  <c r="H42" i="9"/>
  <c r="H44" i="9"/>
  <c r="H46" i="9"/>
  <c r="H48" i="9"/>
  <c r="H50" i="9"/>
  <c r="H52" i="9"/>
  <c r="H54" i="9"/>
  <c r="H56" i="9"/>
  <c r="H58" i="9"/>
  <c r="H60" i="9"/>
  <c r="A3" i="9"/>
  <c r="A11" i="9"/>
  <c r="A19" i="9"/>
  <c r="A27" i="9"/>
  <c r="A35" i="9"/>
  <c r="A43" i="9"/>
  <c r="A51" i="9"/>
  <c r="A59" i="9"/>
  <c r="E64" i="9"/>
  <c r="A67" i="9"/>
  <c r="E70" i="9"/>
  <c r="E75" i="9"/>
  <c r="E80" i="9"/>
  <c r="A85" i="9"/>
  <c r="E9" i="9"/>
  <c r="E17" i="9"/>
  <c r="E25" i="9"/>
  <c r="E33" i="9"/>
  <c r="E41" i="9"/>
  <c r="E49" i="9"/>
  <c r="E57" i="9"/>
  <c r="D63" i="9"/>
  <c r="A66" i="9"/>
  <c r="B68" i="9"/>
  <c r="B70" i="9"/>
  <c r="B72" i="9"/>
  <c r="B74" i="9"/>
  <c r="B76" i="9"/>
  <c r="B78" i="9"/>
  <c r="B80" i="9"/>
  <c r="B82" i="9"/>
  <c r="B84" i="9"/>
  <c r="B86" i="9"/>
  <c r="B88" i="9"/>
  <c r="B90" i="9"/>
  <c r="B92" i="9"/>
  <c r="F6" i="9"/>
  <c r="F10" i="9"/>
  <c r="F14" i="9"/>
  <c r="F18" i="9"/>
  <c r="F22" i="9"/>
  <c r="F26" i="9"/>
  <c r="F30" i="9"/>
  <c r="F34" i="9"/>
  <c r="F38" i="9"/>
  <c r="F42" i="9"/>
  <c r="F46" i="9"/>
  <c r="F50" i="9"/>
  <c r="F54" i="9"/>
  <c r="F58" i="9"/>
  <c r="F62" i="9"/>
  <c r="C3" i="9"/>
  <c r="C7" i="9"/>
  <c r="C11" i="9"/>
  <c r="C15" i="9"/>
  <c r="C19" i="9"/>
  <c r="C23" i="9"/>
  <c r="C27" i="9"/>
  <c r="C31" i="9"/>
  <c r="C35" i="9"/>
  <c r="C39" i="9"/>
  <c r="C43" i="9"/>
  <c r="C47" i="9"/>
  <c r="C51" i="9"/>
  <c r="C55" i="9"/>
  <c r="C59" i="9"/>
  <c r="D4" i="9"/>
  <c r="D8" i="9"/>
  <c r="D12" i="9"/>
  <c r="D16" i="9"/>
  <c r="D20" i="9"/>
  <c r="D24" i="9"/>
  <c r="D28" i="9"/>
  <c r="D32" i="9"/>
  <c r="D36" i="9"/>
  <c r="D40" i="9"/>
  <c r="D44" i="9"/>
  <c r="D48" i="9"/>
  <c r="D52" i="9"/>
  <c r="D56" i="9"/>
  <c r="D60" i="9"/>
  <c r="A9" i="9"/>
  <c r="A25" i="9"/>
  <c r="A41" i="9"/>
  <c r="A57" i="9"/>
  <c r="E66" i="9"/>
  <c r="E74" i="9"/>
  <c r="A84" i="9"/>
  <c r="E15" i="9"/>
  <c r="E31" i="9"/>
  <c r="E47" i="9"/>
  <c r="G62" i="9"/>
  <c r="F67" i="9"/>
  <c r="F71" i="9"/>
  <c r="F75" i="9"/>
  <c r="F79" i="9"/>
  <c r="F83" i="9"/>
  <c r="F87" i="9"/>
  <c r="F91" i="9"/>
  <c r="F94" i="9"/>
  <c r="F96" i="9"/>
  <c r="F98" i="9"/>
  <c r="F100" i="9"/>
  <c r="F4" i="9"/>
  <c r="F8" i="9"/>
  <c r="F12" i="9"/>
  <c r="F16" i="9"/>
  <c r="F20" i="9"/>
  <c r="F24" i="9"/>
  <c r="F28" i="9"/>
  <c r="F32" i="9"/>
  <c r="F36" i="9"/>
  <c r="F40" i="9"/>
  <c r="F44" i="9"/>
  <c r="F48" i="9"/>
  <c r="F52" i="9"/>
  <c r="F56" i="9"/>
  <c r="F60" i="9"/>
  <c r="F64" i="9"/>
  <c r="C5" i="9"/>
  <c r="C9" i="9"/>
  <c r="C13" i="9"/>
  <c r="C17" i="9"/>
  <c r="C21" i="9"/>
  <c r="C25" i="9"/>
  <c r="C29" i="9"/>
  <c r="C33" i="9"/>
  <c r="C37" i="9"/>
  <c r="C41" i="9"/>
  <c r="C45" i="9"/>
  <c r="C49" i="9"/>
  <c r="C53" i="9"/>
  <c r="C57" i="9"/>
  <c r="C61" i="9"/>
  <c r="D6" i="9"/>
  <c r="D10" i="9"/>
  <c r="D14" i="9"/>
  <c r="D18" i="9"/>
  <c r="D22" i="9"/>
  <c r="D26" i="9"/>
  <c r="D30" i="9"/>
  <c r="D34" i="9"/>
  <c r="D38" i="9"/>
  <c r="D42" i="9"/>
  <c r="D46" i="9"/>
  <c r="D50" i="9"/>
  <c r="D54" i="9"/>
  <c r="D58" i="9"/>
  <c r="D62" i="9"/>
  <c r="A17" i="9"/>
  <c r="A33" i="9"/>
  <c r="A49" i="9"/>
  <c r="H63" i="9"/>
  <c r="E69" i="9"/>
  <c r="A79" i="9"/>
  <c r="E7" i="9"/>
  <c r="E23" i="9"/>
  <c r="E39" i="9"/>
  <c r="E55" i="9"/>
  <c r="D65" i="9"/>
  <c r="F69" i="9"/>
  <c r="F73" i="9"/>
  <c r="F77" i="9"/>
  <c r="F81" i="9"/>
  <c r="F85" i="9"/>
  <c r="F89" i="9"/>
  <c r="F93" i="9"/>
  <c r="F95" i="9"/>
  <c r="F97" i="9"/>
  <c r="F99" i="9"/>
  <c r="A6" i="9"/>
  <c r="A14" i="9"/>
  <c r="A22" i="9"/>
  <c r="A30" i="9"/>
  <c r="E6" i="9"/>
  <c r="E14" i="9"/>
  <c r="E22" i="9"/>
  <c r="E30" i="9"/>
  <c r="E38" i="9"/>
  <c r="E46" i="9"/>
  <c r="E54" i="9"/>
  <c r="C62" i="9"/>
  <c r="A65" i="9"/>
  <c r="D67" i="9"/>
  <c r="D69" i="9"/>
  <c r="D71" i="9"/>
  <c r="D73" i="9"/>
  <c r="D75" i="9"/>
  <c r="D77" i="9"/>
  <c r="D79" i="9"/>
  <c r="D81" i="9"/>
  <c r="D83" i="9"/>
  <c r="D85" i="9"/>
  <c r="D87" i="9"/>
  <c r="D89" i="9"/>
  <c r="D91" i="9"/>
  <c r="D93" i="9"/>
  <c r="D95" i="9"/>
  <c r="D97" i="9"/>
  <c r="D99" i="9"/>
  <c r="C63" i="9"/>
  <c r="A71" i="9"/>
  <c r="A74" i="9"/>
  <c r="E77" i="9"/>
  <c r="A81" i="9"/>
  <c r="E84" i="9"/>
  <c r="A52" i="9"/>
  <c r="G68" i="9"/>
  <c r="G76" i="9"/>
  <c r="G84" i="9"/>
  <c r="C89" i="9"/>
  <c r="C93" i="9"/>
  <c r="C97" i="9"/>
  <c r="A38" i="9"/>
  <c r="H64" i="9"/>
  <c r="C73" i="9"/>
  <c r="C81" i="9"/>
  <c r="E87" i="9"/>
  <c r="E91" i="9"/>
  <c r="E95" i="9"/>
  <c r="E99" i="9"/>
  <c r="A98" i="9"/>
  <c r="H62" i="9"/>
  <c r="G71" i="9"/>
  <c r="G79" i="9"/>
  <c r="G86" i="9"/>
  <c r="G90" i="9"/>
  <c r="G94" i="9"/>
  <c r="G100" i="9"/>
  <c r="A58" i="9"/>
  <c r="C70" i="9"/>
  <c r="C78" i="9"/>
  <c r="A86" i="9"/>
  <c r="A90" i="9"/>
  <c r="A94" i="9"/>
  <c r="A99" i="9"/>
  <c r="F5" i="9"/>
  <c r="F9" i="9"/>
  <c r="F13" i="9"/>
  <c r="F17" i="9"/>
  <c r="F21" i="9"/>
  <c r="F25" i="9"/>
  <c r="F29" i="9"/>
  <c r="F33" i="9"/>
  <c r="F37" i="9"/>
  <c r="F41" i="9"/>
  <c r="F45" i="9"/>
  <c r="F49" i="9"/>
  <c r="F53" i="9"/>
  <c r="F57" i="9"/>
  <c r="F61" i="9"/>
  <c r="F65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D3" i="9"/>
  <c r="D7" i="9"/>
  <c r="D11" i="9"/>
  <c r="D15" i="9"/>
  <c r="D19" i="9"/>
  <c r="D23" i="9"/>
  <c r="D27" i="9"/>
  <c r="D31" i="9"/>
  <c r="D35" i="9"/>
  <c r="D39" i="9"/>
  <c r="D43" i="9"/>
  <c r="D47" i="9"/>
  <c r="D51" i="9"/>
  <c r="D55" i="9"/>
  <c r="D59" i="9"/>
  <c r="A5" i="9"/>
  <c r="A21" i="9"/>
  <c r="A37" i="9"/>
  <c r="A53" i="9"/>
  <c r="C65" i="9"/>
  <c r="A72" i="9"/>
  <c r="E81" i="9"/>
  <c r="E11" i="9"/>
  <c r="E27" i="9"/>
  <c r="E43" i="9"/>
  <c r="E59" i="9"/>
  <c r="F66" i="9"/>
  <c r="F70" i="9"/>
  <c r="F74" i="9"/>
  <c r="F78" i="9"/>
  <c r="F82" i="9"/>
  <c r="F86" i="9"/>
  <c r="F90" i="9"/>
  <c r="B94" i="9"/>
  <c r="B96" i="9"/>
  <c r="B98" i="9"/>
  <c r="B100" i="9"/>
  <c r="A8" i="9"/>
  <c r="A16" i="9"/>
  <c r="A24" i="9"/>
  <c r="A32" i="9"/>
  <c r="E8" i="9"/>
  <c r="E16" i="9"/>
  <c r="E24" i="9"/>
  <c r="E32" i="9"/>
  <c r="E40" i="9"/>
  <c r="E48" i="9"/>
  <c r="E56" i="9"/>
  <c r="A63" i="9"/>
  <c r="G65" i="9"/>
  <c r="H67" i="9"/>
  <c r="H69" i="9"/>
  <c r="H71" i="9"/>
  <c r="H73" i="9"/>
  <c r="H75" i="9"/>
  <c r="H77" i="9"/>
  <c r="H79" i="9"/>
  <c r="H81" i="9"/>
  <c r="H83" i="9"/>
  <c r="H85" i="9"/>
  <c r="H87" i="9"/>
  <c r="H89" i="9"/>
  <c r="H91" i="9"/>
  <c r="H93" i="9"/>
  <c r="H95" i="9"/>
  <c r="H97" i="9"/>
  <c r="H99" i="9"/>
  <c r="A68" i="9"/>
  <c r="E71" i="9"/>
  <c r="A75" i="9"/>
  <c r="E78" i="9"/>
  <c r="A82" i="9"/>
  <c r="E85" i="9"/>
  <c r="A60" i="9"/>
  <c r="G70" i="9"/>
  <c r="G78" i="9"/>
  <c r="C86" i="9"/>
  <c r="C90" i="9"/>
  <c r="C94" i="9"/>
  <c r="C98" i="9"/>
  <c r="A46" i="9"/>
  <c r="C67" i="9"/>
  <c r="C75" i="9"/>
  <c r="C83" i="9"/>
  <c r="E88" i="9"/>
  <c r="E92" i="9"/>
  <c r="E96" i="9"/>
  <c r="E100" i="9"/>
  <c r="A40" i="9"/>
  <c r="E65" i="9"/>
  <c r="G73" i="9"/>
  <c r="G81" i="9"/>
  <c r="F3" i="9"/>
  <c r="F19" i="9"/>
  <c r="F35" i="9"/>
  <c r="F51" i="9"/>
  <c r="C4" i="9"/>
  <c r="C20" i="9"/>
  <c r="C36" i="9"/>
  <c r="C52" i="9"/>
  <c r="D9" i="9"/>
  <c r="D25" i="9"/>
  <c r="D41" i="9"/>
  <c r="D57" i="9"/>
  <c r="A45" i="9"/>
  <c r="E3" i="9"/>
  <c r="A64" i="9"/>
  <c r="F80" i="9"/>
  <c r="B95" i="9"/>
  <c r="A10" i="9"/>
  <c r="A26" i="9"/>
  <c r="E10" i="9"/>
  <c r="E26" i="9"/>
  <c r="E42" i="9"/>
  <c r="E58" i="9"/>
  <c r="D66" i="9"/>
  <c r="D70" i="9"/>
  <c r="D74" i="9"/>
  <c r="D78" i="9"/>
  <c r="D82" i="9"/>
  <c r="D86" i="9"/>
  <c r="D90" i="9"/>
  <c r="D94" i="9"/>
  <c r="D98" i="9"/>
  <c r="A69" i="9"/>
  <c r="A76" i="9"/>
  <c r="A83" i="9"/>
  <c r="C64" i="9"/>
  <c r="G80" i="9"/>
  <c r="C91" i="9"/>
  <c r="C99" i="9"/>
  <c r="C69" i="9"/>
  <c r="C85" i="9"/>
  <c r="E93" i="9"/>
  <c r="G97" i="9"/>
  <c r="G67" i="9"/>
  <c r="G83" i="9"/>
  <c r="G89" i="9"/>
  <c r="G95" i="9"/>
  <c r="A42" i="9"/>
  <c r="C68" i="9"/>
  <c r="C80" i="9"/>
  <c r="A88" i="9"/>
  <c r="A93" i="9"/>
  <c r="D2" i="9"/>
  <c r="F7" i="9"/>
  <c r="F23" i="9"/>
  <c r="F39" i="9"/>
  <c r="F55" i="9"/>
  <c r="C8" i="9"/>
  <c r="C24" i="9"/>
  <c r="C40" i="9"/>
  <c r="C56" i="9"/>
  <c r="D13" i="9"/>
  <c r="D29" i="9"/>
  <c r="D45" i="9"/>
  <c r="D61" i="9"/>
  <c r="A61" i="9"/>
  <c r="F68" i="9"/>
  <c r="F84" i="9"/>
  <c r="B97" i="9"/>
  <c r="A12" i="9"/>
  <c r="E44" i="9"/>
  <c r="H66" i="9"/>
  <c r="H78" i="9"/>
  <c r="H86" i="9"/>
  <c r="H94" i="9"/>
  <c r="E76" i="9"/>
  <c r="G82" i="9"/>
  <c r="C100" i="9"/>
  <c r="E94" i="9"/>
  <c r="G69" i="9"/>
  <c r="G96" i="9"/>
  <c r="C72" i="9"/>
  <c r="A89" i="9"/>
  <c r="F11" i="9"/>
  <c r="F27" i="9"/>
  <c r="F43" i="9"/>
  <c r="F59" i="9"/>
  <c r="C12" i="9"/>
  <c r="C28" i="9"/>
  <c r="C44" i="9"/>
  <c r="C60" i="9"/>
  <c r="D17" i="9"/>
  <c r="D33" i="9"/>
  <c r="D49" i="9"/>
  <c r="A13" i="9"/>
  <c r="E67" i="9"/>
  <c r="E35" i="9"/>
  <c r="F72" i="9"/>
  <c r="F88" i="9"/>
  <c r="B99" i="9"/>
  <c r="A18" i="9"/>
  <c r="A34" i="9"/>
  <c r="E34" i="9"/>
  <c r="E50" i="9"/>
  <c r="G63" i="9"/>
  <c r="D68" i="9"/>
  <c r="D72" i="9"/>
  <c r="D76" i="9"/>
  <c r="D80" i="9"/>
  <c r="D84" i="9"/>
  <c r="D88" i="9"/>
  <c r="D92" i="9"/>
  <c r="D96" i="9"/>
  <c r="D100" i="9"/>
  <c r="E72" i="9"/>
  <c r="E79" i="9"/>
  <c r="A36" i="9"/>
  <c r="G72" i="9"/>
  <c r="C87" i="9"/>
  <c r="C95" i="9"/>
  <c r="A54" i="9"/>
  <c r="C77" i="9"/>
  <c r="E89" i="9"/>
  <c r="E97" i="9"/>
  <c r="A48" i="9"/>
  <c r="G75" i="9"/>
  <c r="G87" i="9"/>
  <c r="G92" i="9"/>
  <c r="G98" i="9"/>
  <c r="E63" i="9"/>
  <c r="C74" i="9"/>
  <c r="C84" i="9"/>
  <c r="A91" i="9"/>
  <c r="A96" i="9"/>
  <c r="F15" i="9"/>
  <c r="F31" i="9"/>
  <c r="F47" i="9"/>
  <c r="F63" i="9"/>
  <c r="C16" i="9"/>
  <c r="C32" i="9"/>
  <c r="C48" i="9"/>
  <c r="D5" i="9"/>
  <c r="D21" i="9"/>
  <c r="D37" i="9"/>
  <c r="D53" i="9"/>
  <c r="A29" i="9"/>
  <c r="A77" i="9"/>
  <c r="E51" i="9"/>
  <c r="F76" i="9"/>
  <c r="F92" i="9"/>
  <c r="A4" i="9"/>
  <c r="A20" i="9"/>
  <c r="E4" i="9"/>
  <c r="E20" i="9"/>
  <c r="E36" i="9"/>
  <c r="E52" i="9"/>
  <c r="D64" i="9"/>
  <c r="H68" i="9"/>
  <c r="H72" i="9"/>
  <c r="H76" i="9"/>
  <c r="H80" i="9"/>
  <c r="H84" i="9"/>
  <c r="H88" i="9"/>
  <c r="H92" i="9"/>
  <c r="H96" i="9"/>
  <c r="H100" i="9"/>
  <c r="E73" i="9"/>
  <c r="A80" i="9"/>
  <c r="A44" i="9"/>
  <c r="G74" i="9"/>
  <c r="C88" i="9"/>
  <c r="C96" i="9"/>
  <c r="A62" i="9"/>
  <c r="C79" i="9"/>
  <c r="E90" i="9"/>
  <c r="E98" i="9"/>
  <c r="A56" i="9"/>
  <c r="G77" i="9"/>
  <c r="G88" i="9"/>
  <c r="G93" i="9"/>
  <c r="A100" i="9"/>
  <c r="C66" i="9"/>
  <c r="C76" i="9"/>
  <c r="A87" i="9"/>
  <c r="A92" i="9"/>
  <c r="A97" i="9"/>
  <c r="A28" i="9"/>
  <c r="E12" i="9"/>
  <c r="E28" i="9"/>
  <c r="E60" i="9"/>
  <c r="H70" i="9"/>
  <c r="H74" i="9"/>
  <c r="H82" i="9"/>
  <c r="H90" i="9"/>
  <c r="H98" i="9"/>
  <c r="A70" i="9"/>
  <c r="E83" i="9"/>
  <c r="G66" i="9"/>
  <c r="C92" i="9"/>
  <c r="C71" i="9"/>
  <c r="E86" i="9"/>
  <c r="G99" i="9"/>
  <c r="G85" i="9"/>
  <c r="G91" i="9"/>
  <c r="A50" i="9"/>
  <c r="C82" i="9"/>
  <c r="A95" i="9"/>
  <c r="B3" i="7"/>
  <c r="B5" i="7"/>
  <c r="B7" i="7"/>
  <c r="B9" i="7"/>
  <c r="B11" i="7"/>
  <c r="B13" i="7"/>
  <c r="B15" i="7"/>
  <c r="B17" i="7"/>
  <c r="B19" i="7"/>
  <c r="B21" i="7"/>
  <c r="B23" i="7"/>
  <c r="B25" i="7"/>
  <c r="B27" i="7"/>
  <c r="B29" i="7"/>
  <c r="B31" i="7"/>
  <c r="B33" i="7"/>
  <c r="B35" i="7"/>
  <c r="B37" i="7"/>
  <c r="B39" i="7"/>
  <c r="B41" i="7"/>
  <c r="B45" i="7"/>
  <c r="B47" i="7"/>
  <c r="B55" i="7"/>
  <c r="B61" i="7"/>
  <c r="B65" i="7"/>
  <c r="B71" i="7"/>
  <c r="B75" i="7"/>
  <c r="B79" i="7"/>
  <c r="B83" i="7"/>
  <c r="B89" i="7"/>
  <c r="B93" i="7"/>
  <c r="B97" i="7"/>
  <c r="C77" i="7"/>
  <c r="C85" i="7"/>
  <c r="C89" i="7"/>
  <c r="C93" i="7"/>
  <c r="C97" i="7"/>
  <c r="B8" i="7"/>
  <c r="B18" i="7"/>
  <c r="B24" i="7"/>
  <c r="B30" i="7"/>
  <c r="B36" i="7"/>
  <c r="B44" i="7"/>
  <c r="B48" i="7"/>
  <c r="B62" i="7"/>
  <c r="B68" i="7"/>
  <c r="B74" i="7"/>
  <c r="B82" i="7"/>
  <c r="B88" i="7"/>
  <c r="B94" i="7"/>
  <c r="B100" i="7"/>
  <c r="C3" i="7"/>
  <c r="C5" i="7"/>
  <c r="C7" i="7"/>
  <c r="C9" i="7"/>
  <c r="C11" i="7"/>
  <c r="C13" i="7"/>
  <c r="C15" i="7"/>
  <c r="C17" i="7"/>
  <c r="C19" i="7"/>
  <c r="C21" i="7"/>
  <c r="C23" i="7"/>
  <c r="C25" i="7"/>
  <c r="C27" i="7"/>
  <c r="C29" i="7"/>
  <c r="C31" i="7"/>
  <c r="C33" i="7"/>
  <c r="C35" i="7"/>
  <c r="C37" i="7"/>
  <c r="C39" i="7"/>
  <c r="C41" i="7"/>
  <c r="C43" i="7"/>
  <c r="C45" i="7"/>
  <c r="C47" i="7"/>
  <c r="C49" i="7"/>
  <c r="C51" i="7"/>
  <c r="C53" i="7"/>
  <c r="C55" i="7"/>
  <c r="C57" i="7"/>
  <c r="C59" i="7"/>
  <c r="C61" i="7"/>
  <c r="C63" i="7"/>
  <c r="C65" i="7"/>
  <c r="C67" i="7"/>
  <c r="C69" i="7"/>
  <c r="C71" i="7"/>
  <c r="C73" i="7"/>
  <c r="C79" i="7"/>
  <c r="C83" i="7"/>
  <c r="B4" i="7"/>
  <c r="B10" i="7"/>
  <c r="B16" i="7"/>
  <c r="B22" i="7"/>
  <c r="B28" i="7"/>
  <c r="B34" i="7"/>
  <c r="B40" i="7"/>
  <c r="B46" i="7"/>
  <c r="B60" i="7"/>
  <c r="B66" i="7"/>
  <c r="B72" i="7"/>
  <c r="B78" i="7"/>
  <c r="B86" i="7"/>
  <c r="B92" i="7"/>
  <c r="B98" i="7"/>
  <c r="C4" i="7"/>
  <c r="C6" i="7"/>
  <c r="C8" i="7"/>
  <c r="C10" i="7"/>
  <c r="C12" i="7"/>
  <c r="C14" i="7"/>
  <c r="C16" i="7"/>
  <c r="C18" i="7"/>
  <c r="C20" i="7"/>
  <c r="C22" i="7"/>
  <c r="C24" i="7"/>
  <c r="C26" i="7"/>
  <c r="C28" i="7"/>
  <c r="C30" i="7"/>
  <c r="C32" i="7"/>
  <c r="C34" i="7"/>
  <c r="C36" i="7"/>
  <c r="C38" i="7"/>
  <c r="C40" i="7"/>
  <c r="C42" i="7"/>
  <c r="C44" i="7"/>
  <c r="C46" i="7"/>
  <c r="C48" i="7"/>
  <c r="C50" i="7"/>
  <c r="C52" i="7"/>
  <c r="C54" i="7"/>
  <c r="C56" i="7"/>
  <c r="C58" i="7"/>
  <c r="C60" i="7"/>
  <c r="C62" i="7"/>
  <c r="C64" i="7"/>
  <c r="C66" i="7"/>
  <c r="C68" i="7"/>
  <c r="C70" i="7"/>
  <c r="C72" i="7"/>
  <c r="C74" i="7"/>
  <c r="C76" i="7"/>
  <c r="C78" i="7"/>
  <c r="C80" i="7"/>
  <c r="C82" i="7"/>
  <c r="C84" i="7"/>
  <c r="C86" i="7"/>
  <c r="C88" i="7"/>
  <c r="C90" i="7"/>
  <c r="C92" i="7"/>
  <c r="C94" i="7"/>
  <c r="C96" i="7"/>
  <c r="C98" i="7"/>
  <c r="C100" i="7"/>
  <c r="B43" i="7"/>
  <c r="B49" i="7"/>
  <c r="B57" i="7"/>
  <c r="B59" i="7"/>
  <c r="B63" i="7"/>
  <c r="B67" i="7"/>
  <c r="B69" i="7"/>
  <c r="B73" i="7"/>
  <c r="B77" i="7"/>
  <c r="B81" i="7"/>
  <c r="B85" i="7"/>
  <c r="B87" i="7"/>
  <c r="B91" i="7"/>
  <c r="B95" i="7"/>
  <c r="B99" i="7"/>
  <c r="C75" i="7"/>
  <c r="C81" i="7"/>
  <c r="C87" i="7"/>
  <c r="C91" i="7"/>
  <c r="C95" i="7"/>
  <c r="C99" i="7"/>
  <c r="B6" i="7"/>
  <c r="B12" i="7"/>
  <c r="B14" i="7"/>
  <c r="B20" i="7"/>
  <c r="B26" i="7"/>
  <c r="B32" i="7"/>
  <c r="B38" i="7"/>
  <c r="B42" i="7"/>
  <c r="B50" i="7"/>
  <c r="B58" i="7"/>
  <c r="B64" i="7"/>
  <c r="B70" i="7"/>
  <c r="B76" i="7"/>
  <c r="B80" i="7"/>
  <c r="B84" i="7"/>
  <c r="B90" i="7"/>
  <c r="B96" i="7"/>
  <c r="A3" i="7"/>
  <c r="A63" i="7"/>
  <c r="A91" i="7"/>
  <c r="A99" i="7"/>
  <c r="A44" i="7"/>
  <c r="A60" i="7"/>
  <c r="A72" i="7"/>
  <c r="A84" i="7"/>
  <c r="A96" i="7"/>
  <c r="A9" i="7"/>
  <c r="A25" i="7"/>
  <c r="A37" i="7"/>
  <c r="A49" i="7"/>
  <c r="A61" i="7"/>
  <c r="A73" i="7"/>
  <c r="A85" i="7"/>
  <c r="A97" i="7"/>
  <c r="A4" i="7"/>
  <c r="A8" i="7"/>
  <c r="A12" i="7"/>
  <c r="A16" i="7"/>
  <c r="A20" i="7"/>
  <c r="A24" i="7"/>
  <c r="A28" i="7"/>
  <c r="A32" i="7"/>
  <c r="A40" i="7"/>
  <c r="A52" i="7"/>
  <c r="A64" i="7"/>
  <c r="A76" i="7"/>
  <c r="A88" i="7"/>
  <c r="A100" i="7"/>
  <c r="A13" i="7"/>
  <c r="A29" i="7"/>
  <c r="A41" i="7"/>
  <c r="A53" i="7"/>
  <c r="A69" i="7"/>
  <c r="A81" i="7"/>
  <c r="A93" i="7"/>
  <c r="A6" i="7"/>
  <c r="A10" i="7"/>
  <c r="A14" i="7"/>
  <c r="A18" i="7"/>
  <c r="A22" i="7"/>
  <c r="A26" i="7"/>
  <c r="A30" i="7"/>
  <c r="A34" i="7"/>
  <c r="A38" i="7"/>
  <c r="A42" i="7"/>
  <c r="A46" i="7"/>
  <c r="A50" i="7"/>
  <c r="A54" i="7"/>
  <c r="A58" i="7"/>
  <c r="A62" i="7"/>
  <c r="A66" i="7"/>
  <c r="A70" i="7"/>
  <c r="A74" i="7"/>
  <c r="A78" i="7"/>
  <c r="A82" i="7"/>
  <c r="A86" i="7"/>
  <c r="A90" i="7"/>
  <c r="A94" i="7"/>
  <c r="A98" i="7"/>
  <c r="A7" i="7"/>
  <c r="A11" i="7"/>
  <c r="A15" i="7"/>
  <c r="A19" i="7"/>
  <c r="A23" i="7"/>
  <c r="A27" i="7"/>
  <c r="A31" i="7"/>
  <c r="A35" i="7"/>
  <c r="A39" i="7"/>
  <c r="A43" i="7"/>
  <c r="A47" i="7"/>
  <c r="A51" i="7"/>
  <c r="A55" i="7"/>
  <c r="A59" i="7"/>
  <c r="A67" i="7"/>
  <c r="A71" i="7"/>
  <c r="A75" i="7"/>
  <c r="A79" i="7"/>
  <c r="A83" i="7"/>
  <c r="A87" i="7"/>
  <c r="A95" i="7"/>
  <c r="A36" i="7"/>
  <c r="A48" i="7"/>
  <c r="A56" i="7"/>
  <c r="A68" i="7"/>
  <c r="A80" i="7"/>
  <c r="A92" i="7"/>
  <c r="A5" i="7"/>
  <c r="A17" i="7"/>
  <c r="A21" i="7"/>
  <c r="A33" i="7"/>
  <c r="A45" i="7"/>
  <c r="A57" i="7"/>
  <c r="A65" i="7"/>
  <c r="A77" i="7"/>
  <c r="A89" i="7"/>
  <c r="B24" i="9"/>
  <c r="B21" i="9"/>
  <c r="B22" i="9"/>
  <c r="B23" i="9"/>
  <c r="B20" i="9"/>
  <c r="B56" i="7"/>
  <c r="F12" i="10"/>
  <c r="E6" i="10"/>
  <c r="E10" i="10"/>
  <c r="E14" i="10"/>
  <c r="E11" i="10"/>
  <c r="F2" i="10"/>
  <c r="D21" i="10"/>
  <c r="G7" i="10"/>
  <c r="G6" i="10"/>
  <c r="E5" i="10"/>
  <c r="E9" i="10"/>
  <c r="E13" i="10"/>
  <c r="E4" i="10"/>
  <c r="E8" i="10"/>
  <c r="E12" i="10"/>
  <c r="E16" i="10"/>
  <c r="G9" i="10"/>
  <c r="G13" i="10"/>
  <c r="G5" i="10"/>
  <c r="E2" i="10"/>
  <c r="D19" i="10"/>
  <c r="G3" i="10"/>
  <c r="G15" i="10"/>
  <c r="G10" i="10"/>
  <c r="E3" i="10"/>
  <c r="G2" i="10"/>
  <c r="G4" i="10"/>
  <c r="G8" i="10"/>
  <c r="G12" i="10"/>
  <c r="G16" i="10"/>
  <c r="D23" i="10"/>
  <c r="D20" i="10"/>
  <c r="G11" i="10"/>
  <c r="G14" i="10"/>
  <c r="E7" i="10"/>
  <c r="E15" i="10"/>
  <c r="D22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  <c r="D2" i="10"/>
  <c r="E18" i="10"/>
  <c r="E17" i="10"/>
  <c r="G23" i="10"/>
  <c r="G22" i="10"/>
  <c r="G21" i="10"/>
  <c r="G20" i="10"/>
  <c r="G19" i="10"/>
  <c r="C6" i="10"/>
  <c r="C5" i="10"/>
  <c r="C4" i="10"/>
  <c r="C3" i="10"/>
  <c r="C2" i="10"/>
  <c r="C23" i="10"/>
  <c r="C22" i="10"/>
  <c r="C21" i="10"/>
  <c r="C20" i="10"/>
  <c r="C19" i="10"/>
  <c r="C16" i="10"/>
  <c r="C15" i="10"/>
  <c r="C14" i="10"/>
  <c r="C13" i="10"/>
  <c r="C12" i="10"/>
  <c r="C18" i="10"/>
  <c r="C17" i="10"/>
  <c r="C11" i="10"/>
  <c r="C10" i="10"/>
  <c r="C9" i="10"/>
  <c r="C8" i="10"/>
  <c r="C7" i="10"/>
  <c r="F11" i="10"/>
  <c r="F10" i="10"/>
  <c r="F9" i="10"/>
  <c r="F8" i="10"/>
  <c r="F7" i="10"/>
  <c r="F23" i="10"/>
  <c r="F22" i="10"/>
  <c r="F21" i="10"/>
  <c r="F20" i="10"/>
  <c r="F19" i="10"/>
  <c r="F6" i="10"/>
  <c r="F5" i="10"/>
  <c r="F4" i="10"/>
  <c r="F3" i="10"/>
  <c r="F16" i="10"/>
  <c r="F15" i="10"/>
  <c r="F14" i="10"/>
  <c r="F13" i="10"/>
  <c r="G18" i="10"/>
  <c r="G17" i="10"/>
  <c r="G19" i="9"/>
  <c r="G18" i="9"/>
  <c r="B52" i="7"/>
  <c r="B51" i="7"/>
  <c r="F18" i="10"/>
  <c r="F17" i="10"/>
  <c r="B54" i="7"/>
  <c r="B53" i="7"/>
  <c r="G21" i="9"/>
  <c r="G20" i="9"/>
  <c r="E23" i="10"/>
  <c r="E22" i="10"/>
  <c r="E21" i="10"/>
  <c r="E20" i="10"/>
  <c r="E19" i="10"/>
  <c r="E19" i="9"/>
  <c r="E18" i="9"/>
  <c r="H2" i="9" l="1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 s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B30" i="10"/>
  <c r="B80" i="10"/>
  <c r="B72" i="10"/>
  <c r="B84" i="10"/>
  <c r="B92" i="10"/>
  <c r="B75" i="10"/>
  <c r="B66" i="10"/>
  <c r="B94" i="10"/>
  <c r="B47" i="10"/>
  <c r="B65" i="10"/>
  <c r="B73" i="10"/>
  <c r="B48" i="10"/>
  <c r="B88" i="10"/>
  <c r="B53" i="10"/>
  <c r="B60" i="10"/>
  <c r="B33" i="10"/>
  <c r="B85" i="10"/>
  <c r="B54" i="10"/>
  <c r="B49" i="10"/>
  <c r="B57" i="10"/>
  <c r="B32" i="10"/>
  <c r="B56" i="10"/>
  <c r="B96" i="10"/>
  <c r="B45" i="10"/>
  <c r="B68" i="10"/>
  <c r="B41" i="10"/>
  <c r="B100" i="10"/>
  <c r="B79" i="10"/>
  <c r="B34" i="10"/>
  <c r="B87" i="10"/>
  <c r="B42" i="10"/>
  <c r="B29" i="10"/>
  <c r="B70" i="10"/>
  <c r="B31" i="10"/>
  <c r="B81" i="10"/>
  <c r="B89" i="10"/>
  <c r="B37" i="10"/>
  <c r="B40" i="10"/>
  <c r="B62" i="10"/>
  <c r="B55" i="10"/>
  <c r="B63" i="10"/>
  <c r="B71" i="10"/>
  <c r="B26" i="10"/>
  <c r="B38" i="10"/>
  <c r="B25" i="10"/>
  <c r="B51" i="10"/>
  <c r="B82" i="10"/>
  <c r="B59" i="10"/>
  <c r="B36" i="10"/>
  <c r="B67" i="10"/>
  <c r="B44" i="10"/>
  <c r="B27" i="10"/>
  <c r="B77" i="10"/>
  <c r="B95" i="10"/>
  <c r="B99" i="10"/>
  <c r="B43" i="10"/>
  <c r="B76" i="10"/>
  <c r="B24" i="10"/>
  <c r="B61" i="10"/>
  <c r="B98" i="10"/>
  <c r="B91" i="10"/>
  <c r="B83" i="10"/>
  <c r="B52" i="10"/>
  <c r="B64" i="10"/>
  <c r="B97" i="10"/>
  <c r="B74" i="10"/>
  <c r="B78" i="10"/>
  <c r="B35" i="10"/>
  <c r="B28" i="10"/>
  <c r="B90" i="10"/>
  <c r="B93" i="10"/>
  <c r="B50" i="10"/>
  <c r="B58" i="10"/>
  <c r="B86" i="10"/>
  <c r="B69" i="10"/>
  <c r="B39" i="10"/>
  <c r="B46" i="10"/>
  <c r="A57" i="10"/>
  <c r="A100" i="10"/>
  <c r="A32" i="10"/>
  <c r="A46" i="10"/>
  <c r="A27" i="10"/>
  <c r="A75" i="10"/>
  <c r="A65" i="10"/>
  <c r="A40" i="10"/>
  <c r="A62" i="10"/>
  <c r="A59" i="10"/>
  <c r="A28" i="10"/>
  <c r="A77" i="10"/>
  <c r="A66" i="10"/>
  <c r="A55" i="10"/>
  <c r="A53" i="10"/>
  <c r="A42" i="10"/>
  <c r="A31" i="10"/>
  <c r="A90" i="10"/>
  <c r="A78" i="10"/>
  <c r="A86" i="10"/>
  <c r="A84" i="10"/>
  <c r="A88" i="10"/>
  <c r="G2" i="8"/>
  <c r="J2" i="8"/>
  <c r="E2" i="8"/>
  <c r="I2" i="8"/>
  <c r="A29" i="10"/>
  <c r="A85" i="10"/>
  <c r="A64" i="10"/>
  <c r="A96" i="10"/>
  <c r="A52" i="10"/>
  <c r="A82" i="10"/>
  <c r="A37" i="10"/>
  <c r="A26" i="10"/>
  <c r="A91" i="10"/>
  <c r="A68" i="10"/>
  <c r="A94" i="10"/>
  <c r="A41" i="10"/>
  <c r="A74" i="10"/>
  <c r="A87" i="10"/>
  <c r="A72" i="10"/>
  <c r="A63" i="10"/>
  <c r="A38" i="10"/>
  <c r="H2" i="8"/>
  <c r="A25" i="10"/>
  <c r="A80" i="10"/>
  <c r="A71" i="10"/>
  <c r="A35" i="10"/>
  <c r="A43" i="10"/>
  <c r="A70" i="10"/>
  <c r="A33" i="10"/>
  <c r="A93" i="10"/>
  <c r="A79" i="10"/>
  <c r="A67" i="10"/>
  <c r="A83" i="10"/>
  <c r="A89" i="10"/>
  <c r="A45" i="10"/>
  <c r="A34" i="10"/>
  <c r="A99" i="10"/>
  <c r="A81" i="10"/>
  <c r="A56" i="10"/>
  <c r="A97" i="10"/>
  <c r="A36" i="10"/>
  <c r="A95" i="10"/>
  <c r="A44" i="10"/>
  <c r="B2" i="8"/>
  <c r="F2" i="8"/>
  <c r="C2" i="8"/>
  <c r="A50" i="10"/>
  <c r="A69" i="10"/>
  <c r="A76" i="10"/>
  <c r="A73" i="10"/>
  <c r="A24" i="10"/>
  <c r="A60" i="10"/>
  <c r="A54" i="10"/>
  <c r="A92" i="10"/>
  <c r="A39" i="10"/>
  <c r="A58" i="10"/>
  <c r="A30" i="10"/>
  <c r="A51" i="10"/>
  <c r="A2" i="8"/>
  <c r="A61" i="10"/>
  <c r="A98" i="10"/>
  <c r="A47" i="10"/>
  <c r="A48" i="10"/>
  <c r="A49" i="10"/>
  <c r="B2" i="9"/>
  <c r="A2" i="9"/>
  <c r="G2" i="9"/>
  <c r="C2" i="9"/>
  <c r="E2" i="9"/>
  <c r="F2" i="9"/>
  <c r="B5" i="10"/>
  <c r="B15" i="10"/>
  <c r="B7" i="10"/>
  <c r="B14" i="10"/>
  <c r="A18" i="10"/>
  <c r="B4" i="10"/>
  <c r="A12" i="10"/>
  <c r="A19" i="10"/>
  <c r="A23" i="10"/>
  <c r="B12" i="10"/>
  <c r="B11" i="10"/>
  <c r="B13" i="10"/>
  <c r="B9" i="10"/>
  <c r="A6" i="10"/>
  <c r="A13" i="10"/>
  <c r="A4" i="10"/>
  <c r="A9" i="10"/>
  <c r="A10" i="10"/>
  <c r="A7" i="10"/>
  <c r="A22" i="10"/>
  <c r="B18" i="10"/>
  <c r="B23" i="10"/>
  <c r="B19" i="10"/>
  <c r="B20" i="10"/>
  <c r="B8" i="10"/>
  <c r="B16" i="10"/>
  <c r="B10" i="10"/>
  <c r="B3" i="10"/>
  <c r="A3" i="10"/>
  <c r="A11" i="10"/>
  <c r="A8" i="10"/>
  <c r="A21" i="10"/>
  <c r="B17" i="10"/>
  <c r="B22" i="10"/>
  <c r="A5" i="10"/>
  <c r="A15" i="10"/>
  <c r="A14" i="10"/>
  <c r="A20" i="10"/>
  <c r="B21" i="10"/>
  <c r="B6" i="10"/>
  <c r="A16" i="10"/>
  <c r="A17" i="10"/>
  <c r="N2" i="1" l="1"/>
  <c r="M2" i="1" l="1"/>
  <c r="P2" i="1"/>
  <c r="A1" i="10" l="1"/>
  <c r="C2" i="7"/>
  <c r="B2" i="7"/>
  <c r="A2" i="7"/>
  <c r="B2" i="10"/>
  <c r="A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<sst xmlns="http://schemas.openxmlformats.org/spreadsheetml/2006/main" count="273" uniqueCount="189">
  <si>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</si>
  <si>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</si>
  <si>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</si>
  <si>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</si>
  <si>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</si>
  <si>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</si>
  <si>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</si>
  <si>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</si>
  <si>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</si>
  <si>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</si>
  <si>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</si>
  <si>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</si>
  <si>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</si>
  <si>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</si>
  <si>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</si>
  <si>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</si>
  <si>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</si>
  <si>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</si>
  <si>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</si>
  <si>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</si>
  <si>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</si>
  <si>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</si>
  <si>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</si>
  <si>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</si>
  <si>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</si>
  <si>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</si>
  <si>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</si>
  <si>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</si>
  <si>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</si>
  <si>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</si>
  <si>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</si>
  <si>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</si>
  <si>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</si>
  <si>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</si>
  <si>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</si>
  <si>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</si>
  <si>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</si>
  <si>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</si>
  <si>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</si>
  <si>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</si>
  <si>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</si>
  <si>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</si>
  <si>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</si>
  <si>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</si>
  <si>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</si>
  <si>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</si>
  <si>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</si>
  <si>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</si>
  <si>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</si>
  <si>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</si>
  <si>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</si>
  <si>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</si>
  <si>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</si>
  <si>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</si>
  <si>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</si>
  <si>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</si>
  <si>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</si>
  <si>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</si>
  <si>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</si>
  <si>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</si>
  <si>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</si>
  <si>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</si>
  <si>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</si>
  <si>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</si>
  <si>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</si>
  <si>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</si>
  <si>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</si>
  <si>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</si>
  <si>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</si>
  <si>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</si>
  <si>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</si>
  <si>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</si>
  <si>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</si>
  <si>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</si>
  <si>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</si>
  <si>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</si>
  <si>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</si>
  <si>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</si>
  <si>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</si>
  <si>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</si>
  <si>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</si>
  <si>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</si>
  <si>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</si>
  <si>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</si>
  <si>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</si>
  <si>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F:\Project\project_acg\Client\Assets\Resources\DBF\</t>
    <phoneticPr fontId="1" type="noConversion"/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</si>
  <si>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</si>
  <si>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</si>
  <si>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</si>
  <si>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</si>
  <si>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</si>
  <si>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</si>
  <si>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</si>
  <si>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</si>
  <si>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</si>
  <si>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</si>
  <si>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</si>
  <si>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</si>
  <si>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</si>
  <si>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</si>
  <si>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</si>
  <si>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</si>
  <si>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</si>
  <si>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</si>
  <si>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</si>
  <si>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</si>
  <si>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</si>
  <si>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</si>
  <si>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</si>
  <si>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</si>
  <si>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</si>
  <si>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</si>
  <si>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</si>
  <si>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[ffed00]sta regain[-][546ef2]+3[-]</t>
  </si>
  <si>
    <t>[ffed00]sta regain[-][e92121]-3[-]</t>
  </si>
  <si>
    <t>[ffed00]sta limit[-][546ef2]+4[-]</t>
  </si>
  <si>
    <t>[ffed00]sta limit[-][546ef2]+8[-]</t>
  </si>
  <si>
    <t>[ffed00]sta limit[-][e92121]-4[-]</t>
  </si>
  <si>
    <t>[ffed00]sta limit[-][e92121]-8[-]</t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</si>
  <si>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</si>
  <si>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</si>
  <si>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</si>
  <si>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</si>
  <si>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</si>
  <si>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</si>
  <si>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</si>
  <si>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</si>
  <si>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</si>
  <si>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</si>
  <si>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</si>
  <si>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</si>
  <si>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</si>
  <si>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</si>
  <si>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</si>
  <si>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</si>
  <si>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</si>
  <si>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</si>
  <si>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</si>
  <si>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</si>
  <si>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</si>
  <si>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</si>
  <si>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</si>
  <si>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</si>
  <si>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</si>
  <si>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</si>
  <si>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</si>
  <si>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</si>
  <si>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</si>
  <si>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</si>
  <si>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</si>
  <si>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</si>
  <si>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</si>
  <si>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</si>
  <si>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</si>
  <si>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</si>
  <si>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</si>
  <si>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</si>
  <si>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</si>
  <si>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Prominently</t>
  </si>
  <si>
    <t>Signaller</t>
    <phoneticPr fontId="1" type="noConversion"/>
  </si>
  <si>
    <t>Low profile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</si>
  <si>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</si>
  <si>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</si>
  <si>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</si>
  <si>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</si>
  <si>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</si>
  <si>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</si>
  <si>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</si>
  <si>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</si>
  <si>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</si>
  <si>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Frozen</t>
    <phoneticPr fontId="1" type="noConversion"/>
  </si>
  <si>
    <t>[ffed00]frozen bullet[-]</t>
  </si>
  <si>
    <t>[ffed00]catch chance[-][e92121]+20[-]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</si>
  <si>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</si>
  <si>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</si>
  <si>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</si>
  <si>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</si>
  <si>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</si>
  <si>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</si>
  <si>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</si>
  <si>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</si>
  <si>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</si>
  <si>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[ffed00]catch chance[-][546ef2]-10[-]</t>
    <phoneticPr fontId="1" type="noConversion"/>
  </si>
  <si>
    <t>綁人</t>
  </si>
  <si>
    <t>綁人</t>
    <phoneticPr fontId="1" type="noConversion"/>
  </si>
  <si>
    <t>[ffed00]shield[-][546ef2]+2[-]</t>
    <phoneticPr fontId="1" type="noConversion"/>
  </si>
  <si>
    <t>[ffed00]shield[-][546ef2]+4[-]</t>
    <phoneticPr fontId="1" type="noConversion"/>
  </si>
  <si>
    <t>[ffed00]monster[-][e92121]+5%[-]</t>
    <phoneticPr fontId="1" type="noConversion"/>
  </si>
  <si>
    <t>[ffed00]monster[-][e92121]+10%[-]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</si>
</sst>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6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36"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5">
  <autoFilter ref="A1:C100"/>
  <tableColumns count="3">
    <tableColumn id="1" name="GUID" dataDxfId="34"/>
    <tableColumn id="2" name="enUS" dataDxfId="33"/>
    <tableColumn id="3" name="zhTW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1" headerRowBorderDxfId="30" tableBorderDxfId="29" totalsRowBorderDxfId="28">
  <autoFilter ref="A1:J100"/>
  <tableColumns count="10">
    <tableColumn id="1" name="GUID" dataDxfId="27"/>
    <tableColumn id="2" name="StrID" dataDxfId="26"/>
    <tableColumn id="3" name="Mode" dataDxfId="25"/>
    <tableColumn id="9" name="Threat" dataDxfId="24"/>
    <tableColumn id="10" name="Gain" dataDxfId="23"/>
    <tableColumn id="4" name="Damage" dataDxfId="22"/>
    <tableColumn id="8" name="CriticalStrike" dataDxfId="21"/>
    <tableColumn id="5" name="FireRate" dataDxfId="20"/>
    <tableColumn id="6" name="Range" dataDxfId="19"/>
    <tableColumn id="7" name="Resource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17">
  <autoFilter ref="A1:H100"/>
  <tableColumns count="8">
    <tableColumn id="1" name="GUID" dataDxfId="16"/>
    <tableColumn id="2" name="StrID" dataDxfId="15"/>
    <tableColumn id="3" name="Mode" dataDxfId="14"/>
    <tableColumn id="5" name="Threat" dataDxfId="13"/>
    <tableColumn id="9" name="Gain" dataDxfId="12"/>
    <tableColumn id="4" name="Group" dataDxfId="11"/>
    <tableColumn id="8" name="Value" dataDxfId="10"/>
    <tableColumn id="11" name="Description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8" dataDxfId="7">
  <autoFilter ref="A1:G100"/>
  <tableColumns count="7">
    <tableColumn id="1" name="GUID" dataDxfId="6"/>
    <tableColumn id="3" name="Mode" dataDxfId="5"/>
    <tableColumn id="6" name="Threat" dataDxfId="4"/>
    <tableColumn id="7" name="StageID" dataDxfId="3"/>
    <tableColumn id="2" name="Enegry" dataDxfId="2"/>
    <tableColumn id="4" name="HP" dataDxfId="1"/>
    <tableColumn id="5" name="MoveSpe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10" sqref="B10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85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29" activePane="bottomLeft" state="frozen"/>
      <selection pane="bottomLeft" activeCell="B54" sqref="B54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148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87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149</v>
      </c>
      <c r="C20" s="18" t="s">
        <v>133</v>
      </c>
    </row>
    <row r="21" spans="1:3">
      <c r="A21" s="3">
        <v>2010</v>
      </c>
      <c r="B21" s="3" t="s">
        <v>150</v>
      </c>
      <c r="C21" s="18" t="s">
        <v>134</v>
      </c>
    </row>
    <row r="22" spans="1:3">
      <c r="A22" s="3">
        <v>2011</v>
      </c>
      <c r="B22" s="3" t="s">
        <v>151</v>
      </c>
      <c r="C22" s="18" t="s">
        <v>135</v>
      </c>
    </row>
    <row r="23" spans="1:3">
      <c r="A23" s="3">
        <v>2012</v>
      </c>
      <c r="B23" s="3" t="s">
        <v>152</v>
      </c>
      <c r="C23" s="18" t="s">
        <v>136</v>
      </c>
    </row>
    <row r="24" spans="1:3">
      <c r="A24" s="3">
        <v>2013</v>
      </c>
      <c r="B24" s="3" t="s">
        <v>153</v>
      </c>
      <c r="C24" s="18" t="s">
        <v>138</v>
      </c>
    </row>
    <row r="25" spans="1:3">
      <c r="A25" s="3">
        <v>2014</v>
      </c>
      <c r="B25" s="3" t="s">
        <v>154</v>
      </c>
      <c r="C25" s="14" t="s">
        <v>137</v>
      </c>
    </row>
    <row r="26" spans="1:3">
      <c r="A26" s="3">
        <v>2015</v>
      </c>
      <c r="B26" s="3" t="s">
        <v>159</v>
      </c>
      <c r="C26" s="14" t="s">
        <v>139</v>
      </c>
    </row>
    <row r="27" spans="1:3">
      <c r="A27" s="3">
        <v>2016</v>
      </c>
      <c r="B27" s="3" t="s">
        <v>155</v>
      </c>
      <c r="C27" s="14" t="s">
        <v>140</v>
      </c>
    </row>
    <row r="28" spans="1:3">
      <c r="A28" s="3">
        <v>2017</v>
      </c>
      <c r="B28" s="3" t="s">
        <v>165</v>
      </c>
      <c r="C28" s="14" t="s">
        <v>141</v>
      </c>
    </row>
    <row r="29" spans="1:3">
      <c r="A29" s="3">
        <v>2018</v>
      </c>
      <c r="B29" s="3" t="s">
        <v>161</v>
      </c>
      <c r="C29" s="14" t="s">
        <v>162</v>
      </c>
    </row>
    <row r="30" spans="1:3">
      <c r="A30" s="3">
        <v>2019</v>
      </c>
      <c r="B30" s="3" t="s">
        <v>156</v>
      </c>
      <c r="C30" s="14" t="s">
        <v>142</v>
      </c>
    </row>
    <row r="31" spans="1:3">
      <c r="A31" s="3">
        <v>2020</v>
      </c>
      <c r="B31" s="3" t="s">
        <v>157</v>
      </c>
      <c r="C31" s="14" t="s">
        <v>143</v>
      </c>
    </row>
    <row r="32" spans="1:3">
      <c r="A32" s="3">
        <v>2021</v>
      </c>
      <c r="B32" s="3" t="s">
        <v>170</v>
      </c>
      <c r="C32" s="14" t="s">
        <v>130</v>
      </c>
    </row>
    <row r="33" spans="1:3">
      <c r="A33" s="3">
        <v>2022</v>
      </c>
      <c r="B33" s="3" t="s">
        <v>160</v>
      </c>
      <c r="C33" s="14" t="s">
        <v>163</v>
      </c>
    </row>
    <row r="34" spans="1:3">
      <c r="A34" s="3">
        <v>2023</v>
      </c>
      <c r="B34" s="3" t="s">
        <v>158</v>
      </c>
      <c r="C34" s="14" t="s">
        <v>164</v>
      </c>
    </row>
    <row r="35" spans="1:3">
      <c r="A35" s="19">
        <v>3001</v>
      </c>
      <c r="B35" s="3" t="s">
        <v>115</v>
      </c>
      <c r="C35" s="22"/>
    </row>
    <row r="36" spans="1:3">
      <c r="A36" s="19">
        <v>3002</v>
      </c>
      <c r="B36" s="3" t="s">
        <v>116</v>
      </c>
      <c r="C36" s="22"/>
    </row>
    <row r="37" spans="1:3">
      <c r="A37" s="19">
        <v>3003</v>
      </c>
      <c r="B37" s="3" t="s">
        <v>117</v>
      </c>
      <c r="C37" s="22"/>
    </row>
    <row r="38" spans="1:3">
      <c r="A38" s="19">
        <v>3004</v>
      </c>
      <c r="B38" s="3" t="s">
        <v>118</v>
      </c>
      <c r="C38" s="22"/>
    </row>
    <row r="39" spans="1:3">
      <c r="A39" s="19">
        <v>3005</v>
      </c>
      <c r="B39" s="3" t="s">
        <v>111</v>
      </c>
      <c r="C39" s="22"/>
    </row>
    <row r="40" spans="1:3">
      <c r="A40" s="19">
        <v>3006</v>
      </c>
      <c r="B40" s="3" t="s">
        <v>113</v>
      </c>
      <c r="C40" s="18"/>
    </row>
    <row r="41" spans="1:3">
      <c r="A41" s="19">
        <v>3007</v>
      </c>
      <c r="B41" s="3" t="s">
        <v>112</v>
      </c>
      <c r="C41" s="18"/>
    </row>
    <row r="42" spans="1:3">
      <c r="A42" s="19">
        <v>3008</v>
      </c>
      <c r="B42" s="3" t="s">
        <v>114</v>
      </c>
      <c r="C42" s="18"/>
    </row>
    <row r="43" spans="1:3">
      <c r="A43" s="19">
        <v>3009</v>
      </c>
      <c r="B43" s="3" t="s">
        <v>107</v>
      </c>
      <c r="C43" s="18"/>
    </row>
    <row r="44" spans="1:3">
      <c r="A44" s="19">
        <v>3010</v>
      </c>
      <c r="B44" s="3" t="s">
        <v>108</v>
      </c>
      <c r="C44" s="18"/>
    </row>
    <row r="45" spans="1:3">
      <c r="A45" s="19">
        <v>3011</v>
      </c>
      <c r="B45" s="3" t="s">
        <v>109</v>
      </c>
      <c r="C45" s="18"/>
    </row>
    <row r="46" spans="1:3">
      <c r="A46" s="19">
        <v>3012</v>
      </c>
      <c r="B46" s="3" t="s">
        <v>110</v>
      </c>
      <c r="C46" s="18"/>
    </row>
    <row r="47" spans="1:3">
      <c r="A47" s="19">
        <v>3013</v>
      </c>
      <c r="B47" s="3" t="s">
        <v>166</v>
      </c>
      <c r="C47" s="18"/>
    </row>
    <row r="48" spans="1:3">
      <c r="A48" s="19">
        <v>3014</v>
      </c>
      <c r="B48" s="3" t="s">
        <v>167</v>
      </c>
      <c r="C48" s="18"/>
    </row>
    <row r="49" spans="1:3">
      <c r="A49" s="19">
        <v>3015</v>
      </c>
      <c r="B49" s="3" t="s">
        <v>168</v>
      </c>
      <c r="C49" s="18"/>
    </row>
    <row r="50" spans="1:3">
      <c r="A50" s="19">
        <v>3016</v>
      </c>
      <c r="B50" s="3" t="s">
        <v>169</v>
      </c>
      <c r="C50" s="14"/>
    </row>
    <row r="51" spans="1:3">
      <c r="A51" s="19">
        <v>3017</v>
      </c>
      <c r="B51" s="3" t="s">
        <v>185</v>
      </c>
      <c r="C51" s="14"/>
    </row>
    <row r="52" spans="1:3">
      <c r="A52" s="19">
        <v>3018</v>
      </c>
      <c r="B52" s="3" t="s">
        <v>186</v>
      </c>
      <c r="C52" s="14"/>
    </row>
    <row r="53" spans="1:3">
      <c r="A53" s="19">
        <v>3019</v>
      </c>
      <c r="B53" s="3" t="s">
        <v>187</v>
      </c>
      <c r="C53" s="14"/>
    </row>
    <row r="54" spans="1:3">
      <c r="A54" s="19">
        <v>3020</v>
      </c>
      <c r="B54" s="3" t="s">
        <v>188</v>
      </c>
      <c r="C54" s="14"/>
    </row>
    <row r="55" spans="1:3">
      <c r="A55" s="19">
        <v>3021</v>
      </c>
      <c r="B55" s="3" t="s">
        <v>171</v>
      </c>
      <c r="C55" s="14"/>
    </row>
    <row r="56" spans="1:3">
      <c r="A56" s="19">
        <v>3022</v>
      </c>
      <c r="B56" s="3" t="s">
        <v>182</v>
      </c>
      <c r="C56" s="14"/>
    </row>
    <row r="57" spans="1:3">
      <c r="A57" s="19">
        <v>3023</v>
      </c>
      <c r="B57" s="3" t="s">
        <v>172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E16" sqref="E16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131</v>
      </c>
      <c r="E1" s="2" t="s">
        <v>86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IF(裝備!H2&gt;0,(裝備!F2 + 裝備!F2 * 裝備!G2) / 裝備!H2,0)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IF(裝備!H3&gt;0,(裝備!F3 + 裝備!F3 * 裝備!G3) / 裝備!H3,0)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IF(裝備!H4&gt;0,(裝備!F4 + 裝備!F4 * 裝備!G4) / 裝備!H4,0)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0.8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IF(裝備!H5&gt;0,(裝備!F5 + 裝備!F5 * 裝備!G5) / 裝備!H5,0)</f>
        <v>43.2</v>
      </c>
      <c r="O5" s="3">
        <v>25</v>
      </c>
      <c r="P5" s="13">
        <f>IF(裝備!N5&gt;0,裝備!O5/裝備!N5,0)</f>
        <v>0.57870370370370372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0.25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IF(裝備!H6&gt;0,(裝備!F6 + 裝備!F6 * 裝備!G6) / 裝備!H6,0)</f>
        <v>50</v>
      </c>
      <c r="O6" s="3">
        <v>25</v>
      </c>
      <c r="P6" s="13">
        <f>IF(裝備!N6&gt;0,裝備!O6/裝備!N6,0)</f>
        <v>0.5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IF(裝備!H7&gt;0,(裝備!F7 + 裝備!F7 * 裝備!G7) / 裝備!H7,0)</f>
        <v>60</v>
      </c>
      <c r="O7" s="3">
        <v>25</v>
      </c>
      <c r="P7" s="13">
        <f>IF(裝備!N7&gt;0,裝備!O7/裝備!N7,0)</f>
        <v>0.41666666666666669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20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IF(裝備!H8&gt;0,(裝備!F8 + 裝備!F8 * 裝備!G8) / 裝備!H8,0)</f>
        <v>80</v>
      </c>
      <c r="O8" s="3">
        <v>25</v>
      </c>
      <c r="P8" s="13">
        <f>IF(裝備!N8&gt;0,裝備!O8/裝備!N8,0)</f>
        <v>0.3125</v>
      </c>
    </row>
    <row r="9" spans="1:16">
      <c r="M9" s="13">
        <f>IF(裝備!H9&gt;0,1/裝備!H9,0)</f>
        <v>0</v>
      </c>
      <c r="N9" s="13">
        <f>IF(裝備!H9&gt;0,(裝備!F9 + 裝備!F9 * 裝備!G9) / 裝備!H9,0)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IF(裝備!H10&gt;0,(裝備!F10 + 裝備!F10 * 裝備!G10) / 裝備!H10,0)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IF(裝備!H11&gt;0,(裝備!F11 + 裝備!F11 * 裝備!G11) / 裝備!H11,0)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IF(裝備!H12&gt;0,(裝備!F12 + 裝備!F12 * 裝備!G12) / 裝備!H12,0)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IF(裝備!H13&gt;0,(裝備!F13 + 裝備!F13 * 裝備!G13) / 裝備!H13,0)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IF(裝備!H14&gt;0,(裝備!F14 + 裝備!F14 * 裝備!G14) / 裝備!H14,0)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IF(裝備!H15&gt;0,(裝備!F15 + 裝備!F15 * 裝備!G15) / 裝備!H15,0)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IF(裝備!H16&gt;0,(裝備!F16 + 裝備!F16 * 裝備!G16) / 裝備!H16,0)</f>
        <v>0</v>
      </c>
      <c r="O16" s="3">
        <v>25</v>
      </c>
      <c r="P16" s="13">
        <f>IF(裝備!N16&gt;0,裝備!O16/裝備!N16,0)</f>
        <v>0</v>
      </c>
    </row>
    <row r="17" spans="1:16">
      <c r="M17" s="13">
        <f>IF(裝備!H17&gt;0,1/裝備!H17,0)</f>
        <v>0</v>
      </c>
      <c r="N17" s="13">
        <f>IF(裝備!H17&gt;0,(裝備!F17 + 裝備!F17 * 裝備!G17) / 裝備!H17,0)</f>
        <v>0</v>
      </c>
      <c r="O17" s="3">
        <v>25</v>
      </c>
      <c r="P17" s="13">
        <f>IF(裝備!N17&gt;0,裝備!O17/裝備!N17,0)</f>
        <v>0</v>
      </c>
    </row>
    <row r="18" spans="1:16">
      <c r="M18" s="13">
        <f>IF(裝備!H18&gt;0,1/裝備!H18,0)</f>
        <v>0</v>
      </c>
      <c r="N18" s="13">
        <f>IF(裝備!H18&gt;0,(裝備!F18 + 裝備!F18 * 裝備!G18) / 裝備!H18,0)</f>
        <v>0</v>
      </c>
      <c r="O18" s="3">
        <v>25</v>
      </c>
      <c r="P18" s="13">
        <f>IF(裝備!N18&gt;0,裝備!O18/裝備!N18,0)</f>
        <v>0</v>
      </c>
    </row>
    <row r="19" spans="1:16">
      <c r="M19" s="13">
        <f>IF(裝備!H19&gt;0,1/裝備!H19,0)</f>
        <v>0</v>
      </c>
      <c r="N19" s="13">
        <f>IF(裝備!H19&gt;0,(裝備!F19 + 裝備!F19 * 裝備!G19) / 裝備!H19,0)</f>
        <v>0</v>
      </c>
      <c r="O19" s="3">
        <v>25</v>
      </c>
      <c r="P19" s="13">
        <f>IF(裝備!N19&gt;0,裝備!O19/裝備!N19,0)</f>
        <v>0</v>
      </c>
    </row>
    <row r="20" spans="1:16">
      <c r="M20" s="13">
        <f>IF(裝備!H20&gt;0,1/裝備!H20,0)</f>
        <v>0</v>
      </c>
      <c r="N20" s="13">
        <f>IF(裝備!H20&gt;0,(裝備!F20 + 裝備!F20 * 裝備!G20) / 裝備!H20,0)</f>
        <v>0</v>
      </c>
      <c r="O20" s="3">
        <v>25</v>
      </c>
      <c r="P20" s="13">
        <f>IF(裝備!N20&gt;0,裝備!O20/裝備!N20,0)</f>
        <v>0</v>
      </c>
    </row>
    <row r="21" spans="1:16">
      <c r="M21" s="13">
        <f>IF(裝備!H21&gt;0,1/裝備!H21,0)</f>
        <v>0</v>
      </c>
      <c r="N21" s="13">
        <f>IF(裝備!H21&gt;0,(裝備!F21 + 裝備!F21 * 裝備!G21) / 裝備!H21,0)</f>
        <v>0</v>
      </c>
      <c r="O21" s="3">
        <v>25</v>
      </c>
      <c r="P21" s="13">
        <f>IF(裝備!N21&gt;0,裝備!O21/裝備!N21,0)</f>
        <v>0</v>
      </c>
    </row>
    <row r="22" spans="1:16">
      <c r="M22" s="13">
        <f>IF(裝備!H22&gt;0,1/裝備!H22,0)</f>
        <v>0</v>
      </c>
      <c r="N22" s="13">
        <f>IF(裝備!H22&gt;0,(裝備!F22 + 裝備!F22 * 裝備!G22) / 裝備!H22,0)</f>
        <v>0</v>
      </c>
      <c r="O22" s="3">
        <v>25</v>
      </c>
      <c r="P22" s="13">
        <f>IF(裝備!N22&gt;0,裝備!O22/裝備!N22,0)</f>
        <v>0</v>
      </c>
    </row>
    <row r="23" spans="1:16">
      <c r="M23" s="13">
        <f>IF(裝備!H23&gt;0,1/裝備!H23,0)</f>
        <v>0</v>
      </c>
      <c r="N23" s="13">
        <f>IF(裝備!H23&gt;0,(裝備!F23 + 裝備!F23 * 裝備!G23) / 裝備!H23,0)</f>
        <v>0</v>
      </c>
      <c r="O23" s="3">
        <v>25</v>
      </c>
      <c r="P23" s="13">
        <f>IF(裝備!N23&gt;0,裝備!O23/裝備!N23,0)</f>
        <v>0</v>
      </c>
    </row>
    <row r="24" spans="1:16">
      <c r="M24" s="13">
        <f>IF(裝備!H24&gt;0,1/裝備!H24,0)</f>
        <v>0</v>
      </c>
      <c r="N24" s="13">
        <f>IF(裝備!H24&gt;0,(裝備!F24 + 裝備!F24 * 裝備!G24) / 裝備!H24,0)</f>
        <v>0</v>
      </c>
      <c r="O24" s="3">
        <v>25</v>
      </c>
      <c r="P24" s="13">
        <f>IF(裝備!N24&gt;0,裝備!O24/裝備!N24,0)</f>
        <v>0</v>
      </c>
    </row>
    <row r="25" spans="1:16">
      <c r="M25" s="13">
        <f>IF(裝備!H25&gt;0,1/裝備!H25,0)</f>
        <v>0</v>
      </c>
      <c r="N25" s="13">
        <f>IF(裝備!H25&gt;0,(裝備!F25 + 裝備!F25 * 裝備!G25) / 裝備!H25,0)</f>
        <v>0</v>
      </c>
      <c r="O25" s="3">
        <v>25</v>
      </c>
      <c r="P25" s="13">
        <f>IF(裝備!N25&gt;0,裝備!O25/裝備!N25,0)</f>
        <v>0</v>
      </c>
    </row>
    <row r="26" spans="1:16">
      <c r="M26" s="13">
        <f>IF(裝備!H26&gt;0,1/裝備!H26,0)</f>
        <v>0</v>
      </c>
      <c r="N26" s="13">
        <f>IF(裝備!H26&gt;0,(裝備!F26 + 裝備!F26 * 裝備!G26) / 裝備!H26,0)</f>
        <v>0</v>
      </c>
      <c r="O26" s="3">
        <v>25</v>
      </c>
      <c r="P26" s="13">
        <f>IF(裝備!N26&gt;0,裝備!O26/裝備!N26,0)</f>
        <v>0</v>
      </c>
    </row>
    <row r="27" spans="1:16">
      <c r="M27" s="13">
        <f>IF(裝備!H27&gt;0,1/裝備!H27,0)</f>
        <v>0</v>
      </c>
      <c r="N27" s="13">
        <f>IF(裝備!H27&gt;0,(裝備!F27 + 裝備!F27 * 裝備!G27) / 裝備!H27,0)</f>
        <v>0</v>
      </c>
      <c r="O27" s="3">
        <v>25</v>
      </c>
      <c r="P27" s="13">
        <f>IF(裝備!N27&gt;0,裝備!O27/裝備!N27,0)</f>
        <v>0</v>
      </c>
    </row>
    <row r="28" spans="1:16">
      <c r="M28" s="13">
        <f>IF(裝備!H28&gt;0,1/裝備!H28,0)</f>
        <v>0</v>
      </c>
      <c r="N28" s="13">
        <f>IF(裝備!H28&gt;0,(裝備!F28 + 裝備!F28 * 裝備!G28) / 裝備!H28,0)</f>
        <v>0</v>
      </c>
      <c r="O28" s="3">
        <v>25</v>
      </c>
      <c r="P28" s="13">
        <f>IF(裝備!N28&gt;0,裝備!O28/裝備!N28,0)</f>
        <v>0</v>
      </c>
    </row>
    <row r="29" spans="1:16">
      <c r="M29" s="13">
        <f>IF(裝備!H29&gt;0,1/裝備!H29,0)</f>
        <v>0</v>
      </c>
      <c r="N29" s="13">
        <f>IF(裝備!H29&gt;0,(裝備!F29 + 裝備!F29 * 裝備!G29) / 裝備!H29,0)</f>
        <v>0</v>
      </c>
      <c r="O29" s="3">
        <v>25</v>
      </c>
      <c r="P29" s="13">
        <f>IF(裝備!N29&gt;0,裝備!O29/裝備!N29,0)</f>
        <v>0</v>
      </c>
    </row>
    <row r="30" spans="1:16">
      <c r="M30" s="13">
        <f>IF(裝備!H30&gt;0,1/裝備!H30,0)</f>
        <v>0</v>
      </c>
      <c r="N30" s="13">
        <f>IF(裝備!H30&gt;0,(裝備!F30 + 裝備!F30 * 裝備!G30) / 裝備!H30,0)</f>
        <v>0</v>
      </c>
      <c r="O30" s="3">
        <v>25</v>
      </c>
      <c r="P30" s="13">
        <f>IF(裝備!N30&gt;0,裝備!O30/裝備!N30,0)</f>
        <v>0</v>
      </c>
    </row>
    <row r="31" spans="1:16">
      <c r="A31" s="19"/>
      <c r="J31" s="14"/>
      <c r="M31" s="13">
        <f>IF(裝備!H31&gt;0,1/裝備!H31,0)</f>
        <v>0</v>
      </c>
      <c r="N31" s="13">
        <f>IF(裝備!H31&gt;0,(裝備!F31 + 裝備!F31 * 裝備!G31) / 裝備!H31,0)</f>
        <v>0</v>
      </c>
      <c r="O31" s="3">
        <v>25</v>
      </c>
      <c r="P31" s="13">
        <f>IF(裝備!N31&gt;0,裝備!O31/裝備!N31,0)</f>
        <v>0</v>
      </c>
    </row>
    <row r="32" spans="1:16">
      <c r="A32" s="19"/>
      <c r="J32" s="14"/>
      <c r="M32" s="13">
        <f>IF(裝備!H32&gt;0,1/裝備!H32,0)</f>
        <v>0</v>
      </c>
      <c r="N32" s="13">
        <f>IF(裝備!H32&gt;0,(裝備!F32 + 裝備!F32 * 裝備!G32) / 裝備!H32,0)</f>
        <v>0</v>
      </c>
      <c r="O32" s="3">
        <v>25</v>
      </c>
      <c r="P32" s="13">
        <f>IF(裝備!N32&gt;0,裝備!O32/裝備!N32,0)</f>
        <v>0</v>
      </c>
    </row>
    <row r="33" spans="1:16">
      <c r="A33" s="19"/>
      <c r="J33" s="14"/>
      <c r="M33" s="13">
        <f>IF(裝備!H33&gt;0,1/裝備!H33,0)</f>
        <v>0</v>
      </c>
      <c r="N33" s="13">
        <f>IF(裝備!H33&gt;0,(裝備!F33 + 裝備!F33 * 裝備!G33) / 裝備!H33,0)</f>
        <v>0</v>
      </c>
      <c r="O33" s="3">
        <v>25</v>
      </c>
      <c r="P33" s="13">
        <f>IF(裝備!N33&gt;0,裝備!O33/裝備!N33,0)</f>
        <v>0</v>
      </c>
    </row>
    <row r="34" spans="1:16">
      <c r="A34" s="19"/>
      <c r="J34" s="14"/>
      <c r="M34" s="13">
        <f>IF(裝備!H34&gt;0,1/裝備!H34,0)</f>
        <v>0</v>
      </c>
      <c r="N34" s="13">
        <f>IF(裝備!H34&gt;0,(裝備!F34 + 裝備!F34 * 裝備!G34) / 裝備!H34,0)</f>
        <v>0</v>
      </c>
      <c r="O34" s="3">
        <v>25</v>
      </c>
      <c r="P34" s="13">
        <f>IF(裝備!N34&gt;0,裝備!O34/裝備!N34,0)</f>
        <v>0</v>
      </c>
    </row>
    <row r="35" spans="1:16">
      <c r="A35" s="19"/>
      <c r="J35" s="14"/>
      <c r="M35" s="13">
        <f>IF(裝備!H35&gt;0,1/裝備!H35,0)</f>
        <v>0</v>
      </c>
      <c r="N35" s="13">
        <f>IF(裝備!H35&gt;0,(裝備!F35 + 裝備!F35 * 裝備!G35) / 裝備!H35,0)</f>
        <v>0</v>
      </c>
      <c r="O35" s="3">
        <v>25</v>
      </c>
      <c r="P35" s="13">
        <f>IF(裝備!N35&gt;0,裝備!O35/裝備!N35,0)</f>
        <v>0</v>
      </c>
    </row>
    <row r="36" spans="1:16">
      <c r="A36" s="19"/>
      <c r="J36" s="14"/>
      <c r="M36" s="13">
        <f>IF(裝備!H36&gt;0,1/裝備!H36,0)</f>
        <v>0</v>
      </c>
      <c r="N36" s="13">
        <f>IF(裝備!H36&gt;0,(裝備!F36 + 裝備!F36 * 裝備!G36) / 裝備!H36,0)</f>
        <v>0</v>
      </c>
      <c r="O36" s="3">
        <v>25</v>
      </c>
      <c r="P36" s="13">
        <f>IF(裝備!N36&gt;0,裝備!O36/裝備!N36,0)</f>
        <v>0</v>
      </c>
    </row>
    <row r="37" spans="1:16">
      <c r="A37" s="19"/>
      <c r="J37" s="14"/>
      <c r="M37" s="13">
        <f>IF(裝備!H37&gt;0,1/裝備!H37,0)</f>
        <v>0</v>
      </c>
      <c r="N37" s="13">
        <f>IF(裝備!H37&gt;0,(裝備!F37 + 裝備!F37 * 裝備!G37) / 裝備!H37,0)</f>
        <v>0</v>
      </c>
      <c r="O37" s="3">
        <v>25</v>
      </c>
      <c r="P37" s="13">
        <f>IF(裝備!N37&gt;0,裝備!O37/裝備!N37,0)</f>
        <v>0</v>
      </c>
    </row>
    <row r="38" spans="1:16">
      <c r="A38" s="19"/>
      <c r="J38" s="14"/>
      <c r="M38" s="13">
        <f>IF(裝備!H38&gt;0,1/裝備!H38,0)</f>
        <v>0</v>
      </c>
      <c r="N38" s="13">
        <f>IF(裝備!H38&gt;0,(裝備!F38 + 裝備!F38 * 裝備!G38) / 裝備!H38,0)</f>
        <v>0</v>
      </c>
      <c r="O38" s="3">
        <v>25</v>
      </c>
      <c r="P38" s="13">
        <f>IF(裝備!N38&gt;0,裝備!O38/裝備!N38,0)</f>
        <v>0</v>
      </c>
    </row>
    <row r="39" spans="1:16">
      <c r="A39" s="19"/>
      <c r="J39" s="14"/>
      <c r="M39" s="13">
        <f>IF(裝備!H39&gt;0,1/裝備!H39,0)</f>
        <v>0</v>
      </c>
      <c r="N39" s="13">
        <f>IF(裝備!H39&gt;0,(裝備!F39 + 裝備!F39 * 裝備!G39) / 裝備!H39,0)</f>
        <v>0</v>
      </c>
      <c r="O39" s="3">
        <v>25</v>
      </c>
      <c r="P39" s="13">
        <f>IF(裝備!N39&gt;0,裝備!O39/裝備!N39,0)</f>
        <v>0</v>
      </c>
    </row>
    <row r="40" spans="1:16">
      <c r="A40" s="19"/>
      <c r="J40" s="14"/>
      <c r="M40" s="13">
        <f>IF(裝備!H40&gt;0,1/裝備!H40,0)</f>
        <v>0</v>
      </c>
      <c r="N40" s="13">
        <f>IF(裝備!H40&gt;0,(裝備!F40 + 裝備!F40 * 裝備!G40) / 裝備!H40,0)</f>
        <v>0</v>
      </c>
      <c r="O40" s="3">
        <v>25</v>
      </c>
      <c r="P40" s="13">
        <f>IF(裝備!N40&gt;0,裝備!O40/裝備!N40,0)</f>
        <v>0</v>
      </c>
    </row>
    <row r="41" spans="1:16">
      <c r="A41" s="19"/>
      <c r="J41" s="14"/>
      <c r="M41" s="13">
        <f>IF(裝備!H41&gt;0,1/裝備!H41,0)</f>
        <v>0</v>
      </c>
      <c r="N41" s="13">
        <f>IF(裝備!H41&gt;0,(裝備!F41 + 裝備!F41 * 裝備!G41) / 裝備!H41,0)</f>
        <v>0</v>
      </c>
      <c r="O41" s="3">
        <v>25</v>
      </c>
      <c r="P41" s="13">
        <f>IF(裝備!N41&gt;0,裝備!O41/裝備!N41,0)</f>
        <v>0</v>
      </c>
    </row>
    <row r="42" spans="1:16">
      <c r="A42" s="19"/>
      <c r="J42" s="14"/>
      <c r="M42" s="13">
        <f>IF(裝備!H42&gt;0,1/裝備!H42,0)</f>
        <v>0</v>
      </c>
      <c r="N42" s="13">
        <f>IF(裝備!H42&gt;0,(裝備!F42 + 裝備!F42 * 裝備!G42) / 裝備!H42,0)</f>
        <v>0</v>
      </c>
      <c r="O42" s="3">
        <v>25</v>
      </c>
      <c r="P42" s="13">
        <f>IF(裝備!N42&gt;0,裝備!O42/裝備!N42,0)</f>
        <v>0</v>
      </c>
    </row>
    <row r="43" spans="1:16">
      <c r="A43" s="19"/>
      <c r="J43" s="14"/>
      <c r="M43" s="13">
        <f>IF(裝備!H43&gt;0,1/裝備!H43,0)</f>
        <v>0</v>
      </c>
      <c r="N43" s="13">
        <f>IF(裝備!H43&gt;0,(裝備!F43 + 裝備!F43 * 裝備!G43) / 裝備!H43,0)</f>
        <v>0</v>
      </c>
      <c r="O43" s="3">
        <v>25</v>
      </c>
      <c r="P43" s="13">
        <f>IF(裝備!N43&gt;0,裝備!O43/裝備!N43,0)</f>
        <v>0</v>
      </c>
    </row>
    <row r="44" spans="1:16">
      <c r="A44" s="19"/>
      <c r="J44" s="14"/>
      <c r="M44" s="13">
        <f>IF(裝備!H44&gt;0,1/裝備!H44,0)</f>
        <v>0</v>
      </c>
      <c r="N44" s="13">
        <f>IF(裝備!H44&gt;0,(裝備!F44 + 裝備!F44 * 裝備!G44) / 裝備!H44,0)</f>
        <v>0</v>
      </c>
      <c r="O44" s="3">
        <v>25</v>
      </c>
      <c r="P44" s="13">
        <f>IF(裝備!N44&gt;0,裝備!O44/裝備!N44,0)</f>
        <v>0</v>
      </c>
    </row>
    <row r="45" spans="1:16">
      <c r="A45" s="19"/>
      <c r="J45" s="14"/>
      <c r="M45" s="13">
        <f>IF(裝備!H45&gt;0,1/裝備!H45,0)</f>
        <v>0</v>
      </c>
      <c r="N45" s="13">
        <f>IF(裝備!H45&gt;0,(裝備!F45 + 裝備!F45 * 裝備!G45) / 裝備!H45,0)</f>
        <v>0</v>
      </c>
      <c r="O45" s="3">
        <v>25</v>
      </c>
      <c r="P45" s="13">
        <f>IF(裝備!N45&gt;0,裝備!O45/裝備!N45,0)</f>
        <v>0</v>
      </c>
    </row>
    <row r="46" spans="1:16">
      <c r="A46" s="19"/>
      <c r="J46" s="14"/>
      <c r="M46" s="13">
        <f>IF(裝備!H46&gt;0,1/裝備!H46,0)</f>
        <v>0</v>
      </c>
      <c r="N46" s="13">
        <f>IF(裝備!H46&gt;0,(裝備!F46 + 裝備!F46 * 裝備!G46) / 裝備!H46,0)</f>
        <v>0</v>
      </c>
      <c r="O46" s="3">
        <v>25</v>
      </c>
      <c r="P46" s="13">
        <f>IF(裝備!N46&gt;0,裝備!O46/裝備!N46,0)</f>
        <v>0</v>
      </c>
    </row>
    <row r="47" spans="1:16">
      <c r="A47" s="19"/>
      <c r="J47" s="14"/>
      <c r="M47" s="13">
        <f>IF(裝備!H47&gt;0,1/裝備!H47,0)</f>
        <v>0</v>
      </c>
      <c r="N47" s="13">
        <f>IF(裝備!H47&gt;0,(裝備!F47 + 裝備!F47 * 裝備!G47) / 裝備!H47,0)</f>
        <v>0</v>
      </c>
      <c r="O47" s="3">
        <v>25</v>
      </c>
      <c r="P47" s="13">
        <f>IF(裝備!N47&gt;0,裝備!O47/裝備!N47,0)</f>
        <v>0</v>
      </c>
    </row>
    <row r="48" spans="1:16">
      <c r="A48" s="19"/>
      <c r="J48" s="14"/>
      <c r="M48" s="13">
        <f>IF(裝備!H48&gt;0,1/裝備!H48,0)</f>
        <v>0</v>
      </c>
      <c r="N48" s="13">
        <f>IF(裝備!H48&gt;0,(裝備!F48 + 裝備!F48 * 裝備!G48) / 裝備!H48,0)</f>
        <v>0</v>
      </c>
      <c r="O48" s="3">
        <v>25</v>
      </c>
      <c r="P48" s="13">
        <f>IF(裝備!N48&gt;0,裝備!O48/裝備!N48,0)</f>
        <v>0</v>
      </c>
    </row>
    <row r="49" spans="1:16">
      <c r="A49" s="19"/>
      <c r="J49" s="14"/>
      <c r="M49" s="13">
        <f>IF(裝備!H49&gt;0,1/裝備!H49,0)</f>
        <v>0</v>
      </c>
      <c r="N49" s="13">
        <f>IF(裝備!H49&gt;0,(裝備!F49 + 裝備!F49 * 裝備!G49) / 裝備!H49,0)</f>
        <v>0</v>
      </c>
      <c r="O49" s="3">
        <v>25</v>
      </c>
      <c r="P49" s="13">
        <f>IF(裝備!N49&gt;0,裝備!O49/裝備!N49,0)</f>
        <v>0</v>
      </c>
    </row>
    <row r="50" spans="1:16">
      <c r="A50" s="19"/>
      <c r="J50" s="14"/>
      <c r="M50" s="13">
        <f>IF(裝備!H50&gt;0,1/裝備!H50,0)</f>
        <v>0</v>
      </c>
      <c r="N50" s="13">
        <f>IF(裝備!H50&gt;0,(裝備!F50 + 裝備!F50 * 裝備!G50) / 裝備!H50,0)</f>
        <v>0</v>
      </c>
      <c r="O50" s="3">
        <v>25</v>
      </c>
      <c r="P50" s="13">
        <f>IF(裝備!N50&gt;0,裝備!O50/裝備!N50,0)</f>
        <v>0</v>
      </c>
    </row>
    <row r="51" spans="1:16">
      <c r="A51" s="19"/>
      <c r="J51" s="14"/>
      <c r="M51" s="13">
        <f>IF(裝備!H51&gt;0,1/裝備!H51,0)</f>
        <v>0</v>
      </c>
      <c r="N51" s="13">
        <f>IF(裝備!H51&gt;0,(裝備!F51 + 裝備!F51 * 裝備!G51) / 裝備!H51,0)</f>
        <v>0</v>
      </c>
      <c r="O51" s="3">
        <v>25</v>
      </c>
      <c r="P51" s="13">
        <f>IF(裝備!N51&gt;0,裝備!O51/裝備!N51,0)</f>
        <v>0</v>
      </c>
    </row>
    <row r="52" spans="1:16">
      <c r="A52" s="19"/>
      <c r="J52" s="14"/>
      <c r="M52" s="13">
        <f>IF(裝備!H52&gt;0,1/裝備!H52,0)</f>
        <v>0</v>
      </c>
      <c r="N52" s="13">
        <f>IF(裝備!H52&gt;0,(裝備!F52 + 裝備!F52 * 裝備!G52) / 裝備!H52,0)</f>
        <v>0</v>
      </c>
      <c r="O52" s="3">
        <v>25</v>
      </c>
      <c r="P52" s="13">
        <f>IF(裝備!N52&gt;0,裝備!O52/裝備!N52,0)</f>
        <v>0</v>
      </c>
    </row>
    <row r="53" spans="1:16">
      <c r="A53" s="19"/>
      <c r="J53" s="14"/>
      <c r="M53" s="13">
        <f>IF(裝備!H53&gt;0,1/裝備!H53,0)</f>
        <v>0</v>
      </c>
      <c r="N53" s="13">
        <f>IF(裝備!H53&gt;0,(裝備!F53 + 裝備!F53 * 裝備!G53) / 裝備!H53,0)</f>
        <v>0</v>
      </c>
      <c r="O53" s="3">
        <v>25</v>
      </c>
      <c r="P53" s="13">
        <f>IF(裝備!N53&gt;0,裝備!O53/裝備!N53,0)</f>
        <v>0</v>
      </c>
    </row>
    <row r="54" spans="1:16">
      <c r="A54" s="19"/>
      <c r="J54" s="14"/>
      <c r="M54" s="13">
        <f>IF(裝備!H54&gt;0,1/裝備!H54,0)</f>
        <v>0</v>
      </c>
      <c r="N54" s="13">
        <f>IF(裝備!H54&gt;0,(裝備!F54 + 裝備!F54 * 裝備!G54) / 裝備!H54,0)</f>
        <v>0</v>
      </c>
      <c r="O54" s="3">
        <v>25</v>
      </c>
      <c r="P54" s="13">
        <f>IF(裝備!N54&gt;0,裝備!O54/裝備!N54,0)</f>
        <v>0</v>
      </c>
    </row>
    <row r="55" spans="1:16">
      <c r="A55" s="19"/>
      <c r="J55" s="14"/>
      <c r="M55" s="13">
        <f>IF(裝備!H55&gt;0,1/裝備!H55,0)</f>
        <v>0</v>
      </c>
      <c r="N55" s="13">
        <f>IF(裝備!H55&gt;0,(裝備!F55 + 裝備!F55 * 裝備!G55) / 裝備!H55,0)</f>
        <v>0</v>
      </c>
      <c r="O55" s="3">
        <v>25</v>
      </c>
      <c r="P55" s="13">
        <f>IF(裝備!N55&gt;0,裝備!O55/裝備!N55,0)</f>
        <v>0</v>
      </c>
    </row>
    <row r="56" spans="1:16">
      <c r="A56" s="19"/>
      <c r="J56" s="14"/>
      <c r="M56" s="13">
        <f>IF(裝備!H56&gt;0,1/裝備!H56,0)</f>
        <v>0</v>
      </c>
      <c r="N56" s="13">
        <f>IF(裝備!H56&gt;0,(裝備!F56 + 裝備!F56 * 裝備!G56) / 裝備!H56,0)</f>
        <v>0</v>
      </c>
      <c r="O56" s="3">
        <v>25</v>
      </c>
      <c r="P56" s="13">
        <f>IF(裝備!N56&gt;0,裝備!O56/裝備!N56,0)</f>
        <v>0</v>
      </c>
    </row>
    <row r="57" spans="1:16">
      <c r="A57" s="19"/>
      <c r="J57" s="14"/>
      <c r="M57" s="13">
        <f>IF(裝備!H57&gt;0,1/裝備!H57,0)</f>
        <v>0</v>
      </c>
      <c r="N57" s="13">
        <f>IF(裝備!H57&gt;0,(裝備!F57 + 裝備!F57 * 裝備!G57) / 裝備!H57,0)</f>
        <v>0</v>
      </c>
      <c r="O57" s="3">
        <v>25</v>
      </c>
      <c r="P57" s="13">
        <f>IF(裝備!N57&gt;0,裝備!O57/裝備!N57,0)</f>
        <v>0</v>
      </c>
    </row>
    <row r="58" spans="1:16">
      <c r="A58" s="19"/>
      <c r="J58" s="14"/>
      <c r="M58" s="13">
        <f>IF(裝備!H58&gt;0,1/裝備!H58,0)</f>
        <v>0</v>
      </c>
      <c r="N58" s="13">
        <f>IF(裝備!H58&gt;0,(裝備!F58 + 裝備!F58 * 裝備!G58) / 裝備!H58,0)</f>
        <v>0</v>
      </c>
      <c r="O58" s="3">
        <v>25</v>
      </c>
      <c r="P58" s="13">
        <f>IF(裝備!N58&gt;0,裝備!O58/裝備!N58,0)</f>
        <v>0</v>
      </c>
    </row>
    <row r="59" spans="1:16">
      <c r="A59" s="19"/>
      <c r="J59" s="14"/>
      <c r="M59" s="13">
        <f>IF(裝備!H59&gt;0,1/裝備!H59,0)</f>
        <v>0</v>
      </c>
      <c r="N59" s="13">
        <f>IF(裝備!H59&gt;0,(裝備!F59 + 裝備!F59 * 裝備!G59) / 裝備!H59,0)</f>
        <v>0</v>
      </c>
      <c r="O59" s="3">
        <v>25</v>
      </c>
      <c r="P59" s="13">
        <f>IF(裝備!N59&gt;0,裝備!O59/裝備!N59,0)</f>
        <v>0</v>
      </c>
    </row>
    <row r="60" spans="1:16">
      <c r="A60" s="19"/>
      <c r="J60" s="14"/>
      <c r="M60" s="13">
        <f>IF(裝備!H60&gt;0,1/裝備!H60,0)</f>
        <v>0</v>
      </c>
      <c r="N60" s="13">
        <f>IF(裝備!H60&gt;0,(裝備!F60 + 裝備!F60 * 裝備!G60) / 裝備!H60,0)</f>
        <v>0</v>
      </c>
      <c r="O60" s="3">
        <v>25</v>
      </c>
      <c r="P60" s="13">
        <f>IF(裝備!N60&gt;0,裝備!O60/裝備!N60,0)</f>
        <v>0</v>
      </c>
    </row>
    <row r="61" spans="1:16">
      <c r="A61" s="19"/>
      <c r="J61" s="14"/>
      <c r="M61" s="13">
        <f>IF(裝備!H61&gt;0,1/裝備!H61,0)</f>
        <v>0</v>
      </c>
      <c r="N61" s="13">
        <f>IF(裝備!H61&gt;0,(裝備!F61 + 裝備!F61 * 裝備!G61) / 裝備!H61,0)</f>
        <v>0</v>
      </c>
      <c r="O61" s="3">
        <v>25</v>
      </c>
      <c r="P61" s="13">
        <f>IF(裝備!N61&gt;0,裝備!O61/裝備!N61,0)</f>
        <v>0</v>
      </c>
    </row>
    <row r="62" spans="1:16">
      <c r="A62" s="19"/>
      <c r="J62" s="14"/>
      <c r="M62" s="13">
        <f>IF(裝備!H62&gt;0,1/裝備!H62,0)</f>
        <v>0</v>
      </c>
      <c r="N62" s="13">
        <f>IF(裝備!H62&gt;0,(裝備!F62 + 裝備!F62 * 裝備!G62) / 裝備!H62,0)</f>
        <v>0</v>
      </c>
      <c r="O62" s="3">
        <v>25</v>
      </c>
      <c r="P62" s="13">
        <f>IF(裝備!N62&gt;0,裝備!O62/裝備!N62,0)</f>
        <v>0</v>
      </c>
    </row>
    <row r="63" spans="1:16">
      <c r="A63" s="19"/>
      <c r="J63" s="14"/>
      <c r="M63" s="13">
        <f>IF(裝備!H63&gt;0,1/裝備!H63,0)</f>
        <v>0</v>
      </c>
      <c r="N63" s="13">
        <f>IF(裝備!H63&gt;0,(裝備!F63 + 裝備!F63 * 裝備!G63) / 裝備!H63,0)</f>
        <v>0</v>
      </c>
      <c r="O63" s="3">
        <v>25</v>
      </c>
      <c r="P63" s="13">
        <f>IF(裝備!N63&gt;0,裝備!O63/裝備!N63,0)</f>
        <v>0</v>
      </c>
    </row>
    <row r="64" spans="1:16">
      <c r="A64" s="19"/>
      <c r="J64" s="14"/>
      <c r="M64" s="13">
        <f>IF(裝備!H64&gt;0,1/裝備!H64,0)</f>
        <v>0</v>
      </c>
      <c r="N64" s="13">
        <f>IF(裝備!H64&gt;0,(裝備!F64 + 裝備!F64 * 裝備!G64) / 裝備!H64,0)</f>
        <v>0</v>
      </c>
      <c r="O64" s="3">
        <v>25</v>
      </c>
      <c r="P64" s="13">
        <f>IF(裝備!N64&gt;0,裝備!O64/裝備!N64,0)</f>
        <v>0</v>
      </c>
    </row>
    <row r="65" spans="1:16">
      <c r="A65" s="19"/>
      <c r="J65" s="14"/>
      <c r="M65" s="13">
        <f>IF(裝備!H65&gt;0,1/裝備!H65,0)</f>
        <v>0</v>
      </c>
      <c r="N65" s="13">
        <f>IF(裝備!H65&gt;0,(裝備!F65 + 裝備!F65 * 裝備!G65) / 裝備!H65,0)</f>
        <v>0</v>
      </c>
      <c r="O65" s="3">
        <v>25</v>
      </c>
      <c r="P65" s="13">
        <f>IF(裝備!N65&gt;0,裝備!O65/裝備!N65,0)</f>
        <v>0</v>
      </c>
    </row>
    <row r="66" spans="1:16">
      <c r="A66" s="19"/>
      <c r="J66" s="14"/>
      <c r="M66" s="13">
        <f>IF(裝備!H66&gt;0,1/裝備!H66,0)</f>
        <v>0</v>
      </c>
      <c r="N66" s="13">
        <f>IF(裝備!H66&gt;0,(裝備!F66 + 裝備!F66 * 裝備!G66) / 裝備!H66,0)</f>
        <v>0</v>
      </c>
      <c r="O66" s="3">
        <v>25</v>
      </c>
      <c r="P66" s="13">
        <f>IF(裝備!N66&gt;0,裝備!O66/裝備!N66,0)</f>
        <v>0</v>
      </c>
    </row>
    <row r="67" spans="1:16">
      <c r="A67" s="19"/>
      <c r="J67" s="14"/>
      <c r="M67" s="13">
        <f>IF(裝備!H67&gt;0,1/裝備!H67,0)</f>
        <v>0</v>
      </c>
      <c r="N67" s="13">
        <f>IF(裝備!H67&gt;0,(裝備!F67 + 裝備!F67 * 裝備!G67) / 裝備!H67,0)</f>
        <v>0</v>
      </c>
      <c r="O67" s="3">
        <v>25</v>
      </c>
      <c r="P67" s="13">
        <f>IF(裝備!N67&gt;0,裝備!O67/裝備!N67,0)</f>
        <v>0</v>
      </c>
    </row>
    <row r="68" spans="1:16">
      <c r="A68" s="19"/>
      <c r="J68" s="14"/>
      <c r="M68" s="13">
        <f>IF(裝備!H68&gt;0,1/裝備!H68,0)</f>
        <v>0</v>
      </c>
      <c r="N68" s="13">
        <f>IF(裝備!H68&gt;0,(裝備!F68 + 裝備!F68 * 裝備!G68) / 裝備!H68,0)</f>
        <v>0</v>
      </c>
      <c r="O68" s="3">
        <v>25</v>
      </c>
      <c r="P68" s="13">
        <f>IF(裝備!N68&gt;0,裝備!O68/裝備!N68,0)</f>
        <v>0</v>
      </c>
    </row>
    <row r="69" spans="1:16">
      <c r="A69" s="19"/>
      <c r="J69" s="14"/>
      <c r="M69" s="13">
        <f>IF(裝備!H69&gt;0,1/裝備!H69,0)</f>
        <v>0</v>
      </c>
      <c r="N69" s="13">
        <f>IF(裝備!H69&gt;0,(裝備!F69 + 裝備!F69 * 裝備!G69) / 裝備!H69,0)</f>
        <v>0</v>
      </c>
      <c r="O69" s="3">
        <v>25</v>
      </c>
      <c r="P69" s="13">
        <f>IF(裝備!N69&gt;0,裝備!O69/裝備!N69,0)</f>
        <v>0</v>
      </c>
    </row>
    <row r="70" spans="1:16">
      <c r="A70" s="19"/>
      <c r="J70" s="14"/>
      <c r="M70" s="13">
        <f>IF(裝備!H70&gt;0,1/裝備!H70,0)</f>
        <v>0</v>
      </c>
      <c r="N70" s="13">
        <f>IF(裝備!H70&gt;0,(裝備!F70 + 裝備!F70 * 裝備!G70) / 裝備!H70,0)</f>
        <v>0</v>
      </c>
      <c r="O70" s="3">
        <v>25</v>
      </c>
      <c r="P70" s="13">
        <f>IF(裝備!N70&gt;0,裝備!O70/裝備!N70,0)</f>
        <v>0</v>
      </c>
    </row>
    <row r="71" spans="1:16">
      <c r="A71" s="19"/>
      <c r="J71" s="14"/>
      <c r="M71" s="13">
        <f>IF(裝備!H71&gt;0,1/裝備!H71,0)</f>
        <v>0</v>
      </c>
      <c r="N71" s="13">
        <f>IF(裝備!H71&gt;0,(裝備!F71 + 裝備!F71 * 裝備!G71) / 裝備!H71,0)</f>
        <v>0</v>
      </c>
      <c r="O71" s="3">
        <v>25</v>
      </c>
      <c r="P71" s="13">
        <f>IF(裝備!N71&gt;0,裝備!O71/裝備!N71,0)</f>
        <v>0</v>
      </c>
    </row>
    <row r="72" spans="1:16">
      <c r="A72" s="19"/>
      <c r="J72" s="14"/>
      <c r="M72" s="13">
        <f>IF(裝備!H72&gt;0,1/裝備!H72,0)</f>
        <v>0</v>
      </c>
      <c r="N72" s="13">
        <f>IF(裝備!H72&gt;0,(裝備!F72 + 裝備!F72 * 裝備!G72) / 裝備!H72,0)</f>
        <v>0</v>
      </c>
      <c r="O72" s="3">
        <v>25</v>
      </c>
      <c r="P72" s="13">
        <f>IF(裝備!N72&gt;0,裝備!O72/裝備!N72,0)</f>
        <v>0</v>
      </c>
    </row>
    <row r="73" spans="1:16">
      <c r="A73" s="19"/>
      <c r="J73" s="14"/>
      <c r="M73" s="13">
        <f>IF(裝備!H73&gt;0,1/裝備!H73,0)</f>
        <v>0</v>
      </c>
      <c r="N73" s="13">
        <f>IF(裝備!H73&gt;0,(裝備!F73 + 裝備!F73 * 裝備!G73) / 裝備!H73,0)</f>
        <v>0</v>
      </c>
      <c r="O73" s="3">
        <v>25</v>
      </c>
      <c r="P73" s="13">
        <f>IF(裝備!N73&gt;0,裝備!O73/裝備!N73,0)</f>
        <v>0</v>
      </c>
    </row>
    <row r="74" spans="1:16">
      <c r="A74" s="19"/>
      <c r="J74" s="14"/>
      <c r="M74" s="13">
        <f>IF(裝備!H74&gt;0,1/裝備!H74,0)</f>
        <v>0</v>
      </c>
      <c r="N74" s="13">
        <f>IF(裝備!H74&gt;0,(裝備!F74 + 裝備!F74 * 裝備!G74) / 裝備!H74,0)</f>
        <v>0</v>
      </c>
      <c r="O74" s="3">
        <v>25</v>
      </c>
      <c r="P74" s="13">
        <f>IF(裝備!N74&gt;0,裝備!O74/裝備!N74,0)</f>
        <v>0</v>
      </c>
    </row>
    <row r="75" spans="1:16">
      <c r="A75" s="19"/>
      <c r="J75" s="14"/>
      <c r="M75" s="13">
        <f>IF(裝備!H75&gt;0,1/裝備!H75,0)</f>
        <v>0</v>
      </c>
      <c r="N75" s="13">
        <f>IF(裝備!H75&gt;0,(裝備!F75 + 裝備!F75 * 裝備!G75) / 裝備!H75,0)</f>
        <v>0</v>
      </c>
      <c r="O75" s="3">
        <v>25</v>
      </c>
      <c r="P75" s="13">
        <f>IF(裝備!N75&gt;0,裝備!O75/裝備!N75,0)</f>
        <v>0</v>
      </c>
    </row>
    <row r="76" spans="1:16">
      <c r="A76" s="19"/>
      <c r="J76" s="14"/>
      <c r="M76" s="13">
        <f>IF(裝備!H76&gt;0,1/裝備!H76,0)</f>
        <v>0</v>
      </c>
      <c r="N76" s="13">
        <f>IF(裝備!H76&gt;0,(裝備!F76 + 裝備!F76 * 裝備!G76) / 裝備!H76,0)</f>
        <v>0</v>
      </c>
      <c r="O76" s="3">
        <v>25</v>
      </c>
      <c r="P76" s="13">
        <f>IF(裝備!N76&gt;0,裝備!O76/裝備!N76,0)</f>
        <v>0</v>
      </c>
    </row>
    <row r="77" spans="1:16">
      <c r="A77" s="19"/>
      <c r="J77" s="14"/>
      <c r="M77" s="13">
        <f>IF(裝備!H77&gt;0,1/裝備!H77,0)</f>
        <v>0</v>
      </c>
      <c r="N77" s="13">
        <f>IF(裝備!H77&gt;0,(裝備!F77 + 裝備!F77 * 裝備!G77) / 裝備!H77,0)</f>
        <v>0</v>
      </c>
      <c r="O77" s="3">
        <v>25</v>
      </c>
      <c r="P77" s="13">
        <f>IF(裝備!N77&gt;0,裝備!O77/裝備!N77,0)</f>
        <v>0</v>
      </c>
    </row>
    <row r="78" spans="1:16">
      <c r="A78" s="19"/>
      <c r="J78" s="14"/>
      <c r="M78" s="13">
        <f>IF(裝備!H78&gt;0,1/裝備!H78,0)</f>
        <v>0</v>
      </c>
      <c r="N78" s="13">
        <f>IF(裝備!H78&gt;0,(裝備!F78 + 裝備!F78 * 裝備!G78) / 裝備!H78,0)</f>
        <v>0</v>
      </c>
      <c r="O78" s="3">
        <v>25</v>
      </c>
      <c r="P78" s="13">
        <f>IF(裝備!N78&gt;0,裝備!O78/裝備!N78,0)</f>
        <v>0</v>
      </c>
    </row>
    <row r="79" spans="1:16">
      <c r="A79" s="19"/>
      <c r="J79" s="14"/>
      <c r="M79" s="13">
        <f>IF(裝備!H79&gt;0,1/裝備!H79,0)</f>
        <v>0</v>
      </c>
      <c r="N79" s="13">
        <f>IF(裝備!H79&gt;0,(裝備!F79 + 裝備!F79 * 裝備!G79) / 裝備!H79,0)</f>
        <v>0</v>
      </c>
      <c r="O79" s="3">
        <v>25</v>
      </c>
      <c r="P79" s="13">
        <f>IF(裝備!N79&gt;0,裝備!O79/裝備!N79,0)</f>
        <v>0</v>
      </c>
    </row>
    <row r="80" spans="1:16">
      <c r="A80" s="19"/>
      <c r="J80" s="14"/>
      <c r="M80" s="13">
        <f>IF(裝備!H80&gt;0,1/裝備!H80,0)</f>
        <v>0</v>
      </c>
      <c r="N80" s="13">
        <f>IF(裝備!H80&gt;0,(裝備!F80 + 裝備!F80 * 裝備!G80) / 裝備!H80,0)</f>
        <v>0</v>
      </c>
      <c r="O80" s="3">
        <v>25</v>
      </c>
      <c r="P80" s="13">
        <f>IF(裝備!N80&gt;0,裝備!O80/裝備!N80,0)</f>
        <v>0</v>
      </c>
    </row>
    <row r="81" spans="1:16">
      <c r="A81" s="19"/>
      <c r="J81" s="14"/>
      <c r="M81" s="13">
        <f>IF(裝備!H81&gt;0,1/裝備!H81,0)</f>
        <v>0</v>
      </c>
      <c r="N81" s="13">
        <f>IF(裝備!H81&gt;0,(裝備!F81 + 裝備!F81 * 裝備!G81) / 裝備!H81,0)</f>
        <v>0</v>
      </c>
      <c r="O81" s="3">
        <v>25</v>
      </c>
      <c r="P81" s="13">
        <f>IF(裝備!N81&gt;0,裝備!O81/裝備!N81,0)</f>
        <v>0</v>
      </c>
    </row>
    <row r="82" spans="1:16">
      <c r="A82" s="19"/>
      <c r="J82" s="14"/>
      <c r="M82" s="13">
        <f>IF(裝備!H82&gt;0,1/裝備!H82,0)</f>
        <v>0</v>
      </c>
      <c r="N82" s="13">
        <f>IF(裝備!H82&gt;0,(裝備!F82 + 裝備!F82 * 裝備!G82) / 裝備!H82,0)</f>
        <v>0</v>
      </c>
      <c r="O82" s="3">
        <v>25</v>
      </c>
      <c r="P82" s="13">
        <f>IF(裝備!N82&gt;0,裝備!O82/裝備!N82,0)</f>
        <v>0</v>
      </c>
    </row>
    <row r="83" spans="1:16">
      <c r="A83" s="19"/>
      <c r="J83" s="14"/>
      <c r="M83" s="13">
        <f>IF(裝備!H83&gt;0,1/裝備!H83,0)</f>
        <v>0</v>
      </c>
      <c r="N83" s="13">
        <f>IF(裝備!H83&gt;0,(裝備!F83 + 裝備!F83 * 裝備!G83) / 裝備!H83,0)</f>
        <v>0</v>
      </c>
      <c r="O83" s="3">
        <v>25</v>
      </c>
      <c r="P83" s="13">
        <f>IF(裝備!N83&gt;0,裝備!O83/裝備!N83,0)</f>
        <v>0</v>
      </c>
    </row>
    <row r="84" spans="1:16">
      <c r="A84" s="19"/>
      <c r="J84" s="14"/>
      <c r="M84" s="13">
        <f>IF(裝備!H84&gt;0,1/裝備!H84,0)</f>
        <v>0</v>
      </c>
      <c r="N84" s="13">
        <f>IF(裝備!H84&gt;0,(裝備!F84 + 裝備!F84 * 裝備!G84) / 裝備!H84,0)</f>
        <v>0</v>
      </c>
      <c r="O84" s="3">
        <v>25</v>
      </c>
      <c r="P84" s="13">
        <f>IF(裝備!N84&gt;0,裝備!O84/裝備!N84,0)</f>
        <v>0</v>
      </c>
    </row>
    <row r="85" spans="1:16">
      <c r="A85" s="19"/>
      <c r="J85" s="14"/>
      <c r="M85" s="13">
        <f>IF(裝備!H85&gt;0,1/裝備!H85,0)</f>
        <v>0</v>
      </c>
      <c r="N85" s="13">
        <f>IF(裝備!H85&gt;0,(裝備!F85 + 裝備!F85 * 裝備!G85) / 裝備!H85,0)</f>
        <v>0</v>
      </c>
      <c r="O85" s="3">
        <v>25</v>
      </c>
      <c r="P85" s="13">
        <f>IF(裝備!N85&gt;0,裝備!O85/裝備!N85,0)</f>
        <v>0</v>
      </c>
    </row>
    <row r="86" spans="1:16">
      <c r="A86" s="19"/>
      <c r="J86" s="14"/>
      <c r="M86" s="13">
        <f>IF(裝備!H86&gt;0,1/裝備!H86,0)</f>
        <v>0</v>
      </c>
      <c r="N86" s="13">
        <f>IF(裝備!H86&gt;0,(裝備!F86 + 裝備!F86 * 裝備!G86) / 裝備!H86,0)</f>
        <v>0</v>
      </c>
      <c r="O86" s="3">
        <v>25</v>
      </c>
      <c r="P86" s="13">
        <f>IF(裝備!N86&gt;0,裝備!O86/裝備!N86,0)</f>
        <v>0</v>
      </c>
    </row>
    <row r="87" spans="1:16">
      <c r="A87" s="19"/>
      <c r="J87" s="14"/>
      <c r="M87" s="13">
        <f>IF(裝備!H87&gt;0,1/裝備!H87,0)</f>
        <v>0</v>
      </c>
      <c r="N87" s="13">
        <f>IF(裝備!H87&gt;0,(裝備!F87 + 裝備!F87 * 裝備!G87) / 裝備!H87,0)</f>
        <v>0</v>
      </c>
      <c r="O87" s="3">
        <v>25</v>
      </c>
      <c r="P87" s="13">
        <f>IF(裝備!N87&gt;0,裝備!O87/裝備!N87,0)</f>
        <v>0</v>
      </c>
    </row>
    <row r="88" spans="1:16">
      <c r="A88" s="19"/>
      <c r="J88" s="14"/>
      <c r="M88" s="13">
        <f>IF(裝備!H88&gt;0,1/裝備!H88,0)</f>
        <v>0</v>
      </c>
      <c r="N88" s="13">
        <f>IF(裝備!H88&gt;0,(裝備!F88 + 裝備!F88 * 裝備!G88) / 裝備!H88,0)</f>
        <v>0</v>
      </c>
      <c r="O88" s="3">
        <v>25</v>
      </c>
      <c r="P88" s="13">
        <f>IF(裝備!N88&gt;0,裝備!O88/裝備!N88,0)</f>
        <v>0</v>
      </c>
    </row>
    <row r="89" spans="1:16">
      <c r="A89" s="19"/>
      <c r="J89" s="14"/>
      <c r="M89" s="13">
        <f>IF(裝備!H89&gt;0,1/裝備!H89,0)</f>
        <v>0</v>
      </c>
      <c r="N89" s="13">
        <f>IF(裝備!H89&gt;0,(裝備!F89 + 裝備!F89 * 裝備!G89) / 裝備!H89,0)</f>
        <v>0</v>
      </c>
      <c r="O89" s="3">
        <v>25</v>
      </c>
      <c r="P89" s="13">
        <f>IF(裝備!N89&gt;0,裝備!O89/裝備!N89,0)</f>
        <v>0</v>
      </c>
    </row>
    <row r="90" spans="1:16">
      <c r="A90" s="19"/>
      <c r="J90" s="14"/>
      <c r="M90" s="13">
        <f>IF(裝備!H90&gt;0,1/裝備!H90,0)</f>
        <v>0</v>
      </c>
      <c r="N90" s="13">
        <f>IF(裝備!H90&gt;0,(裝備!F90 + 裝備!F90 * 裝備!G90) / 裝備!H90,0)</f>
        <v>0</v>
      </c>
      <c r="O90" s="3">
        <v>25</v>
      </c>
      <c r="P90" s="13">
        <f>IF(裝備!N90&gt;0,裝備!O90/裝備!N90,0)</f>
        <v>0</v>
      </c>
    </row>
    <row r="91" spans="1:16">
      <c r="A91" s="19"/>
      <c r="J91" s="14"/>
      <c r="M91" s="13">
        <f>IF(裝備!H91&gt;0,1/裝備!H91,0)</f>
        <v>0</v>
      </c>
      <c r="N91" s="13">
        <f>IF(裝備!H91&gt;0,(裝備!F91 + 裝備!F91 * 裝備!G91) / 裝備!H91,0)</f>
        <v>0</v>
      </c>
      <c r="O91" s="3">
        <v>25</v>
      </c>
      <c r="P91" s="13">
        <f>IF(裝備!N91&gt;0,裝備!O91/裝備!N91,0)</f>
        <v>0</v>
      </c>
    </row>
    <row r="92" spans="1:16">
      <c r="A92" s="19"/>
      <c r="J92" s="14"/>
      <c r="M92" s="13">
        <f>IF(裝備!H92&gt;0,1/裝備!H92,0)</f>
        <v>0</v>
      </c>
      <c r="N92" s="13">
        <f>IF(裝備!H92&gt;0,(裝備!F92 + 裝備!F92 * 裝備!G92) / 裝備!H92,0)</f>
        <v>0</v>
      </c>
      <c r="O92" s="3">
        <v>25</v>
      </c>
      <c r="P92" s="13">
        <f>IF(裝備!N92&gt;0,裝備!O92/裝備!N92,0)</f>
        <v>0</v>
      </c>
    </row>
    <row r="93" spans="1:16">
      <c r="A93" s="19"/>
      <c r="J93" s="14"/>
      <c r="M93" s="13">
        <f>IF(裝備!H93&gt;0,1/裝備!H93,0)</f>
        <v>0</v>
      </c>
      <c r="N93" s="13">
        <f>IF(裝備!H93&gt;0,(裝備!F93 + 裝備!F93 * 裝備!G93) / 裝備!H93,0)</f>
        <v>0</v>
      </c>
      <c r="O93" s="3">
        <v>25</v>
      </c>
      <c r="P93" s="13">
        <f>IF(裝備!N93&gt;0,裝備!O93/裝備!N93,0)</f>
        <v>0</v>
      </c>
    </row>
    <row r="94" spans="1:16">
      <c r="A94" s="19"/>
      <c r="J94" s="14"/>
      <c r="M94" s="13">
        <f>IF(裝備!H94&gt;0,1/裝備!H94,0)</f>
        <v>0</v>
      </c>
      <c r="N94" s="13">
        <f>IF(裝備!H94&gt;0,(裝備!F94 + 裝備!F94 * 裝備!G94) / 裝備!H94,0)</f>
        <v>0</v>
      </c>
      <c r="O94" s="3">
        <v>25</v>
      </c>
      <c r="P94" s="13">
        <f>IF(裝備!N94&gt;0,裝備!O94/裝備!N94,0)</f>
        <v>0</v>
      </c>
    </row>
    <row r="95" spans="1:16">
      <c r="A95" s="19"/>
      <c r="J95" s="14"/>
      <c r="M95" s="13">
        <f>IF(裝備!H95&gt;0,1/裝備!H95,0)</f>
        <v>0</v>
      </c>
      <c r="N95" s="13">
        <f>IF(裝備!H95&gt;0,(裝備!F95 + 裝備!F95 * 裝備!G95) / 裝備!H95,0)</f>
        <v>0</v>
      </c>
      <c r="O95" s="3">
        <v>25</v>
      </c>
      <c r="P95" s="13">
        <f>IF(裝備!N95&gt;0,裝備!O95/裝備!N95,0)</f>
        <v>0</v>
      </c>
    </row>
    <row r="96" spans="1:16">
      <c r="A96" s="19"/>
      <c r="J96" s="14"/>
      <c r="M96" s="13">
        <f>IF(裝備!H96&gt;0,1/裝備!H96,0)</f>
        <v>0</v>
      </c>
      <c r="N96" s="13">
        <f>IF(裝備!H96&gt;0,(裝備!F96 + 裝備!F96 * 裝備!G96) / 裝備!H96,0)</f>
        <v>0</v>
      </c>
      <c r="O96" s="3">
        <v>25</v>
      </c>
      <c r="P96" s="13">
        <f>IF(裝備!N96&gt;0,裝備!O96/裝備!N96,0)</f>
        <v>0</v>
      </c>
    </row>
    <row r="97" spans="1:16">
      <c r="A97" s="19"/>
      <c r="J97" s="14"/>
      <c r="M97" s="13">
        <f>IF(裝備!H97&gt;0,1/裝備!H97,0)</f>
        <v>0</v>
      </c>
      <c r="N97" s="13">
        <f>IF(裝備!H97&gt;0,(裝備!F97 + 裝備!F97 * 裝備!G97) / 裝備!H97,0)</f>
        <v>0</v>
      </c>
      <c r="O97" s="3">
        <v>25</v>
      </c>
      <c r="P97" s="13">
        <f>IF(裝備!N97&gt;0,裝備!O97/裝備!N97,0)</f>
        <v>0</v>
      </c>
    </row>
    <row r="98" spans="1:16">
      <c r="A98" s="19"/>
      <c r="J98" s="14"/>
      <c r="M98" s="13">
        <f>IF(裝備!H98&gt;0,1/裝備!H98,0)</f>
        <v>0</v>
      </c>
      <c r="N98" s="13">
        <f>IF(裝備!H98&gt;0,(裝備!F98 + 裝備!F98 * 裝備!G98) / 裝備!H98,0)</f>
        <v>0</v>
      </c>
      <c r="O98" s="3">
        <v>25</v>
      </c>
      <c r="P98" s="13">
        <f>IF(裝備!N98&gt;0,裝備!O98/裝備!N98,0)</f>
        <v>0</v>
      </c>
    </row>
    <row r="99" spans="1:16">
      <c r="A99" s="19"/>
      <c r="J99" s="14"/>
      <c r="M99" s="13">
        <f>IF(裝備!H99&gt;0,1/裝備!H99,0)</f>
        <v>0</v>
      </c>
      <c r="N99" s="13">
        <f>IF(裝備!H99&gt;0,(裝備!F99 + 裝備!F99 * 裝備!G99) / 裝備!H99,0)</f>
        <v>0</v>
      </c>
      <c r="O99" s="3">
        <v>25</v>
      </c>
      <c r="P99" s="13">
        <f>IF(裝備!N99&gt;0,裝備!O99/裝備!N99,0)</f>
        <v>0</v>
      </c>
    </row>
    <row r="100" spans="1:16">
      <c r="A100" s="16"/>
      <c r="B100" s="20"/>
      <c r="C100" s="20"/>
      <c r="D100" s="20"/>
      <c r="E100" s="20"/>
      <c r="F100" s="20"/>
      <c r="G100" s="20"/>
      <c r="H100" s="20"/>
      <c r="I100" s="20"/>
      <c r="J100" s="15"/>
      <c r="M100" s="13">
        <f>IF(裝備!H100&gt;0,1/裝備!H100,0)</f>
        <v>0</v>
      </c>
      <c r="N100" s="13">
        <f>IF(裝備!H100&gt;0,(裝備!F100 + 裝備!F100 * 裝備!G100) / 裝備!H100,0)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K100"/>
  <sheetViews>
    <sheetView tabSelected="1" workbookViewId="0">
      <pane ySplit="1" topLeftCell="A2" activePane="bottomLeft" state="frozen"/>
      <selection pane="bottomLeft" activeCell="E19" sqref="E19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131</v>
      </c>
      <c r="E1" s="2" t="s">
        <v>86</v>
      </c>
      <c r="F1" s="2" t="s">
        <v>37</v>
      </c>
      <c r="G1" s="2" t="s">
        <v>33</v>
      </c>
      <c r="H1" s="26" t="s">
        <v>103</v>
      </c>
      <c r="J1" s="17" t="s">
        <v>34</v>
      </c>
    </row>
    <row r="2" spans="1:10">
      <c r="A2" s="3">
        <v>1</v>
      </c>
      <c r="B2" s="3">
        <v>2001</v>
      </c>
      <c r="C2" s="3" t="s">
        <v>119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119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119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119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121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121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121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121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123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133</v>
      </c>
    </row>
    <row r="11" spans="1:10">
      <c r="A11" s="3">
        <v>10</v>
      </c>
      <c r="B11" s="3">
        <v>2010</v>
      </c>
      <c r="C11" s="3" t="s">
        <v>123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134</v>
      </c>
    </row>
    <row r="12" spans="1:10">
      <c r="A12" s="3">
        <v>11</v>
      </c>
      <c r="B12" s="3">
        <v>2011</v>
      </c>
      <c r="C12" s="3" t="s">
        <v>123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135</v>
      </c>
    </row>
    <row r="13" spans="1:10">
      <c r="A13" s="3">
        <v>12</v>
      </c>
      <c r="B13" s="3">
        <v>2012</v>
      </c>
      <c r="C13" s="3" t="s">
        <v>123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136</v>
      </c>
    </row>
    <row r="14" spans="1:10">
      <c r="A14" s="3">
        <v>13</v>
      </c>
      <c r="B14" s="3">
        <v>2013</v>
      </c>
      <c r="C14" s="3" t="s">
        <v>125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138</v>
      </c>
    </row>
    <row r="15" spans="1:10">
      <c r="A15" s="3">
        <v>14</v>
      </c>
      <c r="B15" s="3">
        <v>2014</v>
      </c>
      <c r="C15" s="3" t="s">
        <v>125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137</v>
      </c>
    </row>
    <row r="16" spans="1:10">
      <c r="A16" s="3">
        <v>15</v>
      </c>
      <c r="B16" s="3">
        <v>2015</v>
      </c>
      <c r="C16" s="3" t="s">
        <v>127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139</v>
      </c>
    </row>
    <row r="17" spans="1:11">
      <c r="A17" s="3">
        <v>16</v>
      </c>
      <c r="B17" s="3">
        <v>2016</v>
      </c>
      <c r="C17" s="3" t="s">
        <v>127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140</v>
      </c>
      <c r="K17" s="34">
        <v>2</v>
      </c>
    </row>
    <row r="18" spans="1:11">
      <c r="A18" s="3">
        <v>17</v>
      </c>
      <c r="B18" s="3">
        <v>2017</v>
      </c>
      <c r="C18" s="3" t="s">
        <v>128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141</v>
      </c>
      <c r="K18" s="35">
        <v>1</v>
      </c>
    </row>
    <row r="19" spans="1:11">
      <c r="A19" s="3">
        <v>18</v>
      </c>
      <c r="B19" s="3">
        <v>2018</v>
      </c>
      <c r="C19" s="3" t="s">
        <v>128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147</v>
      </c>
    </row>
    <row r="20" spans="1:11">
      <c r="A20" s="3">
        <v>19</v>
      </c>
      <c r="B20" s="3">
        <v>2019</v>
      </c>
      <c r="C20" s="3" t="s">
        <v>129</v>
      </c>
      <c r="D20" s="3">
        <v>2</v>
      </c>
      <c r="E20" s="3">
        <v>3</v>
      </c>
      <c r="F20" s="3">
        <v>8</v>
      </c>
      <c r="G20" s="3">
        <v>0.05</v>
      </c>
      <c r="H20" s="25">
        <v>3019</v>
      </c>
      <c r="J20" s="18" t="s">
        <v>142</v>
      </c>
    </row>
    <row r="21" spans="1:11">
      <c r="A21" s="3">
        <v>20</v>
      </c>
      <c r="B21" s="3">
        <v>2020</v>
      </c>
      <c r="C21" s="3" t="s">
        <v>129</v>
      </c>
      <c r="D21" s="3">
        <v>2</v>
      </c>
      <c r="E21" s="3">
        <v>3</v>
      </c>
      <c r="F21" s="3">
        <v>8</v>
      </c>
      <c r="G21" s="3">
        <v>0.1</v>
      </c>
      <c r="H21" s="25">
        <v>3020</v>
      </c>
      <c r="J21" s="18" t="s">
        <v>143</v>
      </c>
    </row>
    <row r="22" spans="1:11">
      <c r="A22" s="3">
        <v>21</v>
      </c>
      <c r="B22" s="3">
        <v>2021</v>
      </c>
      <c r="C22" s="3" t="s">
        <v>130</v>
      </c>
      <c r="D22" s="3">
        <v>10</v>
      </c>
      <c r="E22" s="3">
        <v>2</v>
      </c>
      <c r="F22" s="3">
        <v>9</v>
      </c>
      <c r="G22" s="3">
        <v>0</v>
      </c>
      <c r="H22" s="25">
        <v>3021</v>
      </c>
      <c r="J22" s="18" t="s">
        <v>130</v>
      </c>
    </row>
    <row r="23" spans="1:11">
      <c r="A23" s="3">
        <v>22</v>
      </c>
      <c r="B23" s="3">
        <v>2022</v>
      </c>
      <c r="C23" s="3" t="s">
        <v>146</v>
      </c>
      <c r="D23" s="3">
        <v>-10</v>
      </c>
      <c r="E23" s="3">
        <v>3</v>
      </c>
      <c r="F23" s="3">
        <v>10</v>
      </c>
      <c r="G23" s="3">
        <v>0</v>
      </c>
      <c r="H23" s="25">
        <v>3022</v>
      </c>
      <c r="J23" s="18" t="s">
        <v>144</v>
      </c>
    </row>
    <row r="24" spans="1:11">
      <c r="A24" s="3">
        <v>23</v>
      </c>
      <c r="B24" s="3">
        <v>2023</v>
      </c>
      <c r="C24" s="3" t="s">
        <v>146</v>
      </c>
      <c r="D24" s="3">
        <v>20</v>
      </c>
      <c r="E24" s="3">
        <v>3</v>
      </c>
      <c r="F24" s="3">
        <v>10</v>
      </c>
      <c r="G24" s="3">
        <v>0</v>
      </c>
      <c r="H24" s="25">
        <v>3023</v>
      </c>
      <c r="J24" s="18" t="s">
        <v>145</v>
      </c>
    </row>
    <row r="25" spans="1:11">
      <c r="G25" s="14"/>
    </row>
    <row r="26" spans="1:11">
      <c r="G26" s="14"/>
    </row>
    <row r="27" spans="1:11">
      <c r="G27" s="14"/>
    </row>
    <row r="28" spans="1:11">
      <c r="G28" s="14"/>
    </row>
    <row r="29" spans="1:11">
      <c r="G29" s="14"/>
    </row>
    <row r="30" spans="1:11">
      <c r="G30" s="14"/>
    </row>
    <row r="31" spans="1:11">
      <c r="G31" s="14"/>
    </row>
    <row r="32" spans="1:11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E7" sqref="E7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104</v>
      </c>
      <c r="F1" s="2" t="s">
        <v>40</v>
      </c>
      <c r="G1" s="2" t="s">
        <v>70</v>
      </c>
      <c r="I1" s="17" t="s">
        <v>43</v>
      </c>
      <c r="J1" s="11" t="s">
        <v>105</v>
      </c>
      <c r="K1" s="12" t="s">
        <v>106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88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89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90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91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92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93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94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95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96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97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98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99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100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101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102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174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175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174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176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183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177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183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178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183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179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183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180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183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181</v>
      </c>
      <c r="J23" s="24">
        <v>22</v>
      </c>
      <c r="K23" s="27">
        <f t="shared" si="0"/>
        <v>36</v>
      </c>
      <c r="L23" s="6"/>
    </row>
    <row r="24" spans="1:12">
      <c r="H24" s="21"/>
      <c r="J24" s="24">
        <v>23</v>
      </c>
      <c r="K24" s="27">
        <f t="shared" si="0"/>
        <v>37.5</v>
      </c>
      <c r="L24" s="6"/>
    </row>
    <row r="25" spans="1:12">
      <c r="H25" s="21"/>
      <c r="J25" s="24">
        <v>24</v>
      </c>
      <c r="K25" s="27">
        <f t="shared" si="0"/>
        <v>39</v>
      </c>
      <c r="L25" s="6"/>
    </row>
    <row r="26" spans="1:12">
      <c r="H26" s="21"/>
      <c r="J26" s="24">
        <v>25</v>
      </c>
      <c r="K26" s="27">
        <f t="shared" si="0"/>
        <v>40.5</v>
      </c>
      <c r="L26" s="6"/>
    </row>
    <row r="27" spans="1:12">
      <c r="H27" s="21"/>
      <c r="J27" s="24">
        <v>26</v>
      </c>
      <c r="K27" s="27">
        <f t="shared" si="0"/>
        <v>42</v>
      </c>
      <c r="L27" s="6"/>
    </row>
    <row r="28" spans="1:12">
      <c r="H28" s="21"/>
      <c r="J28" s="24">
        <v>27</v>
      </c>
      <c r="K28" s="27">
        <f t="shared" si="0"/>
        <v>43.5</v>
      </c>
      <c r="L28" s="6"/>
    </row>
    <row r="29" spans="1:12">
      <c r="H29" s="21"/>
      <c r="J29" s="24">
        <v>28</v>
      </c>
      <c r="K29" s="27">
        <f t="shared" si="0"/>
        <v>45</v>
      </c>
      <c r="L29" s="6"/>
    </row>
    <row r="30" spans="1:12">
      <c r="H30" s="21"/>
      <c r="J30" s="24">
        <v>29</v>
      </c>
      <c r="K30" s="27">
        <f t="shared" si="0"/>
        <v>46.5</v>
      </c>
      <c r="L30" s="6"/>
    </row>
    <row r="31" spans="1:12">
      <c r="H31" s="21"/>
      <c r="J31" s="24">
        <v>30</v>
      </c>
      <c r="K31" s="27">
        <f t="shared" si="0"/>
        <v>48</v>
      </c>
      <c r="L31" s="6"/>
    </row>
    <row r="32" spans="1:12">
      <c r="H32" s="21"/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選項清單!$I$2:$I$5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J5" sqref="J5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6384" width="9" style="30"/>
  </cols>
  <sheetData>
    <row r="1" spans="1:10">
      <c r="A1" s="36" t="s">
        <v>10</v>
      </c>
      <c r="B1" s="36"/>
      <c r="C1" s="36" t="s">
        <v>16</v>
      </c>
      <c r="D1" s="36"/>
      <c r="E1" s="36" t="s">
        <v>36</v>
      </c>
      <c r="F1" s="37"/>
      <c r="G1" s="36" t="s">
        <v>35</v>
      </c>
      <c r="H1" s="37"/>
      <c r="I1" s="36" t="s">
        <v>44</v>
      </c>
      <c r="J1" s="37"/>
    </row>
    <row r="2" spans="1:10">
      <c r="A2" s="30" t="s">
        <v>17</v>
      </c>
      <c r="B2" s="30">
        <v>0</v>
      </c>
      <c r="C2" s="30" t="s">
        <v>17</v>
      </c>
      <c r="D2" s="30">
        <v>0</v>
      </c>
      <c r="E2" s="31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</row>
    <row r="3" spans="1:10">
      <c r="A3" s="30" t="s">
        <v>11</v>
      </c>
      <c r="B3" s="30">
        <v>1</v>
      </c>
      <c r="C3" s="30" t="s">
        <v>13</v>
      </c>
      <c r="D3" s="30">
        <v>1</v>
      </c>
      <c r="E3" s="31" t="s">
        <v>23</v>
      </c>
      <c r="F3" s="30">
        <v>1</v>
      </c>
      <c r="G3" s="32" t="s">
        <v>120</v>
      </c>
      <c r="H3" s="30">
        <v>1</v>
      </c>
      <c r="I3" s="30" t="s">
        <v>47</v>
      </c>
      <c r="J3" s="30">
        <v>1</v>
      </c>
    </row>
    <row r="4" spans="1:10">
      <c r="A4" s="30" t="s">
        <v>12</v>
      </c>
      <c r="B4" s="30">
        <v>2</v>
      </c>
      <c r="C4" s="30" t="s">
        <v>15</v>
      </c>
      <c r="D4" s="30">
        <v>2</v>
      </c>
      <c r="E4" s="31" t="s">
        <v>19</v>
      </c>
      <c r="F4" s="30">
        <v>2</v>
      </c>
      <c r="G4" s="32" t="s">
        <v>122</v>
      </c>
      <c r="H4" s="30">
        <v>2</v>
      </c>
      <c r="I4" s="30" t="s">
        <v>173</v>
      </c>
      <c r="J4" s="30">
        <v>2</v>
      </c>
    </row>
    <row r="5" spans="1:10">
      <c r="E5" s="31" t="s">
        <v>21</v>
      </c>
      <c r="F5" s="30">
        <v>3</v>
      </c>
      <c r="G5" s="30" t="s">
        <v>124</v>
      </c>
      <c r="H5" s="30">
        <v>3</v>
      </c>
      <c r="I5" s="30" t="s">
        <v>184</v>
      </c>
      <c r="J5" s="30">
        <v>3</v>
      </c>
    </row>
    <row r="6" spans="1:10">
      <c r="G6" s="30" t="s">
        <v>126</v>
      </c>
      <c r="H6" s="30">
        <v>4</v>
      </c>
    </row>
    <row r="7" spans="1:10">
      <c r="G7" s="33" t="s">
        <v>132</v>
      </c>
      <c r="H7" s="30">
        <v>5</v>
      </c>
    </row>
    <row r="8" spans="1:10">
      <c r="G8" s="33" t="s">
        <v>128</v>
      </c>
      <c r="H8" s="30">
        <v>6</v>
      </c>
    </row>
    <row r="9" spans="1:10">
      <c r="G9" s="33" t="s">
        <v>129</v>
      </c>
      <c r="H9" s="30">
        <v>7</v>
      </c>
    </row>
    <row r="10" spans="1:10">
      <c r="G10" s="33" t="s">
        <v>130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F9" sqref="F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Frozen</v>
      </c>
      <c r="C32" t="str">
        <f>ToResult(語言列表!C32)</f>
        <v>冰凍</v>
      </c>
    </row>
    <row r="33" spans="1:3">
      <c r="A33" t="str">
        <f>ToResult(語言列表!A33)</f>
        <v>2022</v>
      </c>
      <c r="B33" t="str">
        <f>ToResult(語言列表!B33)</f>
        <v>Low profile</v>
      </c>
      <c r="C33" t="str">
        <f>ToResult(語言列表!C33)</f>
        <v>低調</v>
      </c>
    </row>
    <row r="34" spans="1:3">
      <c r="A34" t="str">
        <f>ToResult(語言列表!A34)</f>
        <v>2023</v>
      </c>
      <c r="B34" t="str">
        <f>ToResult(語言列表!B34)</f>
        <v>Prominently</v>
      </c>
      <c r="C34" t="str">
        <f>ToResult(語言列表!C34)</f>
        <v>醒目</v>
      </c>
    </row>
    <row r="35" spans="1:3">
      <c r="A35" t="str">
        <f>ToResult(語言列表!A35)</f>
        <v>3001</v>
      </c>
      <c r="B35" t="str">
        <f>ToResult(語言列表!B35)</f>
        <v>[ffed00]sta limit[-][546ef2]+4[-]</v>
      </c>
      <c r="C35" t="str">
        <f>ToResult(語言列表!C35)</f>
        <v/>
      </c>
    </row>
    <row r="36" spans="1:3">
      <c r="A36" t="str">
        <f>ToResult(語言列表!A36)</f>
        <v>3002</v>
      </c>
      <c r="B36" t="str">
        <f>ToResult(語言列表!B36)</f>
        <v>[ffed00]sta limit[-][546ef2]+8[-]</v>
      </c>
      <c r="C36" t="str">
        <f>ToResult(語言列表!C36)</f>
        <v/>
      </c>
    </row>
    <row r="37" spans="1:3">
      <c r="A37" t="str">
        <f>ToResult(語言列表!A37)</f>
        <v>3003</v>
      </c>
      <c r="B37" t="str">
        <f>ToResult(語言列表!B37)</f>
        <v>[ffed00]sta limit[-][e92121]-4[-]</v>
      </c>
      <c r="C37" t="str">
        <f>ToResult(語言列表!C37)</f>
        <v/>
      </c>
    </row>
    <row r="38" spans="1:3">
      <c r="A38" t="str">
        <f>ToResult(語言列表!A38)</f>
        <v>3004</v>
      </c>
      <c r="B38" t="str">
        <f>ToResult(語言列表!B38)</f>
        <v>[ffed00]sta limit[-][e92121]-8[-]</v>
      </c>
      <c r="C38" t="str">
        <f>ToResult(語言列表!C38)</f>
        <v/>
      </c>
    </row>
    <row r="39" spans="1:3">
      <c r="A39" t="str">
        <f>ToResult(語言列表!A39)</f>
        <v>3005</v>
      </c>
      <c r="B39" t="str">
        <f>ToResult(語言列表!B39)</f>
        <v>[ffed00]sta regain[-][546ef2]+2[-]</v>
      </c>
      <c r="C39" t="str">
        <f>ToResult(語言列表!C39)</f>
        <v/>
      </c>
    </row>
    <row r="40" spans="1:3">
      <c r="A40" t="str">
        <f>ToResult(語言列表!A40)</f>
        <v>3006</v>
      </c>
      <c r="B40" t="str">
        <f>ToResult(語言列表!B40)</f>
        <v>[ffed00]sta regain[-][546ef2]+3[-]</v>
      </c>
      <c r="C40" t="str">
        <f>ToResult(語言列表!C40)</f>
        <v/>
      </c>
    </row>
    <row r="41" spans="1:3">
      <c r="A41" t="str">
        <f>ToResult(語言列表!A41)</f>
        <v>3007</v>
      </c>
      <c r="B41" t="str">
        <f>ToResult(語言列表!B41)</f>
        <v>[ffed00]sta regain[-][e92121]-2[-]</v>
      </c>
      <c r="C41" t="str">
        <f>ToResult(語言列表!C41)</f>
        <v/>
      </c>
    </row>
    <row r="42" spans="1:3">
      <c r="A42" t="str">
        <f>ToResult(語言列表!A42)</f>
        <v>3008</v>
      </c>
      <c r="B42" t="str">
        <f>ToResult(語言列表!B42)</f>
        <v>[ffed00]sta regain[-][e92121]-3[-]</v>
      </c>
      <c r="C42" t="str">
        <f>ToResult(語言列表!C42)</f>
        <v/>
      </c>
    </row>
    <row r="43" spans="1:3">
      <c r="A43" t="str">
        <f>ToResult(語言列表!A43)</f>
        <v>3009</v>
      </c>
      <c r="B43" t="str">
        <f>ToResult(語言列表!B43)</f>
        <v>[ffed00]critical[-][e92121]-20%[-]</v>
      </c>
      <c r="C43" t="str">
        <f>ToResult(語言列表!C43)</f>
        <v/>
      </c>
    </row>
    <row r="44" spans="1:3">
      <c r="A44" t="str">
        <f>ToResult(語言列表!A44)</f>
        <v>3010</v>
      </c>
      <c r="B44" t="str">
        <f>ToResult(語言列表!B44)</f>
        <v>[ffed00]critical[-][e92121]-10%[-]</v>
      </c>
      <c r="C44" t="str">
        <f>ToResult(語言列表!C44)</f>
        <v/>
      </c>
    </row>
    <row r="45" spans="1:3">
      <c r="A45" t="str">
        <f>ToResult(語言列表!A45)</f>
        <v>3011</v>
      </c>
      <c r="B45" t="str">
        <f>ToResult(語言列表!B45)</f>
        <v>[ffed00]critical[-][546ef2]+10%[-]</v>
      </c>
      <c r="C45" t="str">
        <f>ToResult(語言列表!C45)</f>
        <v/>
      </c>
    </row>
    <row r="46" spans="1:3">
      <c r="A46" t="str">
        <f>ToResult(語言列表!A46)</f>
        <v>3012</v>
      </c>
      <c r="B46" t="str">
        <f>ToResult(語言列表!B46)</f>
        <v>[ffed00]critical[-][546ef2]+20%[-]</v>
      </c>
      <c r="C46" t="str">
        <f>ToResult(語言列表!C46)</f>
        <v/>
      </c>
    </row>
    <row r="47" spans="1:3">
      <c r="A47" t="str">
        <f>ToResult(語言列表!A47)</f>
        <v>3013</v>
      </c>
      <c r="B47" t="str">
        <f>ToResult(語言列表!B47)</f>
        <v>[ffed00]damage[-][546ef2]+10[-]</v>
      </c>
      <c r="C47" t="str">
        <f>ToResult(語言列表!C47)</f>
        <v/>
      </c>
    </row>
    <row r="48" spans="1:3">
      <c r="A48" t="str">
        <f>ToResult(語言列表!A48)</f>
        <v>3014</v>
      </c>
      <c r="B48" t="str">
        <f>ToResult(語言列表!B48)</f>
        <v>[ffed00]damage[-][e92121]-10[-]</v>
      </c>
      <c r="C48" t="str">
        <f>ToResult(語言列表!C48)</f>
        <v/>
      </c>
    </row>
    <row r="49" spans="1:3">
      <c r="A49" t="str">
        <f>ToResult(語言列表!A49)</f>
        <v>3015</v>
      </c>
      <c r="B49" t="str">
        <f>ToResult(語言列表!B49)</f>
        <v>[ffed00]bomb[-][546ef2]+1[-]</v>
      </c>
      <c r="C49" t="str">
        <f>ToResult(語言列表!C49)</f>
        <v/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[ffed00]shield[-][546ef2]+2[-]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[ffed00]shield[-][546ef2]+4[-]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[ffed00]monster[-][e92121]+5%[-]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[ffed00]monster[-][e92121]+10%[-]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[ffed00]catch chance[-][546ef2]-10[-]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[ffed00]catch chance[-][e92121]+20[-]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20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H30" sqref="H3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0.05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3</v>
      </c>
      <c r="F21" t="str">
        <f>ToResult(特性!F21)</f>
        <v>8</v>
      </c>
      <c r="G21" t="str">
        <f>ToResult(特性!G21)</f>
        <v>0.1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>23</v>
      </c>
      <c r="B24" t="str">
        <f>ToResult(特性!B24)</f>
        <v>2023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E7" sqref="E7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語言列表</vt:lpstr>
      <vt:lpstr>裝備</vt:lpstr>
      <vt:lpstr>特性</vt:lpstr>
      <vt:lpstr>怪物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2015-06-02T08:00:14Z</dcterms:modified>
</cp:coreProperties>
</file>